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ctrlProps/ctrlProp5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6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servidor-creme\Arquivos HD Back-up\Romica\Meus documentos\"/>
    </mc:Choice>
  </mc:AlternateContent>
  <xr:revisionPtr revIDLastSave="0" documentId="13_ncr:1_{D9600DB3-3095-45E0-9F1B-DDEA8AA2DF76}" xr6:coauthVersionLast="47" xr6:coauthVersionMax="47" xr10:uidLastSave="{00000000-0000-0000-0000-000000000000}"/>
  <bookViews>
    <workbookView xWindow="-120" yWindow="-120" windowWidth="29040" windowHeight="15840" tabRatio="616" activeTab="9" xr2:uid="{00000000-000D-0000-FFFF-FFFF00000000}"/>
  </bookViews>
  <sheets>
    <sheet name="Ini" sheetId="8" r:id="rId1"/>
    <sheet name="Cad1" sheetId="13" r:id="rId2"/>
    <sheet name="Cad2" sheetId="17" r:id="rId3"/>
    <sheet name="Cad3" sheetId="16" r:id="rId4"/>
    <sheet name="Cad4" sheetId="27" r:id="rId5"/>
    <sheet name="FO1" sheetId="11" r:id="rId6"/>
    <sheet name="FO2" sheetId="18" r:id="rId7"/>
    <sheet name="FO4" sheetId="28" r:id="rId8"/>
    <sheet name="Tab1" sheetId="15" r:id="rId9"/>
    <sheet name="Tab2" sheetId="24" r:id="rId10"/>
    <sheet name="Tab3" sheetId="25" r:id="rId11"/>
    <sheet name="Imp" sheetId="26" r:id="rId12"/>
    <sheet name="BD" sheetId="20" r:id="rId13"/>
    <sheet name="BD2" sheetId="23" r:id="rId14"/>
  </sheets>
  <externalReferences>
    <externalReference r:id="rId15"/>
  </externalReferences>
  <definedNames>
    <definedName name="_xlnm._FilterDatabase" localSheetId="12" hidden="1">BD!$E$15:$M$1995</definedName>
    <definedName name="_xlnm._FilterDatabase" localSheetId="13" hidden="1">'BD2'!$E$15:$M$975</definedName>
    <definedName name="_xlnm.Print_Area" localSheetId="11">Imp!$A$1:$D$74</definedName>
    <definedName name="_xlnm.Print_Area" localSheetId="8">'Tab1'!$E$11:$Q$79</definedName>
    <definedName name="_xlnm.Print_Area" localSheetId="9">'Tab2'!$E$11:$J$79</definedName>
    <definedName name="_xlnm.Print_Area" localSheetId="10">'Tab3'!$E$11:$F$79</definedName>
    <definedName name="_xlnm.Criteria" localSheetId="12">BD!$E$11:$M$12</definedName>
    <definedName name="_xlnm.Criteria" localSheetId="13">'BD2'!$E$11:$M$12</definedName>
    <definedName name="TotaldeAtivos">[1]cálculos!$C$15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4" i="18" l="1"/>
  <c r="J17" i="18"/>
  <c r="H38" i="17" l="1"/>
  <c r="H39" i="17"/>
  <c r="H40" i="17"/>
  <c r="H41" i="17"/>
  <c r="H39" i="16" l="1"/>
  <c r="F11" i="11" l="1"/>
  <c r="J39" i="11"/>
  <c r="F12" i="11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14" i="13"/>
  <c r="D45" i="13"/>
  <c r="D37" i="13"/>
  <c r="D31" i="13"/>
  <c r="D17" i="13"/>
  <c r="D18" i="13"/>
  <c r="D16" i="13"/>
  <c r="G46" i="16"/>
  <c r="H42" i="16"/>
  <c r="G47" i="16"/>
  <c r="E12" i="13" s="1"/>
  <c r="H41" i="16"/>
  <c r="D47" i="13" s="1"/>
  <c r="H40" i="16"/>
  <c r="D46" i="13" s="1"/>
  <c r="H28" i="16"/>
  <c r="D20" i="13" s="1"/>
  <c r="H29" i="16"/>
  <c r="D21" i="13" s="1"/>
  <c r="D23" i="13" s="1"/>
  <c r="D29" i="13"/>
  <c r="H31" i="16"/>
  <c r="D28" i="13" s="1"/>
  <c r="H32" i="16"/>
  <c r="D35" i="13" s="1"/>
  <c r="H33" i="16"/>
  <c r="D36" i="13" s="1"/>
  <c r="D33" i="13"/>
  <c r="D32" i="13"/>
  <c r="H36" i="16"/>
  <c r="D42" i="13" s="1"/>
  <c r="H37" i="16"/>
  <c r="D43" i="13" s="1"/>
  <c r="H38" i="16"/>
  <c r="D44" i="13" s="1"/>
  <c r="H38" i="11" l="1" a="1"/>
  <c r="H38" i="11" s="1"/>
  <c r="E39" i="11" a="1"/>
  <c r="E39" i="11" s="1"/>
  <c r="E38" i="11" a="1"/>
  <c r="E38" i="11" s="1"/>
  <c r="H42" i="11" a="1"/>
  <c r="H42" i="11" s="1"/>
  <c r="H36" i="11" a="1"/>
  <c r="H36" i="11" s="1"/>
  <c r="E41" i="11" a="1"/>
  <c r="E41" i="11" s="1"/>
  <c r="E37" i="11" a="1"/>
  <c r="E37" i="11" s="1"/>
  <c r="H41" i="11" a="1"/>
  <c r="H41" i="11" s="1"/>
  <c r="H37" i="11" a="1"/>
  <c r="H37" i="11" s="1"/>
  <c r="E42" i="11" a="1"/>
  <c r="E42" i="11" s="1"/>
  <c r="H39" i="11" a="1"/>
  <c r="H39" i="11" s="1"/>
  <c r="H46" i="16"/>
  <c r="E40" i="11" a="1"/>
  <c r="E40" i="11" s="1"/>
  <c r="E36" i="11" a="1"/>
  <c r="E36" i="11" s="1"/>
  <c r="H40" i="11" a="1"/>
  <c r="H40" i="11" s="1"/>
  <c r="F14" i="11"/>
  <c r="D19" i="13"/>
  <c r="F11" i="18"/>
  <c r="D22" i="13"/>
  <c r="O18" i="13"/>
  <c r="I43" i="16" l="1"/>
  <c r="K43" i="16" s="1"/>
  <c r="I44" i="16"/>
  <c r="I45" i="16"/>
  <c r="I39" i="16"/>
  <c r="K39" i="16" s="1"/>
  <c r="I36" i="16"/>
  <c r="K36" i="16" s="1"/>
  <c r="I41" i="16"/>
  <c r="K41" i="16" s="1"/>
  <c r="I30" i="16"/>
  <c r="K30" i="16" s="1"/>
  <c r="I31" i="16"/>
  <c r="K31" i="16" s="1"/>
  <c r="I33" i="16"/>
  <c r="K33" i="16" s="1"/>
  <c r="I38" i="16"/>
  <c r="K38" i="16" s="1"/>
  <c r="I28" i="16"/>
  <c r="K28" i="16" s="1"/>
  <c r="I37" i="16"/>
  <c r="K37" i="16" s="1"/>
  <c r="I32" i="16"/>
  <c r="K32" i="16" s="1"/>
  <c r="I40" i="16"/>
  <c r="K40" i="16" s="1"/>
  <c r="I29" i="16"/>
  <c r="K29" i="16" s="1"/>
  <c r="I42" i="16"/>
  <c r="K42" i="16" s="1"/>
  <c r="I35" i="16"/>
  <c r="K35" i="16" s="1"/>
  <c r="I27" i="16"/>
  <c r="I26" i="16"/>
  <c r="I34" i="16"/>
  <c r="K34" i="16" s="1"/>
  <c r="C40" i="25"/>
  <c r="E40" i="25" s="1"/>
  <c r="H70" i="17"/>
  <c r="H69" i="17"/>
  <c r="H68" i="17"/>
  <c r="H67" i="17"/>
  <c r="I46" i="16" l="1"/>
  <c r="E19" i="11" a="1"/>
  <c r="E19" i="11" s="1"/>
  <c r="Q14" i="13"/>
  <c r="I17" i="27"/>
  <c r="I16" i="27"/>
  <c r="I15" i="27"/>
  <c r="H16" i="28" s="1"/>
  <c r="I14" i="27"/>
  <c r="H15" i="28" s="1"/>
  <c r="D25" i="28"/>
  <c r="E25" i="28" s="1"/>
  <c r="D26" i="28"/>
  <c r="E26" i="28" s="1"/>
  <c r="D27" i="28"/>
  <c r="E27" i="28" s="1"/>
  <c r="D28" i="28"/>
  <c r="E28" i="28" s="1"/>
  <c r="D29" i="28"/>
  <c r="E29" i="28" s="1"/>
  <c r="D30" i="28"/>
  <c r="E30" i="28" s="1"/>
  <c r="D24" i="28"/>
  <c r="E24" i="28" s="1"/>
  <c r="F15" i="28"/>
  <c r="K17" i="27"/>
  <c r="K16" i="27"/>
  <c r="K15" i="27"/>
  <c r="K14" i="27"/>
  <c r="J15" i="27"/>
  <c r="J14" i="27"/>
  <c r="J17" i="27"/>
  <c r="J16" i="27"/>
  <c r="H17" i="28" l="1"/>
  <c r="H18" i="28"/>
  <c r="H19" i="28"/>
  <c r="I19" i="28" s="1"/>
  <c r="F28" i="28" s="1"/>
  <c r="G28" i="28" s="1"/>
  <c r="H28" i="28" s="1"/>
  <c r="H20" i="28"/>
  <c r="I20" i="28" s="1"/>
  <c r="F29" i="28" s="1"/>
  <c r="G29" i="28" s="1"/>
  <c r="H29" i="28" s="1"/>
  <c r="H21" i="28"/>
  <c r="I21" i="28" s="1"/>
  <c r="F30" i="28" s="1"/>
  <c r="G30" i="28" s="1"/>
  <c r="H30" i="28" s="1"/>
  <c r="G16" i="28"/>
  <c r="F16" i="28"/>
  <c r="G17" i="28"/>
  <c r="G18" i="28"/>
  <c r="G19" i="28"/>
  <c r="G20" i="28"/>
  <c r="G21" i="28"/>
  <c r="G15" i="28"/>
  <c r="I15" i="28" s="1"/>
  <c r="F24" i="28" s="1"/>
  <c r="G24" i="28" s="1"/>
  <c r="H24" i="28" s="1"/>
  <c r="F21" i="28"/>
  <c r="F17" i="28"/>
  <c r="F18" i="28"/>
  <c r="F19" i="28"/>
  <c r="F20" i="28"/>
  <c r="D21" i="28"/>
  <c r="E21" i="28" s="1"/>
  <c r="D20" i="28"/>
  <c r="E20" i="28" s="1"/>
  <c r="D19" i="28"/>
  <c r="E19" i="28" s="1"/>
  <c r="D16" i="28"/>
  <c r="E16" i="28" s="1"/>
  <c r="D17" i="28"/>
  <c r="E17" i="28" s="1"/>
  <c r="D18" i="28"/>
  <c r="E18" i="28" s="1"/>
  <c r="D15" i="28"/>
  <c r="E15" i="28" s="1"/>
  <c r="F10" i="28"/>
  <c r="O15" i="13"/>
  <c r="F9" i="11"/>
  <c r="F9" i="18"/>
  <c r="H80" i="24" a="1"/>
  <c r="H80" i="24" s="1"/>
  <c r="H81" i="24" a="1"/>
  <c r="H81" i="24" s="1"/>
  <c r="H82" i="24" a="1"/>
  <c r="H82" i="24" s="1"/>
  <c r="H83" i="24" a="1"/>
  <c r="H83" i="24" s="1"/>
  <c r="H84" i="24" a="1"/>
  <c r="H84" i="24" s="1"/>
  <c r="H85" i="24" a="1"/>
  <c r="H85" i="24" s="1"/>
  <c r="H86" i="24" a="1"/>
  <c r="H86" i="24" s="1"/>
  <c r="H87" i="24" a="1"/>
  <c r="H87" i="24" s="1"/>
  <c r="H88" i="24" a="1"/>
  <c r="H88" i="24" s="1"/>
  <c r="H89" i="24" a="1"/>
  <c r="H89" i="24" s="1"/>
  <c r="H90" i="24" a="1"/>
  <c r="H90" i="24" s="1"/>
  <c r="H91" i="24" a="1"/>
  <c r="H91" i="24" s="1"/>
  <c r="H92" i="24" a="1"/>
  <c r="H92" i="24" s="1"/>
  <c r="H93" i="24" a="1"/>
  <c r="H93" i="24" s="1"/>
  <c r="H94" i="24" a="1"/>
  <c r="H94" i="24" s="1"/>
  <c r="H95" i="24" a="1"/>
  <c r="H95" i="24" s="1"/>
  <c r="H96" i="24" a="1"/>
  <c r="H96" i="24" s="1"/>
  <c r="H97" i="24" a="1"/>
  <c r="H97" i="24" s="1"/>
  <c r="H98" i="24" a="1"/>
  <c r="H98" i="24" s="1"/>
  <c r="H99" i="24" a="1"/>
  <c r="H99" i="24" s="1"/>
  <c r="H100" i="24" a="1"/>
  <c r="H100" i="24" s="1"/>
  <c r="H101" i="24" a="1"/>
  <c r="H101" i="24" s="1"/>
  <c r="H102" i="24" a="1"/>
  <c r="H102" i="24" s="1"/>
  <c r="H103" i="24" a="1"/>
  <c r="H103" i="24" s="1"/>
  <c r="H104" i="24" a="1"/>
  <c r="H104" i="24" s="1"/>
  <c r="H105" i="24" a="1"/>
  <c r="H105" i="24" s="1"/>
  <c r="H106" i="24" a="1"/>
  <c r="H106" i="24" s="1"/>
  <c r="H107" i="24" a="1"/>
  <c r="H107" i="24" s="1"/>
  <c r="H108" i="24" a="1"/>
  <c r="H108" i="24" s="1"/>
  <c r="H109" i="24" a="1"/>
  <c r="H109" i="24" s="1"/>
  <c r="H110" i="24" a="1"/>
  <c r="H110" i="24" s="1"/>
  <c r="H111" i="24" a="1"/>
  <c r="H111" i="24" s="1"/>
  <c r="H112" i="24" a="1"/>
  <c r="H112" i="24" s="1"/>
  <c r="H113" i="24" a="1"/>
  <c r="H113" i="24" s="1"/>
  <c r="H114" i="24" a="1"/>
  <c r="H114" i="24" s="1"/>
  <c r="H115" i="24" a="1"/>
  <c r="H115" i="24" s="1"/>
  <c r="H116" i="24" a="1"/>
  <c r="H116" i="24" s="1"/>
  <c r="H117" i="24" a="1"/>
  <c r="H117" i="24" s="1"/>
  <c r="H118" i="24" a="1"/>
  <c r="H118" i="24" s="1"/>
  <c r="H119" i="24" a="1"/>
  <c r="H119" i="24" s="1"/>
  <c r="H120" i="24" a="1"/>
  <c r="H120" i="24" s="1"/>
  <c r="H121" i="24" a="1"/>
  <c r="H121" i="24" s="1"/>
  <c r="H122" i="24" a="1"/>
  <c r="H122" i="24" s="1"/>
  <c r="H123" i="24" a="1"/>
  <c r="H123" i="24" s="1"/>
  <c r="H124" i="24" a="1"/>
  <c r="H124" i="24" s="1"/>
  <c r="H125" i="24" a="1"/>
  <c r="H125" i="24" s="1"/>
  <c r="H126" i="24" a="1"/>
  <c r="H126" i="24" s="1"/>
  <c r="H127" i="24" a="1"/>
  <c r="H127" i="24" s="1"/>
  <c r="H128" i="24" a="1"/>
  <c r="H128" i="24" s="1"/>
  <c r="H129" i="24" a="1"/>
  <c r="H129" i="24" s="1"/>
  <c r="H130" i="24" a="1"/>
  <c r="H130" i="24" s="1"/>
  <c r="H131" i="24" a="1"/>
  <c r="H131" i="24" s="1"/>
  <c r="H132" i="24" a="1"/>
  <c r="H132" i="24" s="1"/>
  <c r="H133" i="24" a="1"/>
  <c r="H133" i="24" s="1"/>
  <c r="H134" i="24" a="1"/>
  <c r="H134" i="24" s="1"/>
  <c r="H135" i="24" a="1"/>
  <c r="H135" i="24" s="1"/>
  <c r="H136" i="24" a="1"/>
  <c r="H136" i="24" s="1"/>
  <c r="H137" i="24" a="1"/>
  <c r="H137" i="24" s="1"/>
  <c r="H138" i="24" a="1"/>
  <c r="H138" i="24" s="1"/>
  <c r="H139" i="24" a="1"/>
  <c r="H139" i="24" s="1"/>
  <c r="H140" i="24" a="1"/>
  <c r="H140" i="24" s="1"/>
  <c r="H141" i="24" a="1"/>
  <c r="H141" i="24" s="1"/>
  <c r="H142" i="24" a="1"/>
  <c r="H142" i="24" s="1"/>
  <c r="H143" i="24" a="1"/>
  <c r="H143" i="24" s="1"/>
  <c r="H144" i="24" a="1"/>
  <c r="H144" i="24" s="1"/>
  <c r="H145" i="24" a="1"/>
  <c r="H145" i="24" s="1"/>
  <c r="H146" i="24" a="1"/>
  <c r="H146" i="24" s="1"/>
  <c r="H147" i="24" a="1"/>
  <c r="H147" i="24" s="1"/>
  <c r="H148" i="24" a="1"/>
  <c r="H148" i="24" s="1"/>
  <c r="H149" i="24" a="1"/>
  <c r="H149" i="24" s="1"/>
  <c r="H150" i="24" a="1"/>
  <c r="H150" i="24" s="1"/>
  <c r="H151" i="24" a="1"/>
  <c r="H151" i="24" s="1"/>
  <c r="H152" i="24" a="1"/>
  <c r="H152" i="24" s="1"/>
  <c r="H153" i="24" a="1"/>
  <c r="H153" i="24" s="1"/>
  <c r="H154" i="24" a="1"/>
  <c r="H154" i="24" s="1"/>
  <c r="H155" i="24" a="1"/>
  <c r="H155" i="24" s="1"/>
  <c r="H156" i="24" a="1"/>
  <c r="H156" i="24" s="1"/>
  <c r="H157" i="24" a="1"/>
  <c r="H157" i="24" s="1"/>
  <c r="H158" i="24" a="1"/>
  <c r="H158" i="24" s="1"/>
  <c r="H159" i="24" a="1"/>
  <c r="H159" i="24" s="1"/>
  <c r="H160" i="24" a="1"/>
  <c r="H160" i="24" s="1"/>
  <c r="H161" i="24" a="1"/>
  <c r="H161" i="24" s="1"/>
  <c r="H162" i="24" a="1"/>
  <c r="H162" i="24" s="1"/>
  <c r="H163" i="24" a="1"/>
  <c r="H163" i="24" s="1"/>
  <c r="H164" i="24" a="1"/>
  <c r="H164" i="24" s="1"/>
  <c r="H165" i="24" a="1"/>
  <c r="H165" i="24" s="1"/>
  <c r="H166" i="24" a="1"/>
  <c r="H166" i="24" s="1"/>
  <c r="H167" i="24" a="1"/>
  <c r="H167" i="24" s="1"/>
  <c r="H168" i="24" a="1"/>
  <c r="H168" i="24" s="1"/>
  <c r="H169" i="24" a="1"/>
  <c r="H169" i="24" s="1"/>
  <c r="H170" i="24" a="1"/>
  <c r="H170" i="24" s="1"/>
  <c r="H171" i="24" a="1"/>
  <c r="H171" i="24" s="1"/>
  <c r="H172" i="24" a="1"/>
  <c r="H172" i="24" s="1"/>
  <c r="H173" i="24" a="1"/>
  <c r="H173" i="24" s="1"/>
  <c r="H174" i="24" a="1"/>
  <c r="H174" i="24" s="1"/>
  <c r="H175" i="24" a="1"/>
  <c r="H175" i="24" s="1"/>
  <c r="H176" i="24" a="1"/>
  <c r="H176" i="24" s="1"/>
  <c r="H177" i="24" a="1"/>
  <c r="H177" i="24" s="1"/>
  <c r="H178" i="24" a="1"/>
  <c r="H178" i="24" s="1"/>
  <c r="H179" i="24" a="1"/>
  <c r="H179" i="24" s="1"/>
  <c r="H180" i="24" a="1"/>
  <c r="H180" i="24" s="1"/>
  <c r="H181" i="24" a="1"/>
  <c r="H181" i="24" s="1"/>
  <c r="H182" i="24" a="1"/>
  <c r="H182" i="24" s="1"/>
  <c r="H183" i="24" a="1"/>
  <c r="H183" i="24" s="1"/>
  <c r="H184" i="24" a="1"/>
  <c r="H184" i="24" s="1"/>
  <c r="H185" i="24" a="1"/>
  <c r="H185" i="24" s="1"/>
  <c r="G80" i="24" a="1"/>
  <c r="G80" i="24" s="1"/>
  <c r="G81" i="24" a="1"/>
  <c r="G81" i="24" s="1"/>
  <c r="G82" i="24" a="1"/>
  <c r="G82" i="24" s="1"/>
  <c r="G83" i="24" a="1"/>
  <c r="G83" i="24" s="1"/>
  <c r="G84" i="24" a="1"/>
  <c r="G84" i="24" s="1"/>
  <c r="G85" i="24" a="1"/>
  <c r="G85" i="24" s="1"/>
  <c r="G86" i="24" a="1"/>
  <c r="G86" i="24" s="1"/>
  <c r="G87" i="24" a="1"/>
  <c r="G87" i="24" s="1"/>
  <c r="G88" i="24" a="1"/>
  <c r="G88" i="24" s="1"/>
  <c r="G89" i="24" a="1"/>
  <c r="G89" i="24" s="1"/>
  <c r="G90" i="24" a="1"/>
  <c r="G90" i="24" s="1"/>
  <c r="G91" i="24" a="1"/>
  <c r="G91" i="24" s="1"/>
  <c r="G92" i="24" a="1"/>
  <c r="G92" i="24" s="1"/>
  <c r="G93" i="24" a="1"/>
  <c r="G93" i="24" s="1"/>
  <c r="G94" i="24" a="1"/>
  <c r="G94" i="24" s="1"/>
  <c r="G95" i="24" a="1"/>
  <c r="G95" i="24" s="1"/>
  <c r="G96" i="24" a="1"/>
  <c r="G96" i="24" s="1"/>
  <c r="G97" i="24" a="1"/>
  <c r="G97" i="24" s="1"/>
  <c r="G98" i="24" a="1"/>
  <c r="G98" i="24" s="1"/>
  <c r="G99" i="24" a="1"/>
  <c r="G99" i="24" s="1"/>
  <c r="G100" i="24" a="1"/>
  <c r="G100" i="24" s="1"/>
  <c r="G101" i="24" a="1"/>
  <c r="G101" i="24" s="1"/>
  <c r="G102" i="24" a="1"/>
  <c r="G102" i="24" s="1"/>
  <c r="G103" i="24" a="1"/>
  <c r="G103" i="24" s="1"/>
  <c r="G104" i="24" a="1"/>
  <c r="G104" i="24" s="1"/>
  <c r="G105" i="24" a="1"/>
  <c r="G105" i="24" s="1"/>
  <c r="G106" i="24" a="1"/>
  <c r="G106" i="24" s="1"/>
  <c r="G107" i="24" a="1"/>
  <c r="G107" i="24" s="1"/>
  <c r="G108" i="24" a="1"/>
  <c r="G108" i="24" s="1"/>
  <c r="G109" i="24" a="1"/>
  <c r="G109" i="24" s="1"/>
  <c r="G110" i="24" a="1"/>
  <c r="G110" i="24" s="1"/>
  <c r="G111" i="24" a="1"/>
  <c r="G111" i="24" s="1"/>
  <c r="G112" i="24" a="1"/>
  <c r="G112" i="24" s="1"/>
  <c r="G113" i="24" a="1"/>
  <c r="G113" i="24" s="1"/>
  <c r="G114" i="24" a="1"/>
  <c r="G114" i="24" s="1"/>
  <c r="G115" i="24" a="1"/>
  <c r="G115" i="24" s="1"/>
  <c r="G116" i="24" a="1"/>
  <c r="G116" i="24" s="1"/>
  <c r="G117" i="24" a="1"/>
  <c r="G117" i="24" s="1"/>
  <c r="G118" i="24" a="1"/>
  <c r="G118" i="24" s="1"/>
  <c r="G119" i="24" a="1"/>
  <c r="G119" i="24" s="1"/>
  <c r="G120" i="24" a="1"/>
  <c r="G120" i="24" s="1"/>
  <c r="G121" i="24" a="1"/>
  <c r="G121" i="24" s="1"/>
  <c r="G122" i="24" a="1"/>
  <c r="G122" i="24" s="1"/>
  <c r="G123" i="24" a="1"/>
  <c r="G123" i="24" s="1"/>
  <c r="G124" i="24" a="1"/>
  <c r="G124" i="24" s="1"/>
  <c r="G125" i="24" a="1"/>
  <c r="G125" i="24" s="1"/>
  <c r="G126" i="24" a="1"/>
  <c r="G126" i="24" s="1"/>
  <c r="G127" i="24" a="1"/>
  <c r="G127" i="24" s="1"/>
  <c r="G128" i="24" a="1"/>
  <c r="G128" i="24" s="1"/>
  <c r="G129" i="24" a="1"/>
  <c r="G129" i="24" s="1"/>
  <c r="G130" i="24" a="1"/>
  <c r="G130" i="24" s="1"/>
  <c r="G131" i="24" a="1"/>
  <c r="G131" i="24" s="1"/>
  <c r="G132" i="24" a="1"/>
  <c r="G132" i="24" s="1"/>
  <c r="G133" i="24" a="1"/>
  <c r="G133" i="24" s="1"/>
  <c r="G134" i="24" a="1"/>
  <c r="G134" i="24" s="1"/>
  <c r="G135" i="24" a="1"/>
  <c r="G135" i="24" s="1"/>
  <c r="G136" i="24" a="1"/>
  <c r="G136" i="24" s="1"/>
  <c r="G137" i="24" a="1"/>
  <c r="G137" i="24" s="1"/>
  <c r="G138" i="24" a="1"/>
  <c r="G138" i="24" s="1"/>
  <c r="G139" i="24" a="1"/>
  <c r="G139" i="24" s="1"/>
  <c r="G140" i="24" a="1"/>
  <c r="G140" i="24" s="1"/>
  <c r="G141" i="24" a="1"/>
  <c r="G141" i="24" s="1"/>
  <c r="G142" i="24" a="1"/>
  <c r="G142" i="24" s="1"/>
  <c r="G143" i="24" a="1"/>
  <c r="G143" i="24" s="1"/>
  <c r="G144" i="24" a="1"/>
  <c r="G144" i="24" s="1"/>
  <c r="G145" i="24" a="1"/>
  <c r="G145" i="24" s="1"/>
  <c r="G146" i="24" a="1"/>
  <c r="G146" i="24" s="1"/>
  <c r="G147" i="24" a="1"/>
  <c r="G147" i="24" s="1"/>
  <c r="G148" i="24" a="1"/>
  <c r="G148" i="24" s="1"/>
  <c r="G149" i="24" a="1"/>
  <c r="G149" i="24" s="1"/>
  <c r="G150" i="24" a="1"/>
  <c r="G150" i="24" s="1"/>
  <c r="G151" i="24" a="1"/>
  <c r="G151" i="24" s="1"/>
  <c r="G152" i="24" a="1"/>
  <c r="G152" i="24" s="1"/>
  <c r="G153" i="24" a="1"/>
  <c r="G153" i="24" s="1"/>
  <c r="G154" i="24" a="1"/>
  <c r="G154" i="24" s="1"/>
  <c r="G155" i="24" a="1"/>
  <c r="G155" i="24" s="1"/>
  <c r="G156" i="24" a="1"/>
  <c r="G156" i="24" s="1"/>
  <c r="G157" i="24" a="1"/>
  <c r="G157" i="24" s="1"/>
  <c r="G158" i="24" a="1"/>
  <c r="G158" i="24" s="1"/>
  <c r="G159" i="24" a="1"/>
  <c r="G159" i="24" s="1"/>
  <c r="G160" i="24" a="1"/>
  <c r="G160" i="24" s="1"/>
  <c r="G161" i="24" a="1"/>
  <c r="G161" i="24" s="1"/>
  <c r="G162" i="24" a="1"/>
  <c r="G162" i="24" s="1"/>
  <c r="G163" i="24" a="1"/>
  <c r="G163" i="24" s="1"/>
  <c r="G164" i="24" a="1"/>
  <c r="G164" i="24" s="1"/>
  <c r="G165" i="24" a="1"/>
  <c r="G165" i="24" s="1"/>
  <c r="G166" i="24" a="1"/>
  <c r="G166" i="24" s="1"/>
  <c r="G167" i="24" a="1"/>
  <c r="G167" i="24" s="1"/>
  <c r="G168" i="24" a="1"/>
  <c r="G168" i="24" s="1"/>
  <c r="G169" i="24" a="1"/>
  <c r="G169" i="24" s="1"/>
  <c r="G170" i="24" a="1"/>
  <c r="G170" i="24" s="1"/>
  <c r="G171" i="24" a="1"/>
  <c r="G171" i="24" s="1"/>
  <c r="G172" i="24" a="1"/>
  <c r="G172" i="24" s="1"/>
  <c r="G173" i="24" a="1"/>
  <c r="G173" i="24" s="1"/>
  <c r="G174" i="24" a="1"/>
  <c r="G174" i="24" s="1"/>
  <c r="G175" i="24" a="1"/>
  <c r="G175" i="24" s="1"/>
  <c r="G176" i="24" a="1"/>
  <c r="G176" i="24" s="1"/>
  <c r="G177" i="24" a="1"/>
  <c r="G177" i="24" s="1"/>
  <c r="G178" i="24" a="1"/>
  <c r="G178" i="24" s="1"/>
  <c r="G179" i="24" a="1"/>
  <c r="G179" i="24" s="1"/>
  <c r="G180" i="24" a="1"/>
  <c r="G180" i="24" s="1"/>
  <c r="G181" i="24" a="1"/>
  <c r="G181" i="24" s="1"/>
  <c r="G182" i="24" a="1"/>
  <c r="G182" i="24" s="1"/>
  <c r="G183" i="24" a="1"/>
  <c r="G183" i="24" s="1"/>
  <c r="G184" i="24" a="1"/>
  <c r="G184" i="24" s="1"/>
  <c r="G185" i="24" a="1"/>
  <c r="G185" i="24" s="1"/>
  <c r="C79" i="25"/>
  <c r="E79" i="25" s="1"/>
  <c r="C78" i="25"/>
  <c r="E78" i="25" s="1"/>
  <c r="C77" i="25"/>
  <c r="E77" i="25" s="1"/>
  <c r="C76" i="25"/>
  <c r="E76" i="25" s="1"/>
  <c r="C75" i="25"/>
  <c r="E75" i="25" s="1"/>
  <c r="C74" i="25"/>
  <c r="E74" i="25" s="1"/>
  <c r="C73" i="25"/>
  <c r="E73" i="25" s="1"/>
  <c r="C72" i="25"/>
  <c r="E72" i="25" s="1"/>
  <c r="C71" i="25"/>
  <c r="E71" i="25" s="1"/>
  <c r="C70" i="25"/>
  <c r="E70" i="25" s="1"/>
  <c r="C69" i="25"/>
  <c r="E69" i="25" s="1"/>
  <c r="C68" i="25"/>
  <c r="E68" i="25" s="1"/>
  <c r="C67" i="25"/>
  <c r="E67" i="25" s="1"/>
  <c r="C66" i="25"/>
  <c r="E66" i="25" s="1"/>
  <c r="C65" i="25"/>
  <c r="E65" i="25" s="1"/>
  <c r="C64" i="25"/>
  <c r="E64" i="25" s="1"/>
  <c r="C63" i="25"/>
  <c r="E63" i="25" s="1"/>
  <c r="C62" i="25"/>
  <c r="E62" i="25" s="1"/>
  <c r="C61" i="25"/>
  <c r="E61" i="25" s="1"/>
  <c r="C60" i="25"/>
  <c r="E60" i="25" s="1"/>
  <c r="C59" i="25"/>
  <c r="E59" i="25" s="1"/>
  <c r="C58" i="25"/>
  <c r="E58" i="25" s="1"/>
  <c r="C57" i="25"/>
  <c r="E57" i="25" s="1"/>
  <c r="C56" i="25"/>
  <c r="E56" i="25" s="1"/>
  <c r="C55" i="25"/>
  <c r="E55" i="25" s="1"/>
  <c r="C54" i="25"/>
  <c r="E54" i="25" s="1"/>
  <c r="C53" i="25"/>
  <c r="E53" i="25" s="1"/>
  <c r="C52" i="25"/>
  <c r="E52" i="25" s="1"/>
  <c r="C51" i="25"/>
  <c r="E51" i="25" s="1"/>
  <c r="C50" i="25"/>
  <c r="E50" i="25" s="1"/>
  <c r="C49" i="25"/>
  <c r="E49" i="25" s="1"/>
  <c r="C48" i="25"/>
  <c r="E48" i="25" s="1"/>
  <c r="C47" i="25"/>
  <c r="E47" i="25" s="1"/>
  <c r="C46" i="25"/>
  <c r="E46" i="25" s="1"/>
  <c r="C45" i="25"/>
  <c r="E45" i="25" s="1"/>
  <c r="C44" i="25"/>
  <c r="E44" i="25" s="1"/>
  <c r="C43" i="25"/>
  <c r="E43" i="25" s="1"/>
  <c r="C42" i="25"/>
  <c r="E42" i="25" s="1"/>
  <c r="C41" i="25"/>
  <c r="E41" i="25" s="1"/>
  <c r="C39" i="25"/>
  <c r="E39" i="25" s="1"/>
  <c r="C38" i="25"/>
  <c r="E38" i="25" s="1"/>
  <c r="C37" i="25"/>
  <c r="E37" i="25" s="1"/>
  <c r="C36" i="25"/>
  <c r="E36" i="25" s="1"/>
  <c r="C35" i="25"/>
  <c r="E35" i="25" s="1"/>
  <c r="C34" i="25"/>
  <c r="E34" i="25" s="1"/>
  <c r="C33" i="25"/>
  <c r="E33" i="25" s="1"/>
  <c r="C32" i="25"/>
  <c r="E32" i="25" s="1"/>
  <c r="C31" i="25"/>
  <c r="E31" i="25" s="1"/>
  <c r="C30" i="25"/>
  <c r="E30" i="25" s="1"/>
  <c r="C29" i="25"/>
  <c r="E29" i="25" s="1"/>
  <c r="C28" i="25"/>
  <c r="E28" i="25" s="1"/>
  <c r="C27" i="25"/>
  <c r="E27" i="25" s="1"/>
  <c r="C26" i="25"/>
  <c r="E26" i="25" s="1"/>
  <c r="C25" i="25"/>
  <c r="E25" i="25" s="1"/>
  <c r="C24" i="25"/>
  <c r="E24" i="25" s="1"/>
  <c r="C23" i="25"/>
  <c r="E23" i="25" s="1"/>
  <c r="C22" i="25"/>
  <c r="E22" i="25" s="1"/>
  <c r="C21" i="25"/>
  <c r="E21" i="25" s="1"/>
  <c r="C20" i="25"/>
  <c r="E20" i="25" s="1"/>
  <c r="C19" i="25"/>
  <c r="E19" i="25" s="1"/>
  <c r="C18" i="25"/>
  <c r="E18" i="25" s="1"/>
  <c r="C17" i="25"/>
  <c r="E17" i="25" s="1"/>
  <c r="C16" i="25"/>
  <c r="E16" i="25" s="1"/>
  <c r="C15" i="25"/>
  <c r="E15" i="25" s="1"/>
  <c r="C14" i="25"/>
  <c r="E14" i="25" s="1"/>
  <c r="C13" i="25"/>
  <c r="E13" i="25" s="1"/>
  <c r="O163" i="15" a="1"/>
  <c r="O163" i="15" s="1"/>
  <c r="O164" i="15" a="1"/>
  <c r="O164" i="15" s="1"/>
  <c r="O165" i="15" a="1"/>
  <c r="O165" i="15" s="1"/>
  <c r="O166" i="15" a="1"/>
  <c r="O166" i="15" s="1"/>
  <c r="O167" i="15" a="1"/>
  <c r="O167" i="15" s="1"/>
  <c r="O168" i="15" a="1"/>
  <c r="O168" i="15" s="1"/>
  <c r="O169" i="15" a="1"/>
  <c r="O169" i="15" s="1"/>
  <c r="O170" i="15" a="1"/>
  <c r="O170" i="15" s="1"/>
  <c r="O171" i="15" a="1"/>
  <c r="O171" i="15" s="1"/>
  <c r="O172" i="15" a="1"/>
  <c r="O172" i="15" s="1"/>
  <c r="O173" i="15" a="1"/>
  <c r="O173" i="15" s="1"/>
  <c r="O174" i="15" a="1"/>
  <c r="O174" i="15" s="1"/>
  <c r="O175" i="15" a="1"/>
  <c r="O175" i="15" s="1"/>
  <c r="O176" i="15" a="1"/>
  <c r="O176" i="15" s="1"/>
  <c r="O177" i="15" a="1"/>
  <c r="O177" i="15" s="1"/>
  <c r="O178" i="15" a="1"/>
  <c r="O178" i="15" s="1"/>
  <c r="O179" i="15" a="1"/>
  <c r="O179" i="15" s="1"/>
  <c r="O180" i="15" a="1"/>
  <c r="O180" i="15" s="1"/>
  <c r="O181" i="15" a="1"/>
  <c r="O181" i="15" s="1"/>
  <c r="O182" i="15" a="1"/>
  <c r="O182" i="15" s="1"/>
  <c r="O183" i="15" a="1"/>
  <c r="O183" i="15" s="1"/>
  <c r="O184" i="15" a="1"/>
  <c r="O184" i="15" s="1"/>
  <c r="O185" i="15" a="1"/>
  <c r="O185" i="15" s="1"/>
  <c r="O186" i="15" a="1"/>
  <c r="O186" i="15" s="1"/>
  <c r="O187" i="15" a="1"/>
  <c r="O187" i="15" s="1"/>
  <c r="O188" i="15" a="1"/>
  <c r="O188" i="15" s="1"/>
  <c r="O189" i="15" a="1"/>
  <c r="O189" i="15" s="1"/>
  <c r="O190" i="15" a="1"/>
  <c r="O190" i="15" s="1"/>
  <c r="O191" i="15" a="1"/>
  <c r="O191" i="15" s="1"/>
  <c r="O192" i="15" a="1"/>
  <c r="O192" i="15" s="1"/>
  <c r="O193" i="15" a="1"/>
  <c r="O193" i="15" s="1"/>
  <c r="O194" i="15" a="1"/>
  <c r="O194" i="15" s="1"/>
  <c r="O195" i="15" a="1"/>
  <c r="O195" i="15" s="1"/>
  <c r="O196" i="15" a="1"/>
  <c r="O196" i="15" s="1"/>
  <c r="O197" i="15" a="1"/>
  <c r="O197" i="15" s="1"/>
  <c r="O198" i="15" a="1"/>
  <c r="O198" i="15" s="1"/>
  <c r="O199" i="15" a="1"/>
  <c r="O199" i="15" s="1"/>
  <c r="O200" i="15" a="1"/>
  <c r="O200" i="15" s="1"/>
  <c r="O201" i="15" a="1"/>
  <c r="O201" i="15" s="1"/>
  <c r="O202" i="15" a="1"/>
  <c r="O202" i="15" s="1"/>
  <c r="O203" i="15" a="1"/>
  <c r="O203" i="15" s="1"/>
  <c r="O204" i="15" a="1"/>
  <c r="O204" i="15" s="1"/>
  <c r="O205" i="15" a="1"/>
  <c r="O205" i="15" s="1"/>
  <c r="O206" i="15" a="1"/>
  <c r="O206" i="15" s="1"/>
  <c r="O207" i="15" a="1"/>
  <c r="O207" i="15" s="1"/>
  <c r="O208" i="15" a="1"/>
  <c r="O208" i="15" s="1"/>
  <c r="O209" i="15" a="1"/>
  <c r="O209" i="15" s="1"/>
  <c r="O210" i="15" a="1"/>
  <c r="O210" i="15" s="1"/>
  <c r="O211" i="15" a="1"/>
  <c r="O211" i="15" s="1"/>
  <c r="O212" i="15" a="1"/>
  <c r="O212" i="15" s="1"/>
  <c r="O213" i="15" a="1"/>
  <c r="O213" i="15" s="1"/>
  <c r="O214" i="15" a="1"/>
  <c r="O214" i="15" s="1"/>
  <c r="O215" i="15" a="1"/>
  <c r="O215" i="15" s="1"/>
  <c r="O216" i="15" a="1"/>
  <c r="O216" i="15" s="1"/>
  <c r="O217" i="15" a="1"/>
  <c r="O217" i="15" s="1"/>
  <c r="O218" i="15" a="1"/>
  <c r="O218" i="15" s="1"/>
  <c r="O219" i="15" a="1"/>
  <c r="O219" i="15" s="1"/>
  <c r="O220" i="15" a="1"/>
  <c r="O220" i="15" s="1"/>
  <c r="O221" i="15" a="1"/>
  <c r="O221" i="15" s="1"/>
  <c r="O222" i="15" a="1"/>
  <c r="O222" i="15" s="1"/>
  <c r="O223" i="15" a="1"/>
  <c r="O223" i="15" s="1"/>
  <c r="O224" i="15" a="1"/>
  <c r="O224" i="15" s="1"/>
  <c r="O225" i="15" a="1"/>
  <c r="O225" i="15" s="1"/>
  <c r="O226" i="15" a="1"/>
  <c r="O226" i="15" s="1"/>
  <c r="O227" i="15" a="1"/>
  <c r="O227" i="15" s="1"/>
  <c r="O228" i="15" a="1"/>
  <c r="O228" i="15" s="1"/>
  <c r="O229" i="15" a="1"/>
  <c r="O229" i="15" s="1"/>
  <c r="O230" i="15" a="1"/>
  <c r="O230" i="15" s="1"/>
  <c r="O231" i="15" a="1"/>
  <c r="O231" i="15" s="1"/>
  <c r="O232" i="15" a="1"/>
  <c r="O232" i="15" s="1"/>
  <c r="O233" i="15" a="1"/>
  <c r="O233" i="15" s="1"/>
  <c r="O234" i="15" a="1"/>
  <c r="O234" i="15" s="1"/>
  <c r="O235" i="15" a="1"/>
  <c r="O235" i="15" s="1"/>
  <c r="O236" i="15" a="1"/>
  <c r="O236" i="15" s="1"/>
  <c r="O237" i="15" a="1"/>
  <c r="O237" i="15" s="1"/>
  <c r="O238" i="15" a="1"/>
  <c r="O238" i="15" s="1"/>
  <c r="O239" i="15" a="1"/>
  <c r="O239" i="15" s="1"/>
  <c r="O240" i="15" a="1"/>
  <c r="O240" i="15" s="1"/>
  <c r="O241" i="15" a="1"/>
  <c r="O241" i="15" s="1"/>
  <c r="O242" i="15" a="1"/>
  <c r="O242" i="15" s="1"/>
  <c r="O243" i="15" a="1"/>
  <c r="O243" i="15" s="1"/>
  <c r="O244" i="15" a="1"/>
  <c r="O244" i="15" s="1"/>
  <c r="O245" i="15" a="1"/>
  <c r="O245" i="15" s="1"/>
  <c r="O246" i="15" a="1"/>
  <c r="O246" i="15" s="1"/>
  <c r="O247" i="15" a="1"/>
  <c r="O247" i="15" s="1"/>
  <c r="O248" i="15" a="1"/>
  <c r="O248" i="15" s="1"/>
  <c r="O249" i="15" a="1"/>
  <c r="O249" i="15" s="1"/>
  <c r="O250" i="15" a="1"/>
  <c r="O250" i="15" s="1"/>
  <c r="O251" i="15" a="1"/>
  <c r="O251" i="15" s="1"/>
  <c r="O252" i="15" a="1"/>
  <c r="O252" i="15" s="1"/>
  <c r="O253" i="15" a="1"/>
  <c r="O253" i="15" s="1"/>
  <c r="O254" i="15" a="1"/>
  <c r="O254" i="15" s="1"/>
  <c r="O255" i="15" a="1"/>
  <c r="O255" i="15" s="1"/>
  <c r="O256" i="15" a="1"/>
  <c r="O256" i="15" s="1"/>
  <c r="O257" i="15" a="1"/>
  <c r="O257" i="15" s="1"/>
  <c r="O258" i="15" a="1"/>
  <c r="O258" i="15" s="1"/>
  <c r="O259" i="15" a="1"/>
  <c r="O259" i="15" s="1"/>
  <c r="O260" i="15" a="1"/>
  <c r="O260" i="15" s="1"/>
  <c r="O261" i="15" a="1"/>
  <c r="O261" i="15" s="1"/>
  <c r="O262" i="15" a="1"/>
  <c r="O262" i="15" s="1"/>
  <c r="O263" i="15" a="1"/>
  <c r="O263" i="15" s="1"/>
  <c r="O264" i="15" a="1"/>
  <c r="O264" i="15" s="1"/>
  <c r="O265" i="15" a="1"/>
  <c r="O265" i="15" s="1"/>
  <c r="O266" i="15" a="1"/>
  <c r="O266" i="15" s="1"/>
  <c r="O267" i="15" a="1"/>
  <c r="O267" i="15" s="1"/>
  <c r="O268" i="15" a="1"/>
  <c r="O268" i="15" s="1"/>
  <c r="O269" i="15" a="1"/>
  <c r="O269" i="15" s="1"/>
  <c r="O270" i="15" a="1"/>
  <c r="O270" i="15" s="1"/>
  <c r="O271" i="15" a="1"/>
  <c r="O271" i="15" s="1"/>
  <c r="O272" i="15" a="1"/>
  <c r="O272" i="15" s="1"/>
  <c r="L163" i="15" a="1"/>
  <c r="L163" i="15" s="1"/>
  <c r="L164" i="15" a="1"/>
  <c r="L164" i="15" s="1"/>
  <c r="L165" i="15" a="1"/>
  <c r="L165" i="15" s="1"/>
  <c r="L166" i="15" a="1"/>
  <c r="L166" i="15" s="1"/>
  <c r="L167" i="15" a="1"/>
  <c r="L167" i="15" s="1"/>
  <c r="L168" i="15" a="1"/>
  <c r="L168" i="15" s="1"/>
  <c r="L169" i="15" a="1"/>
  <c r="L169" i="15" s="1"/>
  <c r="L170" i="15" a="1"/>
  <c r="L170" i="15" s="1"/>
  <c r="L171" i="15" a="1"/>
  <c r="L171" i="15" s="1"/>
  <c r="L172" i="15" a="1"/>
  <c r="L172" i="15" s="1"/>
  <c r="L173" i="15" a="1"/>
  <c r="L173" i="15" s="1"/>
  <c r="L174" i="15" a="1"/>
  <c r="L174" i="15" s="1"/>
  <c r="L175" i="15" a="1"/>
  <c r="L175" i="15" s="1"/>
  <c r="L176" i="15" a="1"/>
  <c r="L176" i="15" s="1"/>
  <c r="L177" i="15" a="1"/>
  <c r="L177" i="15" s="1"/>
  <c r="L178" i="15" a="1"/>
  <c r="L178" i="15" s="1"/>
  <c r="L179" i="15" a="1"/>
  <c r="L179" i="15" s="1"/>
  <c r="L180" i="15" a="1"/>
  <c r="L180" i="15" s="1"/>
  <c r="L181" i="15" a="1"/>
  <c r="L181" i="15" s="1"/>
  <c r="L182" i="15" a="1"/>
  <c r="L182" i="15" s="1"/>
  <c r="L183" i="15" a="1"/>
  <c r="L183" i="15" s="1"/>
  <c r="L184" i="15" a="1"/>
  <c r="L184" i="15" s="1"/>
  <c r="L185" i="15" a="1"/>
  <c r="L185" i="15" s="1"/>
  <c r="L186" i="15" a="1"/>
  <c r="L186" i="15" s="1"/>
  <c r="L187" i="15" a="1"/>
  <c r="L187" i="15" s="1"/>
  <c r="L188" i="15" a="1"/>
  <c r="L188" i="15" s="1"/>
  <c r="L189" i="15" a="1"/>
  <c r="L189" i="15" s="1"/>
  <c r="L190" i="15" a="1"/>
  <c r="L190" i="15" s="1"/>
  <c r="L191" i="15" a="1"/>
  <c r="L191" i="15" s="1"/>
  <c r="L192" i="15" a="1"/>
  <c r="L192" i="15" s="1"/>
  <c r="L193" i="15" a="1"/>
  <c r="L193" i="15" s="1"/>
  <c r="L194" i="15" a="1"/>
  <c r="L194" i="15" s="1"/>
  <c r="L195" i="15" a="1"/>
  <c r="L195" i="15" s="1"/>
  <c r="L196" i="15" a="1"/>
  <c r="L196" i="15" s="1"/>
  <c r="L197" i="15" a="1"/>
  <c r="L197" i="15" s="1"/>
  <c r="L198" i="15" a="1"/>
  <c r="L198" i="15" s="1"/>
  <c r="L199" i="15" a="1"/>
  <c r="L199" i="15" s="1"/>
  <c r="L200" i="15" a="1"/>
  <c r="L200" i="15" s="1"/>
  <c r="L201" i="15" a="1"/>
  <c r="L201" i="15" s="1"/>
  <c r="L202" i="15" a="1"/>
  <c r="L202" i="15" s="1"/>
  <c r="L203" i="15" a="1"/>
  <c r="L203" i="15" s="1"/>
  <c r="L204" i="15" a="1"/>
  <c r="L204" i="15" s="1"/>
  <c r="L205" i="15" a="1"/>
  <c r="L205" i="15" s="1"/>
  <c r="L206" i="15" a="1"/>
  <c r="L206" i="15" s="1"/>
  <c r="L207" i="15" a="1"/>
  <c r="L207" i="15" s="1"/>
  <c r="L208" i="15" a="1"/>
  <c r="L208" i="15" s="1"/>
  <c r="L209" i="15" a="1"/>
  <c r="L209" i="15" s="1"/>
  <c r="L210" i="15" a="1"/>
  <c r="L210" i="15" s="1"/>
  <c r="L211" i="15" a="1"/>
  <c r="L211" i="15" s="1"/>
  <c r="L212" i="15" a="1"/>
  <c r="L212" i="15" s="1"/>
  <c r="L213" i="15" a="1"/>
  <c r="L213" i="15" s="1"/>
  <c r="L214" i="15" a="1"/>
  <c r="L214" i="15" s="1"/>
  <c r="L215" i="15" a="1"/>
  <c r="L215" i="15" s="1"/>
  <c r="L216" i="15" a="1"/>
  <c r="L216" i="15" s="1"/>
  <c r="L217" i="15" a="1"/>
  <c r="L217" i="15" s="1"/>
  <c r="L218" i="15" a="1"/>
  <c r="L218" i="15" s="1"/>
  <c r="L219" i="15" a="1"/>
  <c r="L219" i="15" s="1"/>
  <c r="L220" i="15" a="1"/>
  <c r="L220" i="15" s="1"/>
  <c r="L221" i="15" a="1"/>
  <c r="L221" i="15" s="1"/>
  <c r="L222" i="15" a="1"/>
  <c r="L222" i="15" s="1"/>
  <c r="L223" i="15" a="1"/>
  <c r="L223" i="15" s="1"/>
  <c r="L224" i="15" a="1"/>
  <c r="L224" i="15" s="1"/>
  <c r="L225" i="15" a="1"/>
  <c r="L225" i="15" s="1"/>
  <c r="L226" i="15" a="1"/>
  <c r="L226" i="15" s="1"/>
  <c r="L227" i="15" a="1"/>
  <c r="L227" i="15" s="1"/>
  <c r="L228" i="15" a="1"/>
  <c r="L228" i="15" s="1"/>
  <c r="L229" i="15" a="1"/>
  <c r="L229" i="15" s="1"/>
  <c r="L230" i="15" a="1"/>
  <c r="L230" i="15" s="1"/>
  <c r="L231" i="15" a="1"/>
  <c r="L231" i="15" s="1"/>
  <c r="L232" i="15" a="1"/>
  <c r="L232" i="15" s="1"/>
  <c r="L233" i="15" a="1"/>
  <c r="L233" i="15" s="1"/>
  <c r="L234" i="15" a="1"/>
  <c r="L234" i="15" s="1"/>
  <c r="L235" i="15" a="1"/>
  <c r="L235" i="15" s="1"/>
  <c r="L236" i="15" a="1"/>
  <c r="L236" i="15" s="1"/>
  <c r="L237" i="15" a="1"/>
  <c r="L237" i="15" s="1"/>
  <c r="L238" i="15" a="1"/>
  <c r="L238" i="15" s="1"/>
  <c r="L239" i="15" a="1"/>
  <c r="L239" i="15" s="1"/>
  <c r="L240" i="15" a="1"/>
  <c r="L240" i="15" s="1"/>
  <c r="L241" i="15" a="1"/>
  <c r="L241" i="15" s="1"/>
  <c r="L242" i="15" a="1"/>
  <c r="L242" i="15" s="1"/>
  <c r="L243" i="15" a="1"/>
  <c r="L243" i="15" s="1"/>
  <c r="L244" i="15" a="1"/>
  <c r="L244" i="15" s="1"/>
  <c r="L245" i="15" a="1"/>
  <c r="L245" i="15" s="1"/>
  <c r="L246" i="15" a="1"/>
  <c r="L246" i="15" s="1"/>
  <c r="L247" i="15" a="1"/>
  <c r="L247" i="15" s="1"/>
  <c r="L248" i="15" a="1"/>
  <c r="L248" i="15" s="1"/>
  <c r="L249" i="15" a="1"/>
  <c r="L249" i="15" s="1"/>
  <c r="L250" i="15" a="1"/>
  <c r="L250" i="15" s="1"/>
  <c r="L251" i="15" a="1"/>
  <c r="L251" i="15" s="1"/>
  <c r="L252" i="15" a="1"/>
  <c r="L252" i="15" s="1"/>
  <c r="L253" i="15" a="1"/>
  <c r="L253" i="15" s="1"/>
  <c r="L254" i="15" a="1"/>
  <c r="L254" i="15" s="1"/>
  <c r="L255" i="15" a="1"/>
  <c r="L255" i="15" s="1"/>
  <c r="L256" i="15" a="1"/>
  <c r="L256" i="15" s="1"/>
  <c r="L257" i="15" a="1"/>
  <c r="L257" i="15" s="1"/>
  <c r="L258" i="15" a="1"/>
  <c r="L258" i="15" s="1"/>
  <c r="L259" i="15" a="1"/>
  <c r="L259" i="15" s="1"/>
  <c r="L260" i="15" a="1"/>
  <c r="L260" i="15" s="1"/>
  <c r="L261" i="15" a="1"/>
  <c r="L261" i="15" s="1"/>
  <c r="L262" i="15" a="1"/>
  <c r="L262" i="15" s="1"/>
  <c r="L263" i="15" a="1"/>
  <c r="L263" i="15" s="1"/>
  <c r="L264" i="15" a="1"/>
  <c r="L264" i="15" s="1"/>
  <c r="L265" i="15" a="1"/>
  <c r="L265" i="15" s="1"/>
  <c r="L266" i="15" a="1"/>
  <c r="L266" i="15" s="1"/>
  <c r="L267" i="15" a="1"/>
  <c r="L267" i="15" s="1"/>
  <c r="L268" i="15" a="1"/>
  <c r="L268" i="15" s="1"/>
  <c r="L269" i="15" a="1"/>
  <c r="L269" i="15" s="1"/>
  <c r="L270" i="15" a="1"/>
  <c r="L270" i="15" s="1"/>
  <c r="L271" i="15" a="1"/>
  <c r="L271" i="15" s="1"/>
  <c r="L272" i="15" a="1"/>
  <c r="L272" i="15" s="1"/>
  <c r="L273" i="15" a="1"/>
  <c r="L273" i="15" s="1"/>
  <c r="L274" i="15" a="1"/>
  <c r="L274" i="15" s="1"/>
  <c r="L275" i="15" a="1"/>
  <c r="L275" i="15" s="1"/>
  <c r="L276" i="15" a="1"/>
  <c r="L276" i="15" s="1"/>
  <c r="F80" i="24" a="1"/>
  <c r="F80" i="24" s="1"/>
  <c r="I80" i="24" a="1"/>
  <c r="I80" i="24" s="1"/>
  <c r="J80" i="24" a="1"/>
  <c r="J80" i="24" s="1"/>
  <c r="F81" i="24" a="1"/>
  <c r="F81" i="24" s="1"/>
  <c r="I81" i="24" a="1"/>
  <c r="I81" i="24" s="1"/>
  <c r="J81" i="24" a="1"/>
  <c r="J81" i="24" s="1"/>
  <c r="F82" i="24" a="1"/>
  <c r="F82" i="24" s="1"/>
  <c r="I82" i="24" a="1"/>
  <c r="I82" i="24" s="1"/>
  <c r="J82" i="24" a="1"/>
  <c r="J82" i="24" s="1"/>
  <c r="F83" i="24" a="1"/>
  <c r="F83" i="24" s="1"/>
  <c r="I83" i="24" a="1"/>
  <c r="I83" i="24" s="1"/>
  <c r="J83" i="24" a="1"/>
  <c r="J83" i="24" s="1"/>
  <c r="F84" i="24" a="1"/>
  <c r="F84" i="24" s="1"/>
  <c r="I84" i="24" a="1"/>
  <c r="I84" i="24" s="1"/>
  <c r="J84" i="24" a="1"/>
  <c r="J84" i="24" s="1"/>
  <c r="F85" i="24" a="1"/>
  <c r="F85" i="24" s="1"/>
  <c r="I85" i="24" a="1"/>
  <c r="I85" i="24" s="1"/>
  <c r="J85" i="24" a="1"/>
  <c r="J85" i="24" s="1"/>
  <c r="F86" i="24" a="1"/>
  <c r="F86" i="24" s="1"/>
  <c r="I86" i="24" a="1"/>
  <c r="I86" i="24" s="1"/>
  <c r="J86" i="24" a="1"/>
  <c r="J86" i="24" s="1"/>
  <c r="F87" i="24" a="1"/>
  <c r="F87" i="24" s="1"/>
  <c r="I87" i="24" a="1"/>
  <c r="I87" i="24" s="1"/>
  <c r="J87" i="24" a="1"/>
  <c r="J87" i="24" s="1"/>
  <c r="F88" i="24" a="1"/>
  <c r="F88" i="24" s="1"/>
  <c r="I88" i="24" a="1"/>
  <c r="I88" i="24" s="1"/>
  <c r="J88" i="24" a="1"/>
  <c r="J88" i="24" s="1"/>
  <c r="F89" i="24" a="1"/>
  <c r="F89" i="24" s="1"/>
  <c r="I89" i="24" a="1"/>
  <c r="I89" i="24" s="1"/>
  <c r="J89" i="24" a="1"/>
  <c r="J89" i="24" s="1"/>
  <c r="F90" i="24" a="1"/>
  <c r="F90" i="24" s="1"/>
  <c r="I90" i="24" a="1"/>
  <c r="I90" i="24" s="1"/>
  <c r="J90" i="24" a="1"/>
  <c r="J90" i="24" s="1"/>
  <c r="F91" i="24" a="1"/>
  <c r="F91" i="24" s="1"/>
  <c r="I91" i="24" a="1"/>
  <c r="I91" i="24" s="1"/>
  <c r="J91" i="24" a="1"/>
  <c r="J91" i="24" s="1"/>
  <c r="F92" i="24" a="1"/>
  <c r="F92" i="24" s="1"/>
  <c r="I92" i="24" a="1"/>
  <c r="I92" i="24" s="1"/>
  <c r="J92" i="24" a="1"/>
  <c r="J92" i="24" s="1"/>
  <c r="F93" i="24" a="1"/>
  <c r="F93" i="24" s="1"/>
  <c r="I93" i="24" a="1"/>
  <c r="I93" i="24" s="1"/>
  <c r="J93" i="24" a="1"/>
  <c r="J93" i="24" s="1"/>
  <c r="F94" i="24" a="1"/>
  <c r="F94" i="24" s="1"/>
  <c r="I94" i="24" a="1"/>
  <c r="I94" i="24" s="1"/>
  <c r="J94" i="24" a="1"/>
  <c r="J94" i="24" s="1"/>
  <c r="F95" i="24" a="1"/>
  <c r="F95" i="24" s="1"/>
  <c r="I95" i="24" a="1"/>
  <c r="I95" i="24" s="1"/>
  <c r="J95" i="24" a="1"/>
  <c r="J95" i="24" s="1"/>
  <c r="F96" i="24" a="1"/>
  <c r="F96" i="24" s="1"/>
  <c r="I96" i="24" a="1"/>
  <c r="I96" i="24" s="1"/>
  <c r="J96" i="24" a="1"/>
  <c r="J96" i="24" s="1"/>
  <c r="F97" i="24" a="1"/>
  <c r="F97" i="24" s="1"/>
  <c r="I97" i="24" a="1"/>
  <c r="I97" i="24" s="1"/>
  <c r="J97" i="24" a="1"/>
  <c r="J97" i="24" s="1"/>
  <c r="F98" i="24" a="1"/>
  <c r="F98" i="24" s="1"/>
  <c r="I98" i="24" a="1"/>
  <c r="I98" i="24" s="1"/>
  <c r="J98" i="24" a="1"/>
  <c r="J98" i="24" s="1"/>
  <c r="F99" i="24" a="1"/>
  <c r="F99" i="24" s="1"/>
  <c r="I99" i="24" a="1"/>
  <c r="I99" i="24" s="1"/>
  <c r="J99" i="24" a="1"/>
  <c r="J99" i="24" s="1"/>
  <c r="F100" i="24" a="1"/>
  <c r="F100" i="24" s="1"/>
  <c r="I100" i="24" a="1"/>
  <c r="I100" i="24" s="1"/>
  <c r="J100" i="24" a="1"/>
  <c r="J100" i="24" s="1"/>
  <c r="C79" i="24"/>
  <c r="E79" i="24" s="1"/>
  <c r="C78" i="24"/>
  <c r="E78" i="24" s="1"/>
  <c r="C77" i="24"/>
  <c r="E77" i="24" s="1"/>
  <c r="C76" i="24"/>
  <c r="E76" i="24" s="1"/>
  <c r="C75" i="24"/>
  <c r="E75" i="24" s="1"/>
  <c r="C74" i="24"/>
  <c r="E74" i="24" s="1"/>
  <c r="C73" i="24"/>
  <c r="E73" i="24" s="1"/>
  <c r="C72" i="24"/>
  <c r="E72" i="24" s="1"/>
  <c r="C71" i="24"/>
  <c r="E71" i="24" s="1"/>
  <c r="C70" i="24"/>
  <c r="E70" i="24" s="1"/>
  <c r="C69" i="24"/>
  <c r="E69" i="24" s="1"/>
  <c r="C68" i="24"/>
  <c r="E68" i="24" s="1"/>
  <c r="C67" i="24"/>
  <c r="E67" i="24" s="1"/>
  <c r="C66" i="24"/>
  <c r="E66" i="24" s="1"/>
  <c r="C65" i="24"/>
  <c r="E65" i="24" s="1"/>
  <c r="C64" i="24"/>
  <c r="E64" i="24" s="1"/>
  <c r="C63" i="24"/>
  <c r="E63" i="24" s="1"/>
  <c r="C62" i="24"/>
  <c r="E62" i="24" s="1"/>
  <c r="C61" i="24"/>
  <c r="E61" i="24" s="1"/>
  <c r="C60" i="24"/>
  <c r="E60" i="24" s="1"/>
  <c r="C59" i="24"/>
  <c r="E59" i="24" s="1"/>
  <c r="C58" i="24"/>
  <c r="E58" i="24" s="1"/>
  <c r="C57" i="24"/>
  <c r="E57" i="24" s="1"/>
  <c r="C56" i="24"/>
  <c r="E56" i="24" s="1"/>
  <c r="C55" i="24"/>
  <c r="E55" i="24" s="1"/>
  <c r="C54" i="24"/>
  <c r="E54" i="24" s="1"/>
  <c r="C53" i="24"/>
  <c r="E53" i="24" s="1"/>
  <c r="C52" i="24"/>
  <c r="E52" i="24" s="1"/>
  <c r="C51" i="24"/>
  <c r="E51" i="24" s="1"/>
  <c r="C50" i="24"/>
  <c r="E50" i="24" s="1"/>
  <c r="C49" i="24"/>
  <c r="E49" i="24" s="1"/>
  <c r="C48" i="24"/>
  <c r="E48" i="24" s="1"/>
  <c r="C47" i="24"/>
  <c r="E47" i="24" s="1"/>
  <c r="C46" i="24"/>
  <c r="E46" i="24" s="1"/>
  <c r="C45" i="24"/>
  <c r="E45" i="24" s="1"/>
  <c r="C44" i="24"/>
  <c r="E44" i="24" s="1"/>
  <c r="C43" i="24"/>
  <c r="E43" i="24" s="1"/>
  <c r="C42" i="24"/>
  <c r="E42" i="24" s="1"/>
  <c r="C41" i="24"/>
  <c r="E41" i="24" s="1"/>
  <c r="C40" i="24"/>
  <c r="E40" i="24" s="1"/>
  <c r="C39" i="24"/>
  <c r="E39" i="24" s="1"/>
  <c r="C38" i="24"/>
  <c r="E38" i="24" s="1"/>
  <c r="C37" i="24"/>
  <c r="E37" i="24" s="1"/>
  <c r="C36" i="24"/>
  <c r="E36" i="24" s="1"/>
  <c r="C35" i="24"/>
  <c r="E35" i="24" s="1"/>
  <c r="C34" i="24"/>
  <c r="E34" i="24" s="1"/>
  <c r="C33" i="24"/>
  <c r="E33" i="24" s="1"/>
  <c r="C32" i="24"/>
  <c r="E32" i="24" s="1"/>
  <c r="C31" i="24"/>
  <c r="E31" i="24" s="1"/>
  <c r="C30" i="24"/>
  <c r="E30" i="24" s="1"/>
  <c r="J30" i="24" s="1" a="1"/>
  <c r="J30" i="24" s="1"/>
  <c r="C29" i="24"/>
  <c r="E29" i="24" s="1"/>
  <c r="C28" i="24"/>
  <c r="E28" i="24" s="1"/>
  <c r="C27" i="24"/>
  <c r="E27" i="24" s="1"/>
  <c r="C26" i="24"/>
  <c r="E26" i="24" s="1"/>
  <c r="C25" i="24"/>
  <c r="E25" i="24" s="1"/>
  <c r="C24" i="24"/>
  <c r="E24" i="24" s="1"/>
  <c r="C23" i="24"/>
  <c r="E23" i="24" s="1"/>
  <c r="C22" i="24"/>
  <c r="E22" i="24" s="1"/>
  <c r="C21" i="24"/>
  <c r="E21" i="24" s="1"/>
  <c r="F21" i="24" s="1" a="1"/>
  <c r="F21" i="24" s="1"/>
  <c r="C20" i="24"/>
  <c r="E20" i="24" s="1"/>
  <c r="F20" i="24" s="1" a="1"/>
  <c r="F20" i="24" s="1"/>
  <c r="C19" i="24"/>
  <c r="E19" i="24" s="1"/>
  <c r="F19" i="24" s="1" a="1"/>
  <c r="F19" i="24" s="1"/>
  <c r="C18" i="24"/>
  <c r="E18" i="24" s="1"/>
  <c r="F18" i="24" s="1" a="1"/>
  <c r="F18" i="24" s="1"/>
  <c r="C17" i="24"/>
  <c r="E17" i="24" s="1"/>
  <c r="F17" i="24" s="1" a="1"/>
  <c r="F17" i="24" s="1"/>
  <c r="C16" i="24"/>
  <c r="E16" i="24" s="1"/>
  <c r="F16" i="24" s="1" a="1"/>
  <c r="F16" i="24" s="1"/>
  <c r="C15" i="24"/>
  <c r="E15" i="24" s="1"/>
  <c r="H15" i="24" s="1" a="1"/>
  <c r="H15" i="24" s="1"/>
  <c r="C14" i="24"/>
  <c r="E14" i="24" s="1"/>
  <c r="C13" i="24"/>
  <c r="E13" i="24" s="1"/>
  <c r="I13" i="24" s="1" a="1"/>
  <c r="I13" i="24" s="1"/>
  <c r="C15" i="23"/>
  <c r="C14" i="23"/>
  <c r="C13" i="23"/>
  <c r="I17" i="28" l="1"/>
  <c r="F26" i="28" s="1"/>
  <c r="G26" i="28" s="1"/>
  <c r="H26" i="28" s="1"/>
  <c r="I16" i="28"/>
  <c r="F25" i="28" s="1"/>
  <c r="G25" i="28" s="1"/>
  <c r="H25" i="28" s="1"/>
  <c r="I18" i="28"/>
  <c r="F27" i="28" s="1"/>
  <c r="G27" i="28" s="1"/>
  <c r="H27" i="28" s="1"/>
  <c r="F14" i="24" a="1"/>
  <c r="F14" i="24" s="1"/>
  <c r="H14" i="24" a="1"/>
  <c r="H14" i="24" s="1"/>
  <c r="J14" i="24" a="1"/>
  <c r="J14" i="24" s="1"/>
  <c r="J25" i="24" a="1"/>
  <c r="J25" i="24" s="1"/>
  <c r="H25" i="24" a="1"/>
  <c r="H25" i="24" s="1"/>
  <c r="F29" i="24" a="1"/>
  <c r="F29" i="24" s="1"/>
  <c r="J29" i="24" a="1"/>
  <c r="J29" i="24" s="1"/>
  <c r="H29" i="24" a="1"/>
  <c r="H29" i="24" s="1"/>
  <c r="I29" i="24" a="1"/>
  <c r="I29" i="24" s="1"/>
  <c r="G29" i="24" a="1"/>
  <c r="G29" i="24" s="1"/>
  <c r="F33" i="24" a="1"/>
  <c r="F33" i="24" s="1"/>
  <c r="J33" i="24" a="1"/>
  <c r="J33" i="24" s="1"/>
  <c r="H33" i="24" a="1"/>
  <c r="H33" i="24" s="1"/>
  <c r="I33" i="24" a="1"/>
  <c r="I33" i="24" s="1"/>
  <c r="G33" i="24" a="1"/>
  <c r="G33" i="24" s="1"/>
  <c r="F24" i="24" a="1"/>
  <c r="F24" i="24" s="1"/>
  <c r="J24" i="24" a="1"/>
  <c r="J24" i="24" s="1"/>
  <c r="H24" i="24" a="1"/>
  <c r="H24" i="24" s="1"/>
  <c r="I24" i="24" a="1"/>
  <c r="I24" i="24" s="1"/>
  <c r="G24" i="24" a="1"/>
  <c r="G24" i="24" s="1"/>
  <c r="J28" i="24" a="1"/>
  <c r="J28" i="24" s="1"/>
  <c r="H28" i="24" a="1"/>
  <c r="H28" i="24" s="1"/>
  <c r="I28" i="24" a="1"/>
  <c r="I28" i="24" s="1"/>
  <c r="G28" i="24" a="1"/>
  <c r="G28" i="24" s="1"/>
  <c r="F32" i="24" a="1"/>
  <c r="F32" i="24" s="1"/>
  <c r="J32" i="24" a="1"/>
  <c r="J32" i="24" s="1"/>
  <c r="H32" i="24" a="1"/>
  <c r="H32" i="24" s="1"/>
  <c r="I32" i="24" a="1"/>
  <c r="I32" i="24" s="1"/>
  <c r="G32" i="24" a="1"/>
  <c r="G32" i="24" s="1"/>
  <c r="F22" i="24" a="1"/>
  <c r="F22" i="24" s="1"/>
  <c r="J26" i="24" a="1"/>
  <c r="J26" i="24" s="1"/>
  <c r="H26" i="24" a="1"/>
  <c r="H26" i="24" s="1"/>
  <c r="F30" i="24" a="1"/>
  <c r="F30" i="24" s="1"/>
  <c r="I30" i="24" a="1"/>
  <c r="I30" i="24" s="1"/>
  <c r="G30" i="24" a="1"/>
  <c r="G30" i="24" s="1"/>
  <c r="H30" i="24" a="1"/>
  <c r="H30" i="24" s="1"/>
  <c r="F34" i="24" a="1"/>
  <c r="F34" i="24" s="1"/>
  <c r="I34" i="24" a="1"/>
  <c r="I34" i="24" s="1"/>
  <c r="G34" i="24" a="1"/>
  <c r="G34" i="24" s="1"/>
  <c r="J34" i="24" a="1"/>
  <c r="J34" i="24" s="1"/>
  <c r="H34" i="24" a="1"/>
  <c r="H34" i="24" s="1"/>
  <c r="F23" i="24" a="1"/>
  <c r="F23" i="24" s="1"/>
  <c r="I23" i="24" a="1"/>
  <c r="I23" i="24" s="1"/>
  <c r="G23" i="24" a="1"/>
  <c r="G23" i="24" s="1"/>
  <c r="J23" i="24" a="1"/>
  <c r="J23" i="24" s="1"/>
  <c r="H23" i="24" a="1"/>
  <c r="H23" i="24" s="1"/>
  <c r="F27" i="24" a="1"/>
  <c r="F27" i="24" s="1"/>
  <c r="I27" i="24" a="1"/>
  <c r="I27" i="24" s="1"/>
  <c r="G27" i="24" a="1"/>
  <c r="G27" i="24" s="1"/>
  <c r="J27" i="24" a="1"/>
  <c r="J27" i="24" s="1"/>
  <c r="H27" i="24" a="1"/>
  <c r="H27" i="24" s="1"/>
  <c r="F31" i="24" a="1"/>
  <c r="F31" i="24" s="1"/>
  <c r="I31" i="24" a="1"/>
  <c r="I31" i="24" s="1"/>
  <c r="G31" i="24" a="1"/>
  <c r="G31" i="24" s="1"/>
  <c r="J31" i="24" a="1"/>
  <c r="J31" i="24" s="1"/>
  <c r="H31" i="24" a="1"/>
  <c r="H31" i="24" s="1"/>
  <c r="F35" i="24" a="1"/>
  <c r="F35" i="24" s="1"/>
  <c r="I35" i="24" a="1"/>
  <c r="I35" i="24" s="1"/>
  <c r="G35" i="24" a="1"/>
  <c r="G35" i="24" s="1"/>
  <c r="J35" i="24" a="1"/>
  <c r="J35" i="24" s="1"/>
  <c r="H35" i="24" a="1"/>
  <c r="H35" i="24" s="1"/>
  <c r="F28" i="24" a="1"/>
  <c r="F28" i="24" s="1"/>
  <c r="H16" i="24" a="1"/>
  <c r="H16" i="24" s="1"/>
  <c r="G36" i="24" a="1"/>
  <c r="G36" i="24" s="1"/>
  <c r="H36" i="24" a="1"/>
  <c r="H36" i="24" s="1"/>
  <c r="I40" i="24" a="1"/>
  <c r="I40" i="24" s="1"/>
  <c r="G40" i="24" a="1"/>
  <c r="G40" i="24" s="1"/>
  <c r="H40" i="24" a="1"/>
  <c r="H40" i="24" s="1"/>
  <c r="F44" i="24" a="1"/>
  <c r="F44" i="24" s="1"/>
  <c r="G44" i="24" a="1"/>
  <c r="G44" i="24" s="1"/>
  <c r="G52" i="24" a="1"/>
  <c r="G52" i="24" s="1"/>
  <c r="H52" i="24" a="1"/>
  <c r="H52" i="24" s="1"/>
  <c r="J56" i="24" a="1"/>
  <c r="J56" i="24" s="1"/>
  <c r="G56" i="24" a="1"/>
  <c r="G56" i="24" s="1"/>
  <c r="H56" i="24" a="1"/>
  <c r="H56" i="24" s="1"/>
  <c r="F60" i="24" a="1"/>
  <c r="F60" i="24" s="1"/>
  <c r="G60" i="24" a="1"/>
  <c r="G60" i="24" s="1"/>
  <c r="F64" i="24" a="1"/>
  <c r="F64" i="24" s="1"/>
  <c r="H64" i="24" a="1"/>
  <c r="H64" i="24" s="1"/>
  <c r="G68" i="24" a="1"/>
  <c r="G68" i="24" s="1"/>
  <c r="H68" i="24" a="1"/>
  <c r="H68" i="24" s="1"/>
  <c r="F72" i="24" a="1"/>
  <c r="F72" i="24" s="1"/>
  <c r="G72" i="24" a="1"/>
  <c r="G72" i="24" s="1"/>
  <c r="H72" i="24" a="1"/>
  <c r="H72" i="24" s="1"/>
  <c r="F76" i="24" a="1"/>
  <c r="F76" i="24" s="1"/>
  <c r="G76" i="24" a="1"/>
  <c r="G76" i="24" s="1"/>
  <c r="G64" i="24" a="1"/>
  <c r="G64" i="24" s="1"/>
  <c r="H44" i="24" a="1"/>
  <c r="H44" i="24" s="1"/>
  <c r="J13" i="24" a="1"/>
  <c r="J13" i="24" s="1"/>
  <c r="F13" i="24" a="1"/>
  <c r="F13" i="24" s="1"/>
  <c r="H13" i="24" a="1"/>
  <c r="H13" i="24" s="1"/>
  <c r="G13" i="24" a="1"/>
  <c r="G13" i="24" s="1"/>
  <c r="J17" i="24" a="1"/>
  <c r="J17" i="24" s="1"/>
  <c r="H17" i="24" a="1"/>
  <c r="H17" i="24" s="1"/>
  <c r="G17" i="24" a="1"/>
  <c r="G17" i="24" s="1"/>
  <c r="F37" i="24" a="1"/>
  <c r="F37" i="24" s="1"/>
  <c r="H37" i="24" a="1"/>
  <c r="H37" i="24" s="1"/>
  <c r="G37" i="24" a="1"/>
  <c r="G37" i="24" s="1"/>
  <c r="F41" i="24" a="1"/>
  <c r="F41" i="24" s="1"/>
  <c r="H41" i="24" a="1"/>
  <c r="H41" i="24" s="1"/>
  <c r="G41" i="24" a="1"/>
  <c r="G41" i="24" s="1"/>
  <c r="H45" i="24" a="1"/>
  <c r="H45" i="24" s="1"/>
  <c r="G45" i="24" a="1"/>
  <c r="G45" i="24" s="1"/>
  <c r="F53" i="24" a="1"/>
  <c r="F53" i="24" s="1"/>
  <c r="H53" i="24" a="1"/>
  <c r="H53" i="24" s="1"/>
  <c r="G53" i="24" a="1"/>
  <c r="G53" i="24" s="1"/>
  <c r="F57" i="24" a="1"/>
  <c r="F57" i="24" s="1"/>
  <c r="H57" i="24" a="1"/>
  <c r="H57" i="24" s="1"/>
  <c r="G57" i="24" a="1"/>
  <c r="G57" i="24" s="1"/>
  <c r="I61" i="24" a="1"/>
  <c r="I61" i="24" s="1"/>
  <c r="H61" i="24" a="1"/>
  <c r="H61" i="24" s="1"/>
  <c r="G61" i="24" a="1"/>
  <c r="G61" i="24" s="1"/>
  <c r="F65" i="24" a="1"/>
  <c r="F65" i="24" s="1"/>
  <c r="H65" i="24" a="1"/>
  <c r="H65" i="24" s="1"/>
  <c r="G65" i="24" a="1"/>
  <c r="G65" i="24" s="1"/>
  <c r="F69" i="24" a="1"/>
  <c r="F69" i="24" s="1"/>
  <c r="H69" i="24" a="1"/>
  <c r="H69" i="24" s="1"/>
  <c r="G69" i="24" a="1"/>
  <c r="G69" i="24" s="1"/>
  <c r="F73" i="24" a="1"/>
  <c r="F73" i="24" s="1"/>
  <c r="H73" i="24" a="1"/>
  <c r="H73" i="24" s="1"/>
  <c r="G73" i="24" a="1"/>
  <c r="G73" i="24" s="1"/>
  <c r="H77" i="24" a="1"/>
  <c r="H77" i="24" s="1"/>
  <c r="G77" i="24" a="1"/>
  <c r="G77" i="24" s="1"/>
  <c r="G14" i="24" a="1"/>
  <c r="G14" i="24" s="1"/>
  <c r="H18" i="24" a="1"/>
  <c r="H18" i="24" s="1"/>
  <c r="G18" i="24" a="1"/>
  <c r="G18" i="24" s="1"/>
  <c r="H38" i="24" a="1"/>
  <c r="H38" i="24" s="1"/>
  <c r="G38" i="24" a="1"/>
  <c r="G38" i="24" s="1"/>
  <c r="F42" i="24" a="1"/>
  <c r="F42" i="24" s="1"/>
  <c r="H42" i="24" a="1"/>
  <c r="H42" i="24" s="1"/>
  <c r="G42" i="24" a="1"/>
  <c r="G42" i="24" s="1"/>
  <c r="F46" i="24" a="1"/>
  <c r="F46" i="24" s="1"/>
  <c r="H46" i="24" a="1"/>
  <c r="H46" i="24" s="1"/>
  <c r="G46" i="24" a="1"/>
  <c r="G46" i="24" s="1"/>
  <c r="F50" i="24" a="1"/>
  <c r="F50" i="24" s="1"/>
  <c r="H50" i="24" a="1"/>
  <c r="H50" i="24" s="1"/>
  <c r="G50" i="24" a="1"/>
  <c r="G50" i="24" s="1"/>
  <c r="I54" i="24" a="1"/>
  <c r="I54" i="24" s="1"/>
  <c r="H54" i="24" a="1"/>
  <c r="H54" i="24" s="1"/>
  <c r="G54" i="24" a="1"/>
  <c r="G54" i="24" s="1"/>
  <c r="F58" i="24" a="1"/>
  <c r="F58" i="24" s="1"/>
  <c r="H58" i="24" a="1"/>
  <c r="H58" i="24" s="1"/>
  <c r="G58" i="24" a="1"/>
  <c r="G58" i="24" s="1"/>
  <c r="F62" i="24" a="1"/>
  <c r="F62" i="24" s="1"/>
  <c r="H62" i="24" a="1"/>
  <c r="H62" i="24" s="1"/>
  <c r="G62" i="24" a="1"/>
  <c r="G62" i="24" s="1"/>
  <c r="H66" i="24" a="1"/>
  <c r="H66" i="24" s="1"/>
  <c r="G66" i="24" a="1"/>
  <c r="G66" i="24" s="1"/>
  <c r="I70" i="24" a="1"/>
  <c r="I70" i="24" s="1"/>
  <c r="H70" i="24" a="1"/>
  <c r="H70" i="24" s="1"/>
  <c r="G70" i="24" a="1"/>
  <c r="G70" i="24" s="1"/>
  <c r="F74" i="24" a="1"/>
  <c r="F74" i="24" s="1"/>
  <c r="H74" i="24" a="1"/>
  <c r="H74" i="24" s="1"/>
  <c r="G74" i="24" a="1"/>
  <c r="G74" i="24" s="1"/>
  <c r="F78" i="24" a="1"/>
  <c r="F78" i="24" s="1"/>
  <c r="H78" i="24" a="1"/>
  <c r="H78" i="24" s="1"/>
  <c r="G78" i="24" a="1"/>
  <c r="G78" i="24" s="1"/>
  <c r="H76" i="24" a="1"/>
  <c r="H76" i="24" s="1"/>
  <c r="G16" i="24" a="1"/>
  <c r="G16" i="24" s="1"/>
  <c r="H60" i="24" a="1"/>
  <c r="H60" i="24" s="1"/>
  <c r="G15" i="24" a="1"/>
  <c r="G15" i="24" s="1"/>
  <c r="F39" i="24" a="1"/>
  <c r="F39" i="24" s="1"/>
  <c r="H39" i="24" a="1"/>
  <c r="H39" i="24" s="1"/>
  <c r="G39" i="24" a="1"/>
  <c r="G39" i="24" s="1"/>
  <c r="F43" i="24" a="1"/>
  <c r="F43" i="24" s="1"/>
  <c r="H43" i="24" a="1"/>
  <c r="H43" i="24" s="1"/>
  <c r="G43" i="24" a="1"/>
  <c r="G43" i="24" s="1"/>
  <c r="J47" i="24" a="1"/>
  <c r="J47" i="24" s="1"/>
  <c r="H47" i="24" a="1"/>
  <c r="H47" i="24" s="1"/>
  <c r="G47" i="24" a="1"/>
  <c r="G47" i="24" s="1"/>
  <c r="F51" i="24" a="1"/>
  <c r="F51" i="24" s="1"/>
  <c r="H51" i="24" a="1"/>
  <c r="H51" i="24" s="1"/>
  <c r="G51" i="24" a="1"/>
  <c r="G51" i="24" s="1"/>
  <c r="F55" i="24" a="1"/>
  <c r="F55" i="24" s="1"/>
  <c r="H55" i="24" a="1"/>
  <c r="H55" i="24" s="1"/>
  <c r="G55" i="24" a="1"/>
  <c r="G55" i="24" s="1"/>
  <c r="H59" i="24" a="1"/>
  <c r="H59" i="24" s="1"/>
  <c r="G59" i="24" a="1"/>
  <c r="G59" i="24" s="1"/>
  <c r="J63" i="24" a="1"/>
  <c r="J63" i="24" s="1"/>
  <c r="H63" i="24" a="1"/>
  <c r="H63" i="24" s="1"/>
  <c r="G63" i="24" a="1"/>
  <c r="G63" i="24" s="1"/>
  <c r="F67" i="24" a="1"/>
  <c r="F67" i="24" s="1"/>
  <c r="H67" i="24" a="1"/>
  <c r="H67" i="24" s="1"/>
  <c r="G67" i="24" a="1"/>
  <c r="G67" i="24" s="1"/>
  <c r="F71" i="24" a="1"/>
  <c r="F71" i="24" s="1"/>
  <c r="H71" i="24" a="1"/>
  <c r="H71" i="24" s="1"/>
  <c r="G71" i="24" a="1"/>
  <c r="G71" i="24" s="1"/>
  <c r="H75" i="24" a="1"/>
  <c r="H75" i="24" s="1"/>
  <c r="G75" i="24" a="1"/>
  <c r="G75" i="24" s="1"/>
  <c r="J79" i="24" a="1"/>
  <c r="J79" i="24" s="1"/>
  <c r="H79" i="24" a="1"/>
  <c r="H79" i="24" s="1"/>
  <c r="G79" i="24" a="1"/>
  <c r="G79" i="24" s="1"/>
  <c r="I14" i="24" a="1"/>
  <c r="I14" i="24" s="1"/>
  <c r="I79" i="24" a="1"/>
  <c r="I79" i="24" s="1"/>
  <c r="F75" i="24" a="1"/>
  <c r="F75" i="24" s="1"/>
  <c r="J72" i="24" a="1"/>
  <c r="J72" i="24" s="1"/>
  <c r="F66" i="24" a="1"/>
  <c r="F66" i="24" s="1"/>
  <c r="I63" i="24" a="1"/>
  <c r="I63" i="24" s="1"/>
  <c r="F59" i="24" a="1"/>
  <c r="F59" i="24" s="1"/>
  <c r="I56" i="24" a="1"/>
  <c r="I56" i="24" s="1"/>
  <c r="F52" i="24" a="1"/>
  <c r="F52" i="24" s="1"/>
  <c r="I47" i="24" a="1"/>
  <c r="I47" i="24" s="1"/>
  <c r="J42" i="24" a="1"/>
  <c r="J42" i="24" s="1"/>
  <c r="I17" i="24" a="1"/>
  <c r="I17" i="24" s="1"/>
  <c r="F77" i="24" a="1"/>
  <c r="F77" i="24" s="1"/>
  <c r="J74" i="24" a="1"/>
  <c r="J74" i="24" s="1"/>
  <c r="I72" i="24" a="1"/>
  <c r="I72" i="24" s="1"/>
  <c r="F68" i="24" a="1"/>
  <c r="F68" i="24" s="1"/>
  <c r="J65" i="24" a="1"/>
  <c r="J65" i="24" s="1"/>
  <c r="J58" i="24" a="1"/>
  <c r="J58" i="24" s="1"/>
  <c r="J51" i="24" a="1"/>
  <c r="J51" i="24" s="1"/>
  <c r="F45" i="24" a="1"/>
  <c r="F45" i="24" s="1"/>
  <c r="I42" i="24" a="1"/>
  <c r="I42" i="24" s="1"/>
  <c r="F38" i="24" a="1"/>
  <c r="F38" i="24" s="1"/>
  <c r="F36" i="24" a="1"/>
  <c r="F36" i="24" s="1"/>
  <c r="F15" i="24" a="1"/>
  <c r="F15" i="24" s="1"/>
  <c r="J76" i="24" a="1"/>
  <c r="J76" i="24" s="1"/>
  <c r="I74" i="24" a="1"/>
  <c r="I74" i="24" s="1"/>
  <c r="F70" i="24" a="1"/>
  <c r="F70" i="24" s="1"/>
  <c r="I65" i="24" a="1"/>
  <c r="I65" i="24" s="1"/>
  <c r="F61" i="24" a="1"/>
  <c r="F61" i="24" s="1"/>
  <c r="I58" i="24" a="1"/>
  <c r="I58" i="24" s="1"/>
  <c r="F54" i="24" a="1"/>
  <c r="F54" i="24" s="1"/>
  <c r="I51" i="24" a="1"/>
  <c r="I51" i="24" s="1"/>
  <c r="J44" i="24" a="1"/>
  <c r="J44" i="24" s="1"/>
  <c r="F40" i="24" a="1"/>
  <c r="F40" i="24" s="1"/>
  <c r="F79" i="24" a="1"/>
  <c r="F79" i="24" s="1"/>
  <c r="I76" i="24" a="1"/>
  <c r="I76" i="24" s="1"/>
  <c r="J69" i="24" a="1"/>
  <c r="J69" i="24" s="1"/>
  <c r="J67" i="24" a="1"/>
  <c r="J67" i="24" s="1"/>
  <c r="F63" i="24" a="1"/>
  <c r="F63" i="24" s="1"/>
  <c r="J60" i="24" a="1"/>
  <c r="J60" i="24" s="1"/>
  <c r="F56" i="24" a="1"/>
  <c r="F56" i="24" s="1"/>
  <c r="J53" i="24" a="1"/>
  <c r="J53" i="24" s="1"/>
  <c r="F47" i="24" a="1"/>
  <c r="F47" i="24" s="1"/>
  <c r="I44" i="24" a="1"/>
  <c r="I44" i="24" s="1"/>
  <c r="J37" i="24" a="1"/>
  <c r="J37" i="24" s="1"/>
  <c r="J78" i="24" a="1"/>
  <c r="J78" i="24" s="1"/>
  <c r="I69" i="24" a="1"/>
  <c r="I69" i="24" s="1"/>
  <c r="I67" i="24" a="1"/>
  <c r="I67" i="24" s="1"/>
  <c r="J62" i="24" a="1"/>
  <c r="J62" i="24" s="1"/>
  <c r="I60" i="24" a="1"/>
  <c r="I60" i="24" s="1"/>
  <c r="I53" i="24" a="1"/>
  <c r="I53" i="24" s="1"/>
  <c r="J46" i="24" a="1"/>
  <c r="J46" i="24" s="1"/>
  <c r="J39" i="24" a="1"/>
  <c r="J39" i="24" s="1"/>
  <c r="I37" i="24" a="1"/>
  <c r="I37" i="24" s="1"/>
  <c r="J16" i="24" a="1"/>
  <c r="J16" i="24" s="1"/>
  <c r="I78" i="24" a="1"/>
  <c r="I78" i="24" s="1"/>
  <c r="J71" i="24" a="1"/>
  <c r="J71" i="24" s="1"/>
  <c r="I62" i="24" a="1"/>
  <c r="I62" i="24" s="1"/>
  <c r="J55" i="24" a="1"/>
  <c r="J55" i="24" s="1"/>
  <c r="I46" i="24" a="1"/>
  <c r="I46" i="24" s="1"/>
  <c r="J41" i="24" a="1"/>
  <c r="J41" i="24" s="1"/>
  <c r="I39" i="24" a="1"/>
  <c r="I39" i="24" s="1"/>
  <c r="I16" i="24" a="1"/>
  <c r="I16" i="24" s="1"/>
  <c r="I71" i="24" a="1"/>
  <c r="I71" i="24" s="1"/>
  <c r="J64" i="24" a="1"/>
  <c r="J64" i="24" s="1"/>
  <c r="J57" i="24" a="1"/>
  <c r="J57" i="24" s="1"/>
  <c r="I55" i="24" a="1"/>
  <c r="I55" i="24" s="1"/>
  <c r="J50" i="24" a="1"/>
  <c r="J50" i="24" s="1"/>
  <c r="I41" i="24" a="1"/>
  <c r="I41" i="24" s="1"/>
  <c r="J18" i="24" a="1"/>
  <c r="J18" i="24" s="1"/>
  <c r="J73" i="24" a="1"/>
  <c r="J73" i="24" s="1"/>
  <c r="I64" i="24" a="1"/>
  <c r="I64" i="24" s="1"/>
  <c r="I57" i="24" a="1"/>
  <c r="I57" i="24" s="1"/>
  <c r="I50" i="24" a="1"/>
  <c r="I50" i="24" s="1"/>
  <c r="J43" i="24" a="1"/>
  <c r="J43" i="24" s="1"/>
  <c r="I18" i="24" a="1"/>
  <c r="I18" i="24" s="1"/>
  <c r="J75" i="24" a="1"/>
  <c r="J75" i="24" s="1"/>
  <c r="I73" i="24" a="1"/>
  <c r="I73" i="24" s="1"/>
  <c r="J66" i="24" a="1"/>
  <c r="J66" i="24" s="1"/>
  <c r="J59" i="24" a="1"/>
  <c r="J59" i="24" s="1"/>
  <c r="J52" i="24" a="1"/>
  <c r="J52" i="24" s="1"/>
  <c r="I43" i="24" a="1"/>
  <c r="I43" i="24" s="1"/>
  <c r="J77" i="24" a="1"/>
  <c r="J77" i="24" s="1"/>
  <c r="I75" i="24" a="1"/>
  <c r="I75" i="24" s="1"/>
  <c r="J68" i="24" a="1"/>
  <c r="J68" i="24" s="1"/>
  <c r="I66" i="24" a="1"/>
  <c r="I66" i="24" s="1"/>
  <c r="I59" i="24" a="1"/>
  <c r="I59" i="24" s="1"/>
  <c r="I52" i="24" a="1"/>
  <c r="I52" i="24" s="1"/>
  <c r="J45" i="24" a="1"/>
  <c r="J45" i="24" s="1"/>
  <c r="J38" i="24" a="1"/>
  <c r="J38" i="24" s="1"/>
  <c r="J36" i="24" a="1"/>
  <c r="J36" i="24" s="1"/>
  <c r="J15" i="24" a="1"/>
  <c r="J15" i="24" s="1"/>
  <c r="I77" i="24" a="1"/>
  <c r="I77" i="24" s="1"/>
  <c r="J70" i="24" a="1"/>
  <c r="J70" i="24" s="1"/>
  <c r="I68" i="24" a="1"/>
  <c r="I68" i="24" s="1"/>
  <c r="J61" i="24" a="1"/>
  <c r="J61" i="24" s="1"/>
  <c r="J54" i="24" a="1"/>
  <c r="J54" i="24" s="1"/>
  <c r="I45" i="24" a="1"/>
  <c r="I45" i="24" s="1"/>
  <c r="J40" i="24" a="1"/>
  <c r="J40" i="24" s="1"/>
  <c r="I38" i="24" a="1"/>
  <c r="I38" i="24" s="1"/>
  <c r="I36" i="24" a="1"/>
  <c r="I36" i="24" s="1"/>
  <c r="I15" i="24" a="1"/>
  <c r="I15" i="24" s="1"/>
  <c r="G17" i="18"/>
  <c r="G37" i="11" l="1" a="1"/>
  <c r="G37" i="11" s="1"/>
  <c r="K17" i="16"/>
  <c r="L43" i="16" l="1"/>
  <c r="E31" i="13" s="1"/>
  <c r="L45" i="16"/>
  <c r="L44" i="16"/>
  <c r="L27" i="16"/>
  <c r="L31" i="16"/>
  <c r="L35" i="16"/>
  <c r="E32" i="13" s="1"/>
  <c r="L39" i="16"/>
  <c r="E45" i="13" s="1"/>
  <c r="L26" i="16"/>
  <c r="L33" i="16"/>
  <c r="E36" i="13" s="1"/>
  <c r="L41" i="16"/>
  <c r="E47" i="13" s="1"/>
  <c r="L30" i="16"/>
  <c r="E29" i="13" s="1"/>
  <c r="L38" i="16"/>
  <c r="E44" i="13" s="1"/>
  <c r="L42" i="16"/>
  <c r="E48" i="13" s="1"/>
  <c r="L28" i="16"/>
  <c r="E20" i="13" s="1"/>
  <c r="L32" i="16"/>
  <c r="E35" i="13" s="1"/>
  <c r="L36" i="16"/>
  <c r="E42" i="13" s="1"/>
  <c r="L40" i="16"/>
  <c r="E46" i="13" s="1"/>
  <c r="L29" i="16"/>
  <c r="E21" i="13" s="1"/>
  <c r="L37" i="16"/>
  <c r="E43" i="13" s="1"/>
  <c r="L34" i="16"/>
  <c r="E33" i="13" s="1"/>
  <c r="G19" i="18"/>
  <c r="G16" i="18"/>
  <c r="J38" i="11" a="1"/>
  <c r="J38" i="11" s="1"/>
  <c r="E28" i="13" l="1"/>
  <c r="E30" i="13"/>
  <c r="F15" i="18"/>
  <c r="L46" i="16"/>
  <c r="E23" i="13"/>
  <c r="E22" i="13"/>
  <c r="L39" i="11"/>
  <c r="F60" i="11"/>
  <c r="F59" i="11"/>
  <c r="F58" i="11"/>
  <c r="F57" i="11"/>
  <c r="F37" i="18"/>
  <c r="F36" i="18"/>
  <c r="F35" i="18"/>
  <c r="K14" i="16" l="1"/>
  <c r="C15" i="20" l="1"/>
  <c r="C14" i="20"/>
  <c r="C13" i="20"/>
  <c r="M57" i="18"/>
  <c r="M81" i="11"/>
  <c r="C13" i="15" l="1"/>
  <c r="E13" i="15" s="1"/>
  <c r="C79" i="15"/>
  <c r="E79" i="15" s="1"/>
  <c r="C78" i="15"/>
  <c r="E78" i="15" s="1"/>
  <c r="C77" i="15"/>
  <c r="E77" i="15" s="1"/>
  <c r="C76" i="15"/>
  <c r="E76" i="15" s="1"/>
  <c r="C75" i="15"/>
  <c r="E75" i="15" s="1"/>
  <c r="C74" i="15"/>
  <c r="E74" i="15" s="1"/>
  <c r="C73" i="15"/>
  <c r="E73" i="15" s="1"/>
  <c r="C72" i="15"/>
  <c r="E72" i="15" s="1"/>
  <c r="C71" i="15"/>
  <c r="E71" i="15" s="1"/>
  <c r="C70" i="15"/>
  <c r="E70" i="15" s="1"/>
  <c r="C69" i="15"/>
  <c r="E69" i="15" s="1"/>
  <c r="C68" i="15"/>
  <c r="E68" i="15" s="1"/>
  <c r="C67" i="15"/>
  <c r="E67" i="15" s="1"/>
  <c r="C66" i="15"/>
  <c r="E66" i="15" s="1"/>
  <c r="C65" i="15"/>
  <c r="E65" i="15" s="1"/>
  <c r="C64" i="15"/>
  <c r="E64" i="15" s="1"/>
  <c r="C63" i="15"/>
  <c r="E63" i="15" s="1"/>
  <c r="C62" i="15"/>
  <c r="E62" i="15" s="1"/>
  <c r="C61" i="15"/>
  <c r="E61" i="15" s="1"/>
  <c r="C60" i="15"/>
  <c r="E60" i="15" s="1"/>
  <c r="C59" i="15"/>
  <c r="E59" i="15" s="1"/>
  <c r="C58" i="15"/>
  <c r="E58" i="15" s="1"/>
  <c r="C57" i="15"/>
  <c r="E57" i="15" s="1"/>
  <c r="C56" i="15"/>
  <c r="E56" i="15" s="1"/>
  <c r="C55" i="15"/>
  <c r="E55" i="15" s="1"/>
  <c r="C54" i="15"/>
  <c r="E54" i="15" s="1"/>
  <c r="C53" i="15"/>
  <c r="E53" i="15" s="1"/>
  <c r="C52" i="15"/>
  <c r="E52" i="15" s="1"/>
  <c r="C51" i="15"/>
  <c r="E51" i="15" s="1"/>
  <c r="C50" i="15"/>
  <c r="E50" i="15" s="1"/>
  <c r="C49" i="15"/>
  <c r="E49" i="15" s="1"/>
  <c r="C48" i="15"/>
  <c r="E48" i="15" s="1"/>
  <c r="C47" i="15"/>
  <c r="E47" i="15" s="1"/>
  <c r="C46" i="15"/>
  <c r="E46" i="15" s="1"/>
  <c r="C45" i="15"/>
  <c r="E45" i="15" s="1"/>
  <c r="C44" i="15"/>
  <c r="E44" i="15" s="1"/>
  <c r="C43" i="15"/>
  <c r="E43" i="15" s="1"/>
  <c r="C42" i="15"/>
  <c r="E42" i="15" s="1"/>
  <c r="C41" i="15"/>
  <c r="E41" i="15" s="1"/>
  <c r="C40" i="15"/>
  <c r="E40" i="15" s="1"/>
  <c r="C39" i="15"/>
  <c r="E39" i="15" s="1"/>
  <c r="C38" i="15"/>
  <c r="E38" i="15" s="1"/>
  <c r="C37" i="15"/>
  <c r="E37" i="15" s="1"/>
  <c r="F37" i="15" s="1" a="1"/>
  <c r="F37" i="15" s="1"/>
  <c r="C36" i="15"/>
  <c r="E36" i="15" s="1"/>
  <c r="F36" i="15" s="1" a="1"/>
  <c r="F36" i="15" s="1"/>
  <c r="C35" i="15"/>
  <c r="E35" i="15" s="1"/>
  <c r="C34" i="15"/>
  <c r="E34" i="15" s="1"/>
  <c r="C33" i="15"/>
  <c r="E33" i="15" s="1"/>
  <c r="C32" i="15"/>
  <c r="E32" i="15" s="1"/>
  <c r="C31" i="15"/>
  <c r="E31" i="15" s="1"/>
  <c r="C30" i="15"/>
  <c r="E30" i="15" s="1"/>
  <c r="F30" i="15" s="1" a="1"/>
  <c r="F30" i="15" s="1"/>
  <c r="C29" i="15"/>
  <c r="C28" i="15"/>
  <c r="E28" i="15" s="1"/>
  <c r="C27" i="15"/>
  <c r="E27" i="15" s="1"/>
  <c r="C26" i="15"/>
  <c r="E26" i="15" s="1"/>
  <c r="C25" i="15"/>
  <c r="E25" i="15" s="1"/>
  <c r="C24" i="15"/>
  <c r="E24" i="15" s="1"/>
  <c r="C23" i="15"/>
  <c r="E23" i="15" s="1"/>
  <c r="C22" i="15"/>
  <c r="E22" i="15" s="1"/>
  <c r="C21" i="15"/>
  <c r="E21" i="15" s="1"/>
  <c r="C20" i="15"/>
  <c r="E20" i="15" s="1"/>
  <c r="C19" i="15"/>
  <c r="E19" i="15" s="1"/>
  <c r="C18" i="15"/>
  <c r="E18" i="15" s="1"/>
  <c r="C17" i="15"/>
  <c r="E17" i="15" s="1"/>
  <c r="C16" i="15"/>
  <c r="E16" i="15" s="1"/>
  <c r="C15" i="15"/>
  <c r="E15" i="15" s="1"/>
  <c r="C14" i="15"/>
  <c r="E14" i="15" s="1"/>
  <c r="L81" i="11"/>
  <c r="L57" i="18"/>
  <c r="D81" i="11"/>
  <c r="E81" i="11"/>
  <c r="E57" i="18"/>
  <c r="D57" i="18"/>
  <c r="G19" i="11" a="1"/>
  <c r="G19" i="11" s="1"/>
  <c r="J26" i="15" l="1" a="1"/>
  <c r="J26" i="15" s="1"/>
  <c r="E29" i="15"/>
  <c r="F29" i="15" s="1" a="1"/>
  <c r="F29" i="15" s="1"/>
  <c r="J25" i="15" a="1"/>
  <c r="J25" i="15" s="1"/>
  <c r="F27" i="15" a="1"/>
  <c r="F27" i="15" s="1"/>
  <c r="J27" i="15" a="1"/>
  <c r="J27" i="15" s="1"/>
  <c r="F28" i="15" a="1"/>
  <c r="F28" i="15" s="1"/>
  <c r="J28" i="15" a="1"/>
  <c r="J28" i="15" s="1"/>
  <c r="F85" i="25"/>
  <c r="F86" i="25"/>
  <c r="F87" i="25"/>
  <c r="F17" i="25"/>
  <c r="F17" i="15" a="1"/>
  <c r="F17" i="15" s="1"/>
  <c r="L17" i="15" a="1"/>
  <c r="L17" i="15" s="1"/>
  <c r="I17" i="15" a="1"/>
  <c r="I17" i="15" s="1"/>
  <c r="F21" i="15" a="1"/>
  <c r="F21" i="15" s="1"/>
  <c r="L33" i="15" a="1"/>
  <c r="L33" i="15" s="1"/>
  <c r="I33" i="15" a="1"/>
  <c r="I33" i="15" s="1"/>
  <c r="F33" i="15" a="1"/>
  <c r="F33" i="15" s="1"/>
  <c r="L37" i="15" a="1"/>
  <c r="L37" i="15" s="1"/>
  <c r="I37" i="15" a="1"/>
  <c r="I37" i="15" s="1"/>
  <c r="I41" i="15" a="1"/>
  <c r="I41" i="15" s="1"/>
  <c r="F41" i="15" a="1"/>
  <c r="F41" i="15" s="1"/>
  <c r="L41" i="15" a="1"/>
  <c r="L41" i="15" s="1"/>
  <c r="L45" i="15" a="1"/>
  <c r="L45" i="15" s="1"/>
  <c r="F45" i="15" a="1"/>
  <c r="F45" i="15" s="1"/>
  <c r="I45" i="15" a="1"/>
  <c r="I45" i="15" s="1"/>
  <c r="L53" i="15" a="1"/>
  <c r="L53" i="15" s="1"/>
  <c r="F53" i="15" a="1"/>
  <c r="F53" i="15" s="1"/>
  <c r="I53" i="15" a="1"/>
  <c r="I53" i="15" s="1"/>
  <c r="O53" i="15" a="1"/>
  <c r="O53" i="15" s="1"/>
  <c r="O57" i="15" a="1"/>
  <c r="O57" i="15" s="1"/>
  <c r="L57" i="15" a="1"/>
  <c r="L57" i="15" s="1"/>
  <c r="I57" i="15" a="1"/>
  <c r="I57" i="15" s="1"/>
  <c r="F57" i="15" a="1"/>
  <c r="F57" i="15" s="1"/>
  <c r="O61" i="15" a="1"/>
  <c r="O61" i="15" s="1"/>
  <c r="L61" i="15" a="1"/>
  <c r="L61" i="15" s="1"/>
  <c r="I61" i="15" a="1"/>
  <c r="I61" i="15" s="1"/>
  <c r="F61" i="15" a="1"/>
  <c r="F61" i="15" s="1"/>
  <c r="O65" i="15" a="1"/>
  <c r="O65" i="15" s="1"/>
  <c r="I65" i="15" a="1"/>
  <c r="I65" i="15" s="1"/>
  <c r="L65" i="15" a="1"/>
  <c r="L65" i="15" s="1"/>
  <c r="F65" i="15" a="1"/>
  <c r="F65" i="15" s="1"/>
  <c r="O69" i="15" a="1"/>
  <c r="O69" i="15" s="1"/>
  <c r="L69" i="15" a="1"/>
  <c r="L69" i="15" s="1"/>
  <c r="F69" i="15" a="1"/>
  <c r="F69" i="15" s="1"/>
  <c r="I69" i="15" a="1"/>
  <c r="I69" i="15" s="1"/>
  <c r="L73" i="15" a="1"/>
  <c r="L73" i="15" s="1"/>
  <c r="F73" i="15" a="1"/>
  <c r="F73" i="15" s="1"/>
  <c r="I73" i="15" a="1"/>
  <c r="I73" i="15" s="1"/>
  <c r="O73" i="15" a="1"/>
  <c r="O73" i="15" s="1"/>
  <c r="L77" i="15" a="1"/>
  <c r="L77" i="15" s="1"/>
  <c r="O77" i="15" a="1"/>
  <c r="O77" i="15" s="1"/>
  <c r="F77" i="15" a="1"/>
  <c r="F77" i="15" s="1"/>
  <c r="I77" i="15" a="1"/>
  <c r="I77" i="15" s="1"/>
  <c r="L14" i="15" a="1"/>
  <c r="L14" i="15" s="1"/>
  <c r="I14" i="15" a="1"/>
  <c r="I14" i="15" s="1"/>
  <c r="F14" i="15" a="1"/>
  <c r="F14" i="15" s="1"/>
  <c r="F14" i="25"/>
  <c r="L18" i="15" a="1"/>
  <c r="L18" i="15" s="1"/>
  <c r="F18" i="25"/>
  <c r="I18" i="15" a="1"/>
  <c r="I18" i="15" s="1"/>
  <c r="F18" i="15" a="1"/>
  <c r="F18" i="15" s="1"/>
  <c r="F22" i="15" a="1"/>
  <c r="F22" i="15" s="1"/>
  <c r="L30" i="15" a="1"/>
  <c r="L30" i="15" s="1"/>
  <c r="I30" i="15" a="1"/>
  <c r="I30" i="15" s="1"/>
  <c r="I34" i="15" a="1"/>
  <c r="I34" i="15" s="1"/>
  <c r="F34" i="15" a="1"/>
  <c r="F34" i="15" s="1"/>
  <c r="L34" i="15" a="1"/>
  <c r="L34" i="15" s="1"/>
  <c r="L38" i="15" a="1"/>
  <c r="L38" i="15" s="1"/>
  <c r="F38" i="15" a="1"/>
  <c r="F38" i="15" s="1"/>
  <c r="I38" i="15" a="1"/>
  <c r="I38" i="15" s="1"/>
  <c r="L42" i="15" a="1"/>
  <c r="L42" i="15" s="1"/>
  <c r="F42" i="15" a="1"/>
  <c r="F42" i="15" s="1"/>
  <c r="I42" i="15" a="1"/>
  <c r="I42" i="15" s="1"/>
  <c r="L46" i="15" a="1"/>
  <c r="L46" i="15" s="1"/>
  <c r="I46" i="15" a="1"/>
  <c r="I46" i="15" s="1"/>
  <c r="F46" i="15" a="1"/>
  <c r="F46" i="15" s="1"/>
  <c r="O50" i="15" a="1"/>
  <c r="O50" i="15" s="1"/>
  <c r="L50" i="15" a="1"/>
  <c r="L50" i="15" s="1"/>
  <c r="I50" i="15" a="1"/>
  <c r="I50" i="15" s="1"/>
  <c r="F50" i="15" a="1"/>
  <c r="F50" i="15" s="1"/>
  <c r="F54" i="15" a="1"/>
  <c r="F54" i="15" s="1"/>
  <c r="L54" i="15" a="1"/>
  <c r="L54" i="15" s="1"/>
  <c r="I54" i="15" a="1"/>
  <c r="I54" i="15" s="1"/>
  <c r="O54" i="15" a="1"/>
  <c r="O54" i="15" s="1"/>
  <c r="O58" i="15" a="1"/>
  <c r="O58" i="15" s="1"/>
  <c r="I58" i="15" a="1"/>
  <c r="I58" i="15" s="1"/>
  <c r="L58" i="15" a="1"/>
  <c r="L58" i="15" s="1"/>
  <c r="F58" i="15" a="1"/>
  <c r="F58" i="15" s="1"/>
  <c r="L62" i="15" a="1"/>
  <c r="L62" i="15" s="1"/>
  <c r="F62" i="15" a="1"/>
  <c r="F62" i="15" s="1"/>
  <c r="I62" i="15" a="1"/>
  <c r="I62" i="15" s="1"/>
  <c r="O62" i="15" a="1"/>
  <c r="O62" i="15" s="1"/>
  <c r="L66" i="15" a="1"/>
  <c r="L66" i="15" s="1"/>
  <c r="F66" i="15" a="1"/>
  <c r="F66" i="15" s="1"/>
  <c r="O66" i="15" a="1"/>
  <c r="O66" i="15" s="1"/>
  <c r="I66" i="15" a="1"/>
  <c r="I66" i="15" s="1"/>
  <c r="O70" i="15" a="1"/>
  <c r="O70" i="15" s="1"/>
  <c r="L70" i="15" a="1"/>
  <c r="L70" i="15" s="1"/>
  <c r="I70" i="15" a="1"/>
  <c r="I70" i="15" s="1"/>
  <c r="F70" i="15" a="1"/>
  <c r="F70" i="15" s="1"/>
  <c r="O74" i="15" a="1"/>
  <c r="O74" i="15" s="1"/>
  <c r="L74" i="15" a="1"/>
  <c r="L74" i="15" s="1"/>
  <c r="I74" i="15" a="1"/>
  <c r="I74" i="15" s="1"/>
  <c r="F74" i="15" a="1"/>
  <c r="F74" i="15" s="1"/>
  <c r="O78" i="15" a="1"/>
  <c r="O78" i="15" s="1"/>
  <c r="L78" i="15" a="1"/>
  <c r="L78" i="15" s="1"/>
  <c r="I78" i="15" a="1"/>
  <c r="I78" i="15" s="1"/>
  <c r="F78" i="15" a="1"/>
  <c r="F78" i="15" s="1"/>
  <c r="F15" i="25"/>
  <c r="L15" i="15" a="1"/>
  <c r="L15" i="15" s="1"/>
  <c r="I15" i="15" a="1"/>
  <c r="I15" i="15" s="1"/>
  <c r="F15" i="15" a="1"/>
  <c r="F15" i="15" s="1"/>
  <c r="F19" i="15" a="1"/>
  <c r="F19" i="15" s="1"/>
  <c r="F23" i="15" a="1"/>
  <c r="F23" i="15" s="1"/>
  <c r="I23" i="15" a="1"/>
  <c r="I23" i="15" s="1"/>
  <c r="L23" i="15" a="1"/>
  <c r="L23" i="15" s="1"/>
  <c r="L31" i="15" a="1"/>
  <c r="L31" i="15" s="1"/>
  <c r="I31" i="15" a="1"/>
  <c r="I31" i="15" s="1"/>
  <c r="F31" i="15" a="1"/>
  <c r="F31" i="15" s="1"/>
  <c r="L35" i="15" a="1"/>
  <c r="L35" i="15" s="1"/>
  <c r="F35" i="15" a="1"/>
  <c r="F35" i="15" s="1"/>
  <c r="I35" i="15" a="1"/>
  <c r="I35" i="15" s="1"/>
  <c r="L39" i="15" a="1"/>
  <c r="L39" i="15" s="1"/>
  <c r="F39" i="15" a="1"/>
  <c r="F39" i="15" s="1"/>
  <c r="I39" i="15" a="1"/>
  <c r="I39" i="15" s="1"/>
  <c r="L43" i="15" a="1"/>
  <c r="L43" i="15" s="1"/>
  <c r="I43" i="15" a="1"/>
  <c r="I43" i="15" s="1"/>
  <c r="F43" i="15" a="1"/>
  <c r="F43" i="15" s="1"/>
  <c r="L47" i="15" a="1"/>
  <c r="L47" i="15" s="1"/>
  <c r="I47" i="15" a="1"/>
  <c r="I47" i="15" s="1"/>
  <c r="F47" i="15" a="1"/>
  <c r="F47" i="15" s="1"/>
  <c r="O51" i="15" a="1"/>
  <c r="O51" i="15" s="1"/>
  <c r="I51" i="15" a="1"/>
  <c r="I51" i="15" s="1"/>
  <c r="L51" i="15" a="1"/>
  <c r="L51" i="15" s="1"/>
  <c r="F51" i="15" a="1"/>
  <c r="F51" i="15" s="1"/>
  <c r="O55" i="15" a="1"/>
  <c r="O55" i="15" s="1"/>
  <c r="I55" i="15" a="1"/>
  <c r="I55" i="15" s="1"/>
  <c r="F55" i="15" a="1"/>
  <c r="F55" i="15" s="1"/>
  <c r="L55" i="15" a="1"/>
  <c r="L55" i="15" s="1"/>
  <c r="L59" i="15" a="1"/>
  <c r="L59" i="15" s="1"/>
  <c r="F59" i="15" a="1"/>
  <c r="F59" i="15" s="1"/>
  <c r="I59" i="15" a="1"/>
  <c r="I59" i="15" s="1"/>
  <c r="O59" i="15" a="1"/>
  <c r="O59" i="15" s="1"/>
  <c r="L63" i="15" a="1"/>
  <c r="L63" i="15" s="1"/>
  <c r="F63" i="15" a="1"/>
  <c r="F63" i="15" s="1"/>
  <c r="O63" i="15" a="1"/>
  <c r="O63" i="15" s="1"/>
  <c r="I63" i="15" a="1"/>
  <c r="I63" i="15" s="1"/>
  <c r="L67" i="15" a="1"/>
  <c r="L67" i="15" s="1"/>
  <c r="O67" i="15" a="1"/>
  <c r="O67" i="15" s="1"/>
  <c r="F67" i="15" a="1"/>
  <c r="F67" i="15" s="1"/>
  <c r="I67" i="15" a="1"/>
  <c r="I67" i="15" s="1"/>
  <c r="L71" i="15" a="1"/>
  <c r="L71" i="15" s="1"/>
  <c r="I71" i="15" a="1"/>
  <c r="I71" i="15" s="1"/>
  <c r="F71" i="15" a="1"/>
  <c r="F71" i="15" s="1"/>
  <c r="O71" i="15" a="1"/>
  <c r="O71" i="15" s="1"/>
  <c r="O75" i="15" a="1"/>
  <c r="O75" i="15" s="1"/>
  <c r="I75" i="15" a="1"/>
  <c r="I75" i="15" s="1"/>
  <c r="F75" i="15" a="1"/>
  <c r="F75" i="15" s="1"/>
  <c r="L75" i="15" a="1"/>
  <c r="L75" i="15" s="1"/>
  <c r="O79" i="15" a="1"/>
  <c r="O79" i="15" s="1"/>
  <c r="I79" i="15" a="1"/>
  <c r="I79" i="15" s="1"/>
  <c r="L79" i="15" a="1"/>
  <c r="L79" i="15" s="1"/>
  <c r="F79" i="15" a="1"/>
  <c r="F79" i="15" s="1"/>
  <c r="F16" i="15" a="1"/>
  <c r="F16" i="15" s="1"/>
  <c r="L16" i="15" a="1"/>
  <c r="L16" i="15" s="1"/>
  <c r="I16" i="15" a="1"/>
  <c r="I16" i="15" s="1"/>
  <c r="F16" i="25"/>
  <c r="F20" i="15" a="1"/>
  <c r="F20" i="15" s="1"/>
  <c r="L24" i="15" a="1"/>
  <c r="L24" i="15" s="1"/>
  <c r="F24" i="15" a="1"/>
  <c r="F24" i="15" s="1"/>
  <c r="I24" i="15" a="1"/>
  <c r="I24" i="15" s="1"/>
  <c r="F32" i="15" a="1"/>
  <c r="F32" i="15" s="1"/>
  <c r="I32" i="15" a="1"/>
  <c r="I32" i="15" s="1"/>
  <c r="L32" i="15" a="1"/>
  <c r="L32" i="15" s="1"/>
  <c r="L36" i="15" a="1"/>
  <c r="L36" i="15" s="1"/>
  <c r="I36" i="15" a="1"/>
  <c r="I36" i="15" s="1"/>
  <c r="F40" i="15" a="1"/>
  <c r="F40" i="15" s="1"/>
  <c r="L40" i="15" a="1"/>
  <c r="L40" i="15" s="1"/>
  <c r="I40" i="15" a="1"/>
  <c r="I40" i="15" s="1"/>
  <c r="I44" i="15" a="1"/>
  <c r="I44" i="15" s="1"/>
  <c r="L44" i="15" a="1"/>
  <c r="L44" i="15" s="1"/>
  <c r="F44" i="15" a="1"/>
  <c r="F44" i="15" s="1"/>
  <c r="L52" i="15" a="1"/>
  <c r="L52" i="15" s="1"/>
  <c r="F52" i="15" a="1"/>
  <c r="F52" i="15" s="1"/>
  <c r="O52" i="15" a="1"/>
  <c r="O52" i="15" s="1"/>
  <c r="I52" i="15" a="1"/>
  <c r="I52" i="15" s="1"/>
  <c r="O56" i="15" a="1"/>
  <c r="O56" i="15" s="1"/>
  <c r="L56" i="15" a="1"/>
  <c r="L56" i="15" s="1"/>
  <c r="I56" i="15" a="1"/>
  <c r="I56" i="15" s="1"/>
  <c r="F56" i="15" a="1"/>
  <c r="F56" i="15" s="1"/>
  <c r="O60" i="15" a="1"/>
  <c r="O60" i="15" s="1"/>
  <c r="L60" i="15" a="1"/>
  <c r="L60" i="15" s="1"/>
  <c r="I60" i="15" a="1"/>
  <c r="I60" i="15" s="1"/>
  <c r="F60" i="15" a="1"/>
  <c r="F60" i="15" s="1"/>
  <c r="O64" i="15" a="1"/>
  <c r="O64" i="15" s="1"/>
  <c r="L64" i="15" a="1"/>
  <c r="L64" i="15" s="1"/>
  <c r="I64" i="15" a="1"/>
  <c r="I64" i="15" s="1"/>
  <c r="F64" i="15" a="1"/>
  <c r="F64" i="15" s="1"/>
  <c r="O68" i="15" a="1"/>
  <c r="O68" i="15" s="1"/>
  <c r="I68" i="15" a="1"/>
  <c r="I68" i="15" s="1"/>
  <c r="F68" i="15" a="1"/>
  <c r="F68" i="15" s="1"/>
  <c r="L68" i="15" a="1"/>
  <c r="L68" i="15" s="1"/>
  <c r="O72" i="15" a="1"/>
  <c r="O72" i="15" s="1"/>
  <c r="I72" i="15" a="1"/>
  <c r="I72" i="15" s="1"/>
  <c r="L72" i="15" a="1"/>
  <c r="L72" i="15" s="1"/>
  <c r="F72" i="15" a="1"/>
  <c r="F72" i="15" s="1"/>
  <c r="L76" i="15" a="1"/>
  <c r="L76" i="15" s="1"/>
  <c r="F76" i="15" a="1"/>
  <c r="F76" i="15" s="1"/>
  <c r="I76" i="15" a="1"/>
  <c r="I76" i="15" s="1"/>
  <c r="O76" i="15" a="1"/>
  <c r="O76" i="15" s="1"/>
  <c r="F96" i="25"/>
  <c r="F100" i="25"/>
  <c r="F97" i="25"/>
  <c r="F101" i="25"/>
  <c r="F98" i="25"/>
  <c r="F99" i="25"/>
  <c r="L28" i="15" a="1"/>
  <c r="L28" i="15" s="1"/>
  <c r="I28" i="15" a="1"/>
  <c r="I28" i="15" s="1"/>
  <c r="I27" i="15" a="1"/>
  <c r="I27" i="15" s="1"/>
  <c r="L27" i="15" a="1"/>
  <c r="L27" i="15" s="1"/>
  <c r="I13" i="15" a="1"/>
  <c r="I13" i="15" s="1"/>
  <c r="F13" i="15" a="1"/>
  <c r="F13" i="15" s="1"/>
  <c r="G18" i="15" a="1"/>
  <c r="G18" i="15" s="1"/>
  <c r="J18" i="15" a="1"/>
  <c r="J18" i="15" s="1"/>
  <c r="N18" i="15" a="1"/>
  <c r="N18" i="15" s="1"/>
  <c r="M18" i="15" a="1"/>
  <c r="M18" i="15" s="1"/>
  <c r="K18" i="15" a="1"/>
  <c r="K18" i="15" s="1"/>
  <c r="H18" i="15" a="1"/>
  <c r="H18" i="15" s="1"/>
  <c r="G30" i="15" a="1"/>
  <c r="G30" i="15" s="1"/>
  <c r="J30" i="15" a="1"/>
  <c r="J30" i="15" s="1"/>
  <c r="N30" i="15" a="1"/>
  <c r="N30" i="15" s="1"/>
  <c r="M30" i="15" a="1"/>
  <c r="M30" i="15" s="1"/>
  <c r="K30" i="15" a="1"/>
  <c r="K30" i="15" s="1"/>
  <c r="H30" i="15" a="1"/>
  <c r="H30" i="15" s="1"/>
  <c r="M42" i="15" a="1"/>
  <c r="M42" i="15" s="1"/>
  <c r="K42" i="15" a="1"/>
  <c r="K42" i="15" s="1"/>
  <c r="N42" i="15" a="1"/>
  <c r="N42" i="15" s="1"/>
  <c r="G42" i="15" a="1"/>
  <c r="G42" i="15" s="1"/>
  <c r="H42" i="15" a="1"/>
  <c r="H42" i="15" s="1"/>
  <c r="J42" i="15" a="1"/>
  <c r="J42" i="15" s="1"/>
  <c r="Q54" i="15" a="1"/>
  <c r="Q54" i="15" s="1"/>
  <c r="K54" i="15" a="1"/>
  <c r="K54" i="15" s="1"/>
  <c r="M54" i="15" a="1"/>
  <c r="M54" i="15" s="1"/>
  <c r="P54" i="15" a="1"/>
  <c r="P54" i="15" s="1"/>
  <c r="J54" i="15" a="1"/>
  <c r="J54" i="15" s="1"/>
  <c r="N54" i="15" a="1"/>
  <c r="N54" i="15" s="1"/>
  <c r="H54" i="15" a="1"/>
  <c r="H54" i="15" s="1"/>
  <c r="G54" i="15" a="1"/>
  <c r="G54" i="15" s="1"/>
  <c r="P66" i="15" a="1"/>
  <c r="P66" i="15" s="1"/>
  <c r="Q66" i="15" a="1"/>
  <c r="Q66" i="15" s="1"/>
  <c r="H66" i="15" a="1"/>
  <c r="H66" i="15" s="1"/>
  <c r="G66" i="15" a="1"/>
  <c r="G66" i="15" s="1"/>
  <c r="J66" i="15" a="1"/>
  <c r="J66" i="15" s="1"/>
  <c r="K66" i="15" a="1"/>
  <c r="K66" i="15" s="1"/>
  <c r="M66" i="15" a="1"/>
  <c r="M66" i="15" s="1"/>
  <c r="N66" i="15" a="1"/>
  <c r="N66" i="15" s="1"/>
  <c r="G78" i="15" a="1"/>
  <c r="G78" i="15" s="1"/>
  <c r="M78" i="15" a="1"/>
  <c r="M78" i="15" s="1"/>
  <c r="Q78" i="15" a="1"/>
  <c r="Q78" i="15" s="1"/>
  <c r="N78" i="15" a="1"/>
  <c r="N78" i="15" s="1"/>
  <c r="H78" i="15" a="1"/>
  <c r="H78" i="15" s="1"/>
  <c r="P78" i="15" a="1"/>
  <c r="P78" i="15" s="1"/>
  <c r="J78" i="15" a="1"/>
  <c r="J78" i="15" s="1"/>
  <c r="K78" i="15" a="1"/>
  <c r="K78" i="15" s="1"/>
  <c r="J29" i="15" a="1"/>
  <c r="J29" i="15" s="1"/>
  <c r="N29" i="15" a="1"/>
  <c r="N29" i="15" s="1"/>
  <c r="G29" i="15" a="1"/>
  <c r="G29" i="15" s="1"/>
  <c r="M29" i="15" a="1"/>
  <c r="M29" i="15" s="1"/>
  <c r="K29" i="15" a="1"/>
  <c r="K29" i="15" s="1"/>
  <c r="H29" i="15" a="1"/>
  <c r="H29" i="15" s="1"/>
  <c r="Q53" i="15" a="1"/>
  <c r="Q53" i="15" s="1"/>
  <c r="P53" i="15" a="1"/>
  <c r="P53" i="15" s="1"/>
  <c r="H53" i="15" a="1"/>
  <c r="H53" i="15" s="1"/>
  <c r="J53" i="15" a="1"/>
  <c r="J53" i="15" s="1"/>
  <c r="G53" i="15" a="1"/>
  <c r="G53" i="15" s="1"/>
  <c r="M53" i="15" a="1"/>
  <c r="M53" i="15" s="1"/>
  <c r="K53" i="15" a="1"/>
  <c r="K53" i="15" s="1"/>
  <c r="N53" i="15" a="1"/>
  <c r="N53" i="15" s="1"/>
  <c r="G65" i="15" a="1"/>
  <c r="G65" i="15" s="1"/>
  <c r="M65" i="15" a="1"/>
  <c r="M65" i="15" s="1"/>
  <c r="P65" i="15" a="1"/>
  <c r="P65" i="15" s="1"/>
  <c r="Q65" i="15" a="1"/>
  <c r="Q65" i="15" s="1"/>
  <c r="H65" i="15" a="1"/>
  <c r="H65" i="15" s="1"/>
  <c r="J65" i="15" a="1"/>
  <c r="J65" i="15" s="1"/>
  <c r="K65" i="15" a="1"/>
  <c r="K65" i="15" s="1"/>
  <c r="N65" i="15" a="1"/>
  <c r="N65" i="15" s="1"/>
  <c r="G19" i="15" a="1"/>
  <c r="G19" i="15" s="1"/>
  <c r="G67" i="15" a="1"/>
  <c r="G67" i="15" s="1"/>
  <c r="P67" i="15" a="1"/>
  <c r="P67" i="15" s="1"/>
  <c r="H67" i="15" a="1"/>
  <c r="H67" i="15" s="1"/>
  <c r="M67" i="15" a="1"/>
  <c r="M67" i="15" s="1"/>
  <c r="J67" i="15" a="1"/>
  <c r="J67" i="15" s="1"/>
  <c r="N67" i="15" a="1"/>
  <c r="N67" i="15" s="1"/>
  <c r="K67" i="15" a="1"/>
  <c r="K67" i="15" s="1"/>
  <c r="Q67" i="15" a="1"/>
  <c r="Q67" i="15" s="1"/>
  <c r="G68" i="15" a="1"/>
  <c r="G68" i="15" s="1"/>
  <c r="M68" i="15" a="1"/>
  <c r="M68" i="15" s="1"/>
  <c r="Q68" i="15" a="1"/>
  <c r="Q68" i="15" s="1"/>
  <c r="H68" i="15" a="1"/>
  <c r="H68" i="15" s="1"/>
  <c r="J68" i="15" a="1"/>
  <c r="J68" i="15" s="1"/>
  <c r="K68" i="15" a="1"/>
  <c r="K68" i="15" s="1"/>
  <c r="N68" i="15" a="1"/>
  <c r="N68" i="15" s="1"/>
  <c r="P68" i="15" a="1"/>
  <c r="P68" i="15" s="1"/>
  <c r="M43" i="15" a="1"/>
  <c r="M43" i="15" s="1"/>
  <c r="G43" i="15" a="1"/>
  <c r="G43" i="15" s="1"/>
  <c r="J43" i="15" a="1"/>
  <c r="J43" i="15" s="1"/>
  <c r="K43" i="15" a="1"/>
  <c r="K43" i="15" s="1"/>
  <c r="N43" i="15" a="1"/>
  <c r="N43" i="15" s="1"/>
  <c r="H43" i="15" a="1"/>
  <c r="H43" i="15" s="1"/>
  <c r="G20" i="15" a="1"/>
  <c r="G20" i="15" s="1"/>
  <c r="J44" i="15" a="1"/>
  <c r="J44" i="15" s="1"/>
  <c r="H44" i="15" a="1"/>
  <c r="H44" i="15" s="1"/>
  <c r="K44" i="15" a="1"/>
  <c r="K44" i="15" s="1"/>
  <c r="N44" i="15" a="1"/>
  <c r="N44" i="15" s="1"/>
  <c r="G44" i="15" a="1"/>
  <c r="G44" i="15" s="1"/>
  <c r="M44" i="15" a="1"/>
  <c r="M44" i="15" s="1"/>
  <c r="G15" i="15" a="1"/>
  <c r="G15" i="15" s="1"/>
  <c r="J15" i="15" a="1"/>
  <c r="J15" i="15" s="1"/>
  <c r="N15" i="15" a="1"/>
  <c r="N15" i="15" s="1"/>
  <c r="K15" i="15" a="1"/>
  <c r="K15" i="15" s="1"/>
  <c r="H15" i="15" a="1"/>
  <c r="H15" i="15" s="1"/>
  <c r="M15" i="15" a="1"/>
  <c r="M15" i="15" s="1"/>
  <c r="N27" i="15" a="1"/>
  <c r="N27" i="15" s="1"/>
  <c r="G27" i="15" a="1"/>
  <c r="G27" i="15" s="1"/>
  <c r="K27" i="15" a="1"/>
  <c r="K27" i="15" s="1"/>
  <c r="H27" i="15" a="1"/>
  <c r="H27" i="15" s="1"/>
  <c r="F27" i="25"/>
  <c r="M27" i="15" a="1"/>
  <c r="M27" i="15" s="1"/>
  <c r="G39" i="15" a="1"/>
  <c r="G39" i="15" s="1"/>
  <c r="H39" i="15" a="1"/>
  <c r="H39" i="15" s="1"/>
  <c r="N39" i="15" a="1"/>
  <c r="N39" i="15" s="1"/>
  <c r="M39" i="15" a="1"/>
  <c r="M39" i="15" s="1"/>
  <c r="K39" i="15" a="1"/>
  <c r="K39" i="15" s="1"/>
  <c r="J39" i="15" a="1"/>
  <c r="J39" i="15" s="1"/>
  <c r="P51" i="15" a="1"/>
  <c r="P51" i="15" s="1"/>
  <c r="G51" i="15" a="1"/>
  <c r="G51" i="15" s="1"/>
  <c r="H51" i="15" a="1"/>
  <c r="H51" i="15" s="1"/>
  <c r="Q51" i="15" a="1"/>
  <c r="Q51" i="15" s="1"/>
  <c r="J51" i="15" a="1"/>
  <c r="J51" i="15" s="1"/>
  <c r="M51" i="15" a="1"/>
  <c r="M51" i="15" s="1"/>
  <c r="K51" i="15" a="1"/>
  <c r="K51" i="15" s="1"/>
  <c r="N51" i="15" a="1"/>
  <c r="N51" i="15" s="1"/>
  <c r="H63" i="15" a="1"/>
  <c r="H63" i="15" s="1"/>
  <c r="P63" i="15" a="1"/>
  <c r="P63" i="15" s="1"/>
  <c r="J63" i="15" a="1"/>
  <c r="J63" i="15" s="1"/>
  <c r="K63" i="15" a="1"/>
  <c r="K63" i="15" s="1"/>
  <c r="M63" i="15" a="1"/>
  <c r="M63" i="15" s="1"/>
  <c r="Q63" i="15" a="1"/>
  <c r="Q63" i="15" s="1"/>
  <c r="G63" i="15" a="1"/>
  <c r="G63" i="15" s="1"/>
  <c r="N63" i="15" a="1"/>
  <c r="N63" i="15" s="1"/>
  <c r="N75" i="15" a="1"/>
  <c r="N75" i="15" s="1"/>
  <c r="G75" i="15" a="1"/>
  <c r="G75" i="15" s="1"/>
  <c r="M75" i="15" a="1"/>
  <c r="M75" i="15" s="1"/>
  <c r="Q75" i="15" a="1"/>
  <c r="Q75" i="15" s="1"/>
  <c r="P75" i="15" a="1"/>
  <c r="P75" i="15" s="1"/>
  <c r="H75" i="15" a="1"/>
  <c r="H75" i="15" s="1"/>
  <c r="K75" i="15" a="1"/>
  <c r="K75" i="15" s="1"/>
  <c r="J75" i="15" a="1"/>
  <c r="J75" i="15" s="1"/>
  <c r="G17" i="15" a="1"/>
  <c r="G17" i="15" s="1"/>
  <c r="J17" i="15" a="1"/>
  <c r="J17" i="15" s="1"/>
  <c r="N17" i="15" a="1"/>
  <c r="N17" i="15" s="1"/>
  <c r="H17" i="15" a="1"/>
  <c r="H17" i="15" s="1"/>
  <c r="M17" i="15" a="1"/>
  <c r="M17" i="15" s="1"/>
  <c r="K17" i="15" a="1"/>
  <c r="K17" i="15" s="1"/>
  <c r="M41" i="15" a="1"/>
  <c r="M41" i="15" s="1"/>
  <c r="K41" i="15" a="1"/>
  <c r="K41" i="15" s="1"/>
  <c r="G41" i="15" a="1"/>
  <c r="G41" i="15" s="1"/>
  <c r="N41" i="15" a="1"/>
  <c r="N41" i="15" s="1"/>
  <c r="H41" i="15" a="1"/>
  <c r="H41" i="15" s="1"/>
  <c r="J41" i="15" a="1"/>
  <c r="J41" i="15" s="1"/>
  <c r="H77" i="15" a="1"/>
  <c r="H77" i="15" s="1"/>
  <c r="P77" i="15" a="1"/>
  <c r="P77" i="15" s="1"/>
  <c r="K77" i="15" a="1"/>
  <c r="K77" i="15" s="1"/>
  <c r="Q77" i="15" a="1"/>
  <c r="Q77" i="15" s="1"/>
  <c r="M77" i="15" a="1"/>
  <c r="M77" i="15" s="1"/>
  <c r="J77" i="15" a="1"/>
  <c r="J77" i="15" s="1"/>
  <c r="G77" i="15" a="1"/>
  <c r="G77" i="15" s="1"/>
  <c r="N77" i="15" a="1"/>
  <c r="N77" i="15" s="1"/>
  <c r="G31" i="15" a="1"/>
  <c r="G31" i="15" s="1"/>
  <c r="N31" i="15" a="1"/>
  <c r="N31" i="15" s="1"/>
  <c r="J31" i="15" a="1"/>
  <c r="J31" i="15" s="1"/>
  <c r="M31" i="15" a="1"/>
  <c r="M31" i="15" s="1"/>
  <c r="F31" i="25"/>
  <c r="K31" i="15" a="1"/>
  <c r="K31" i="15" s="1"/>
  <c r="H31" i="15" a="1"/>
  <c r="H31" i="15" s="1"/>
  <c r="Q55" i="15" a="1"/>
  <c r="Q55" i="15" s="1"/>
  <c r="M55" i="15" a="1"/>
  <c r="M55" i="15" s="1"/>
  <c r="P55" i="15" a="1"/>
  <c r="P55" i="15" s="1"/>
  <c r="G55" i="15" a="1"/>
  <c r="G55" i="15" s="1"/>
  <c r="J55" i="15" a="1"/>
  <c r="J55" i="15" s="1"/>
  <c r="K55" i="15" a="1"/>
  <c r="K55" i="15" s="1"/>
  <c r="H55" i="15" a="1"/>
  <c r="H55" i="15" s="1"/>
  <c r="N55" i="15" a="1"/>
  <c r="N55" i="15" s="1"/>
  <c r="H79" i="15" a="1"/>
  <c r="H79" i="15" s="1"/>
  <c r="P79" i="15" a="1"/>
  <c r="P79" i="15" s="1"/>
  <c r="M79" i="15" a="1"/>
  <c r="M79" i="15" s="1"/>
  <c r="Q79" i="15" a="1"/>
  <c r="Q79" i="15" s="1"/>
  <c r="J79" i="15" a="1"/>
  <c r="J79" i="15" s="1"/>
  <c r="K79" i="15" a="1"/>
  <c r="K79" i="15" s="1"/>
  <c r="N79" i="15" a="1"/>
  <c r="N79" i="15" s="1"/>
  <c r="G79" i="15" a="1"/>
  <c r="G79" i="15" s="1"/>
  <c r="J32" i="15" a="1"/>
  <c r="J32" i="15" s="1"/>
  <c r="G32" i="15" a="1"/>
  <c r="G32" i="15" s="1"/>
  <c r="N32" i="15" a="1"/>
  <c r="N32" i="15" s="1"/>
  <c r="M32" i="15" a="1"/>
  <c r="M32" i="15" s="1"/>
  <c r="F32" i="25"/>
  <c r="H32" i="15" a="1"/>
  <c r="H32" i="15" s="1"/>
  <c r="K32" i="15" a="1"/>
  <c r="K32" i="15" s="1"/>
  <c r="Q56" i="15" a="1"/>
  <c r="Q56" i="15" s="1"/>
  <c r="H56" i="15" a="1"/>
  <c r="H56" i="15" s="1"/>
  <c r="J56" i="15" a="1"/>
  <c r="J56" i="15" s="1"/>
  <c r="K56" i="15" a="1"/>
  <c r="K56" i="15" s="1"/>
  <c r="P56" i="15" a="1"/>
  <c r="P56" i="15" s="1"/>
  <c r="N56" i="15" a="1"/>
  <c r="N56" i="15" s="1"/>
  <c r="G56" i="15" a="1"/>
  <c r="G56" i="15" s="1"/>
  <c r="M56" i="15" a="1"/>
  <c r="M56" i="15" s="1"/>
  <c r="G21" i="15" a="1"/>
  <c r="G21" i="15" s="1"/>
  <c r="G33" i="15" a="1"/>
  <c r="G33" i="15" s="1"/>
  <c r="J33" i="15" a="1"/>
  <c r="J33" i="15" s="1"/>
  <c r="N33" i="15" a="1"/>
  <c r="N33" i="15" s="1"/>
  <c r="K33" i="15" a="1"/>
  <c r="K33" i="15" s="1"/>
  <c r="H33" i="15" a="1"/>
  <c r="H33" i="15" s="1"/>
  <c r="M33" i="15" a="1"/>
  <c r="M33" i="15" s="1"/>
  <c r="G45" i="15" a="1"/>
  <c r="G45" i="15" s="1"/>
  <c r="H45" i="15" a="1"/>
  <c r="H45" i="15" s="1"/>
  <c r="M45" i="15" a="1"/>
  <c r="M45" i="15" s="1"/>
  <c r="K45" i="15" a="1"/>
  <c r="K45" i="15" s="1"/>
  <c r="J45" i="15" a="1"/>
  <c r="J45" i="15" s="1"/>
  <c r="N45" i="15" a="1"/>
  <c r="N45" i="15" s="1"/>
  <c r="Q57" i="15" a="1"/>
  <c r="Q57" i="15" s="1"/>
  <c r="G57" i="15" a="1"/>
  <c r="G57" i="15" s="1"/>
  <c r="H57" i="15" a="1"/>
  <c r="H57" i="15" s="1"/>
  <c r="P57" i="15" a="1"/>
  <c r="P57" i="15" s="1"/>
  <c r="K57" i="15" a="1"/>
  <c r="K57" i="15" s="1"/>
  <c r="N57" i="15" a="1"/>
  <c r="N57" i="15" s="1"/>
  <c r="J57" i="15" a="1"/>
  <c r="J57" i="15" s="1"/>
  <c r="M57" i="15" a="1"/>
  <c r="M57" i="15" s="1"/>
  <c r="K69" i="15" a="1"/>
  <c r="K69" i="15" s="1"/>
  <c r="M69" i="15" a="1"/>
  <c r="M69" i="15" s="1"/>
  <c r="P69" i="15" a="1"/>
  <c r="P69" i="15" s="1"/>
  <c r="H69" i="15" a="1"/>
  <c r="H69" i="15" s="1"/>
  <c r="Q69" i="15" a="1"/>
  <c r="Q69" i="15" s="1"/>
  <c r="G69" i="15" a="1"/>
  <c r="G69" i="15" s="1"/>
  <c r="J69" i="15" a="1"/>
  <c r="J69" i="15" s="1"/>
  <c r="N69" i="15" a="1"/>
  <c r="N69" i="15" s="1"/>
  <c r="G22" i="15" a="1"/>
  <c r="G22" i="15" s="1"/>
  <c r="G34" i="15" a="1"/>
  <c r="G34" i="15" s="1"/>
  <c r="H34" i="15" a="1"/>
  <c r="H34" i="15" s="1"/>
  <c r="J34" i="15" a="1"/>
  <c r="J34" i="15" s="1"/>
  <c r="K34" i="15" a="1"/>
  <c r="K34" i="15" s="1"/>
  <c r="M34" i="15" a="1"/>
  <c r="M34" i="15" s="1"/>
  <c r="F34" i="25"/>
  <c r="N34" i="15" a="1"/>
  <c r="N34" i="15" s="1"/>
  <c r="G46" i="15" a="1"/>
  <c r="G46" i="15" s="1"/>
  <c r="K46" i="15" a="1"/>
  <c r="K46" i="15" s="1"/>
  <c r="J46" i="15" a="1"/>
  <c r="J46" i="15" s="1"/>
  <c r="H46" i="15" a="1"/>
  <c r="H46" i="15" s="1"/>
  <c r="N46" i="15" a="1"/>
  <c r="N46" i="15" s="1"/>
  <c r="M46" i="15" a="1"/>
  <c r="M46" i="15" s="1"/>
  <c r="P58" i="15" a="1"/>
  <c r="P58" i="15" s="1"/>
  <c r="M58" i="15" a="1"/>
  <c r="M58" i="15" s="1"/>
  <c r="N58" i="15" a="1"/>
  <c r="N58" i="15" s="1"/>
  <c r="Q58" i="15" a="1"/>
  <c r="Q58" i="15" s="1"/>
  <c r="G58" i="15" a="1"/>
  <c r="G58" i="15" s="1"/>
  <c r="J58" i="15" a="1"/>
  <c r="J58" i="15" s="1"/>
  <c r="H58" i="15" a="1"/>
  <c r="H58" i="15" s="1"/>
  <c r="K58" i="15" a="1"/>
  <c r="K58" i="15" s="1"/>
  <c r="P70" i="15" a="1"/>
  <c r="P70" i="15" s="1"/>
  <c r="Q70" i="15" a="1"/>
  <c r="Q70" i="15" s="1"/>
  <c r="G70" i="15" a="1"/>
  <c r="G70" i="15" s="1"/>
  <c r="H70" i="15" a="1"/>
  <c r="H70" i="15" s="1"/>
  <c r="J70" i="15" a="1"/>
  <c r="J70" i="15" s="1"/>
  <c r="N70" i="15" a="1"/>
  <c r="N70" i="15" s="1"/>
  <c r="K70" i="15" a="1"/>
  <c r="K70" i="15" s="1"/>
  <c r="M70" i="15" a="1"/>
  <c r="M70" i="15" s="1"/>
  <c r="N23" i="15" a="1"/>
  <c r="N23" i="15" s="1"/>
  <c r="G23" i="15" a="1"/>
  <c r="G23" i="15" s="1"/>
  <c r="J23" i="15" a="1"/>
  <c r="J23" i="15" s="1"/>
  <c r="H23" i="15" a="1"/>
  <c r="H23" i="15" s="1"/>
  <c r="M23" i="15" a="1"/>
  <c r="M23" i="15" s="1"/>
  <c r="K23" i="15" a="1"/>
  <c r="K23" i="15" s="1"/>
  <c r="F35" i="25"/>
  <c r="G35" i="15" a="1"/>
  <c r="G35" i="15" s="1"/>
  <c r="K35" i="15" a="1"/>
  <c r="K35" i="15" s="1"/>
  <c r="M35" i="15" a="1"/>
  <c r="M35" i="15" s="1"/>
  <c r="J35" i="15" a="1"/>
  <c r="J35" i="15" s="1"/>
  <c r="N35" i="15" a="1"/>
  <c r="N35" i="15" s="1"/>
  <c r="H35" i="15" a="1"/>
  <c r="H35" i="15" s="1"/>
  <c r="N47" i="15" a="1"/>
  <c r="N47" i="15" s="1"/>
  <c r="H47" i="15" a="1"/>
  <c r="H47" i="15" s="1"/>
  <c r="M47" i="15" a="1"/>
  <c r="M47" i="15" s="1"/>
  <c r="K47" i="15" a="1"/>
  <c r="K47" i="15" s="1"/>
  <c r="G47" i="15" a="1"/>
  <c r="G47" i="15" s="1"/>
  <c r="J47" i="15" a="1"/>
  <c r="J47" i="15" s="1"/>
  <c r="K59" i="15" a="1"/>
  <c r="K59" i="15" s="1"/>
  <c r="P59" i="15" a="1"/>
  <c r="P59" i="15" s="1"/>
  <c r="G59" i="15" a="1"/>
  <c r="G59" i="15" s="1"/>
  <c r="Q59" i="15" a="1"/>
  <c r="Q59" i="15" s="1"/>
  <c r="H59" i="15" a="1"/>
  <c r="H59" i="15" s="1"/>
  <c r="J59" i="15" a="1"/>
  <c r="J59" i="15" s="1"/>
  <c r="M59" i="15" a="1"/>
  <c r="M59" i="15" s="1"/>
  <c r="N59" i="15" a="1"/>
  <c r="N59" i="15" s="1"/>
  <c r="G71" i="15" a="1"/>
  <c r="G71" i="15" s="1"/>
  <c r="Q71" i="15" a="1"/>
  <c r="Q71" i="15" s="1"/>
  <c r="H71" i="15" a="1"/>
  <c r="H71" i="15" s="1"/>
  <c r="J71" i="15" a="1"/>
  <c r="J71" i="15" s="1"/>
  <c r="K71" i="15" a="1"/>
  <c r="K71" i="15" s="1"/>
  <c r="M71" i="15" a="1"/>
  <c r="M71" i="15" s="1"/>
  <c r="P71" i="15" a="1"/>
  <c r="P71" i="15" s="1"/>
  <c r="N71" i="15" a="1"/>
  <c r="N71" i="15" s="1"/>
  <c r="J24" i="15" a="1"/>
  <c r="J24" i="15" s="1"/>
  <c r="N24" i="15" a="1"/>
  <c r="N24" i="15" s="1"/>
  <c r="G24" i="15" a="1"/>
  <c r="G24" i="15" s="1"/>
  <c r="H24" i="15" a="1"/>
  <c r="H24" i="15" s="1"/>
  <c r="M24" i="15" a="1"/>
  <c r="M24" i="15" s="1"/>
  <c r="K24" i="15" a="1"/>
  <c r="K24" i="15" s="1"/>
  <c r="K36" i="15" a="1"/>
  <c r="K36" i="15" s="1"/>
  <c r="M36" i="15" a="1"/>
  <c r="M36" i="15" s="1"/>
  <c r="J36" i="15" a="1"/>
  <c r="J36" i="15" s="1"/>
  <c r="H36" i="15" a="1"/>
  <c r="H36" i="15" s="1"/>
  <c r="G36" i="15" a="1"/>
  <c r="G36" i="15" s="1"/>
  <c r="N36" i="15" a="1"/>
  <c r="N36" i="15" s="1"/>
  <c r="M60" i="15" a="1"/>
  <c r="M60" i="15" s="1"/>
  <c r="Q60" i="15" a="1"/>
  <c r="Q60" i="15" s="1"/>
  <c r="P60" i="15" a="1"/>
  <c r="P60" i="15" s="1"/>
  <c r="G60" i="15" a="1"/>
  <c r="G60" i="15" s="1"/>
  <c r="H60" i="15" a="1"/>
  <c r="H60" i="15" s="1"/>
  <c r="J60" i="15" a="1"/>
  <c r="J60" i="15" s="1"/>
  <c r="K60" i="15" a="1"/>
  <c r="K60" i="15" s="1"/>
  <c r="N60" i="15" a="1"/>
  <c r="N60" i="15" s="1"/>
  <c r="P72" i="15" a="1"/>
  <c r="P72" i="15" s="1"/>
  <c r="Q72" i="15" a="1"/>
  <c r="Q72" i="15" s="1"/>
  <c r="G72" i="15" a="1"/>
  <c r="G72" i="15" s="1"/>
  <c r="H72" i="15" a="1"/>
  <c r="H72" i="15" s="1"/>
  <c r="J72" i="15" a="1"/>
  <c r="J72" i="15" s="1"/>
  <c r="M72" i="15" a="1"/>
  <c r="M72" i="15" s="1"/>
  <c r="K72" i="15" a="1"/>
  <c r="K72" i="15" s="1"/>
  <c r="N72" i="15" a="1"/>
  <c r="N72" i="15" s="1"/>
  <c r="G25" i="15" a="1"/>
  <c r="G25" i="15" s="1"/>
  <c r="N25" i="15" a="1"/>
  <c r="N25" i="15" s="1"/>
  <c r="H25" i="15" a="1"/>
  <c r="H25" i="15" s="1"/>
  <c r="F25" i="25"/>
  <c r="K25" i="15" a="1"/>
  <c r="K25" i="15" s="1"/>
  <c r="M25" i="15" a="1"/>
  <c r="M25" i="15" s="1"/>
  <c r="K37" i="15" a="1"/>
  <c r="K37" i="15" s="1"/>
  <c r="G37" i="15" a="1"/>
  <c r="G37" i="15" s="1"/>
  <c r="J37" i="15" a="1"/>
  <c r="J37" i="15" s="1"/>
  <c r="M37" i="15" a="1"/>
  <c r="M37" i="15" s="1"/>
  <c r="H37" i="15" a="1"/>
  <c r="H37" i="15" s="1"/>
  <c r="N37" i="15" a="1"/>
  <c r="N37" i="15" s="1"/>
  <c r="P61" i="15" a="1"/>
  <c r="P61" i="15" s="1"/>
  <c r="G61" i="15" a="1"/>
  <c r="G61" i="15" s="1"/>
  <c r="M61" i="15" a="1"/>
  <c r="M61" i="15" s="1"/>
  <c r="Q61" i="15" a="1"/>
  <c r="Q61" i="15" s="1"/>
  <c r="H61" i="15" a="1"/>
  <c r="H61" i="15" s="1"/>
  <c r="J61" i="15" a="1"/>
  <c r="J61" i="15" s="1"/>
  <c r="N61" i="15" a="1"/>
  <c r="N61" i="15" s="1"/>
  <c r="K61" i="15" a="1"/>
  <c r="K61" i="15" s="1"/>
  <c r="J73" i="15" a="1"/>
  <c r="J73" i="15" s="1"/>
  <c r="G73" i="15" a="1"/>
  <c r="G73" i="15" s="1"/>
  <c r="H73" i="15" a="1"/>
  <c r="H73" i="15" s="1"/>
  <c r="Q73" i="15" a="1"/>
  <c r="Q73" i="15" s="1"/>
  <c r="P73" i="15" a="1"/>
  <c r="P73" i="15" s="1"/>
  <c r="N73" i="15" a="1"/>
  <c r="N73" i="15" s="1"/>
  <c r="K73" i="15" a="1"/>
  <c r="K73" i="15" s="1"/>
  <c r="M73" i="15" a="1"/>
  <c r="M73" i="15" s="1"/>
  <c r="K14" i="15" a="1"/>
  <c r="K14" i="15" s="1"/>
  <c r="M14" i="15" a="1"/>
  <c r="M14" i="15" s="1"/>
  <c r="N14" i="15" a="1"/>
  <c r="N14" i="15" s="1"/>
  <c r="G14" i="15" a="1"/>
  <c r="G14" i="15" s="1"/>
  <c r="J14" i="15" a="1"/>
  <c r="J14" i="15" s="1"/>
  <c r="H14" i="15" a="1"/>
  <c r="H14" i="15" s="1"/>
  <c r="G26" i="15" a="1"/>
  <c r="G26" i="15" s="1"/>
  <c r="N26" i="15" a="1"/>
  <c r="N26" i="15" s="1"/>
  <c r="M26" i="15" a="1"/>
  <c r="M26" i="15" s="1"/>
  <c r="H26" i="15" a="1"/>
  <c r="H26" i="15" s="1"/>
  <c r="F26" i="25"/>
  <c r="K26" i="15" a="1"/>
  <c r="K26" i="15" s="1"/>
  <c r="K38" i="15" a="1"/>
  <c r="K38" i="15" s="1"/>
  <c r="H38" i="15" a="1"/>
  <c r="H38" i="15" s="1"/>
  <c r="J38" i="15" a="1"/>
  <c r="J38" i="15" s="1"/>
  <c r="M38" i="15" a="1"/>
  <c r="M38" i="15" s="1"/>
  <c r="N38" i="15" a="1"/>
  <c r="N38" i="15" s="1"/>
  <c r="G38" i="15" a="1"/>
  <c r="G38" i="15" s="1"/>
  <c r="Q50" i="15" a="1"/>
  <c r="Q50" i="15" s="1"/>
  <c r="K50" i="15" a="1"/>
  <c r="K50" i="15" s="1"/>
  <c r="P50" i="15" a="1"/>
  <c r="P50" i="15" s="1"/>
  <c r="H50" i="15" a="1"/>
  <c r="H50" i="15" s="1"/>
  <c r="J50" i="15" a="1"/>
  <c r="J50" i="15" s="1"/>
  <c r="M50" i="15" a="1"/>
  <c r="M50" i="15" s="1"/>
  <c r="N50" i="15" a="1"/>
  <c r="N50" i="15" s="1"/>
  <c r="G50" i="15" a="1"/>
  <c r="G50" i="15" s="1"/>
  <c r="J62" i="15" a="1"/>
  <c r="J62" i="15" s="1"/>
  <c r="Q62" i="15" a="1"/>
  <c r="Q62" i="15" s="1"/>
  <c r="K62" i="15" a="1"/>
  <c r="K62" i="15" s="1"/>
  <c r="M62" i="15" a="1"/>
  <c r="M62" i="15" s="1"/>
  <c r="P62" i="15" a="1"/>
  <c r="P62" i="15" s="1"/>
  <c r="G62" i="15" a="1"/>
  <c r="G62" i="15" s="1"/>
  <c r="H62" i="15" a="1"/>
  <c r="H62" i="15" s="1"/>
  <c r="N62" i="15" a="1"/>
  <c r="N62" i="15" s="1"/>
  <c r="J74" i="15" a="1"/>
  <c r="J74" i="15" s="1"/>
  <c r="K74" i="15" a="1"/>
  <c r="K74" i="15" s="1"/>
  <c r="P74" i="15" a="1"/>
  <c r="P74" i="15" s="1"/>
  <c r="M74" i="15" a="1"/>
  <c r="M74" i="15" s="1"/>
  <c r="Q74" i="15" a="1"/>
  <c r="Q74" i="15" s="1"/>
  <c r="G74" i="15" a="1"/>
  <c r="G74" i="15" s="1"/>
  <c r="N74" i="15" a="1"/>
  <c r="N74" i="15" s="1"/>
  <c r="H74" i="15" a="1"/>
  <c r="H74" i="15" s="1"/>
  <c r="J16" i="15" a="1"/>
  <c r="J16" i="15" s="1"/>
  <c r="G16" i="15" a="1"/>
  <c r="G16" i="15" s="1"/>
  <c r="N16" i="15" a="1"/>
  <c r="N16" i="15" s="1"/>
  <c r="K16" i="15" a="1"/>
  <c r="K16" i="15" s="1"/>
  <c r="M16" i="15" a="1"/>
  <c r="M16" i="15" s="1"/>
  <c r="H16" i="15" a="1"/>
  <c r="H16" i="15" s="1"/>
  <c r="G28" i="15" a="1"/>
  <c r="G28" i="15" s="1"/>
  <c r="N28" i="15" a="1"/>
  <c r="N28" i="15" s="1"/>
  <c r="H28" i="15" a="1"/>
  <c r="H28" i="15" s="1"/>
  <c r="K28" i="15" a="1"/>
  <c r="K28" i="15" s="1"/>
  <c r="M28" i="15" a="1"/>
  <c r="M28" i="15" s="1"/>
  <c r="F28" i="25"/>
  <c r="N40" i="15" a="1"/>
  <c r="N40" i="15" s="1"/>
  <c r="M40" i="15" a="1"/>
  <c r="M40" i="15" s="1"/>
  <c r="K40" i="15" a="1"/>
  <c r="K40" i="15" s="1"/>
  <c r="G40" i="15" a="1"/>
  <c r="G40" i="15" s="1"/>
  <c r="J40" i="15" a="1"/>
  <c r="J40" i="15" s="1"/>
  <c r="H40" i="15" a="1"/>
  <c r="H40" i="15" s="1"/>
  <c r="P52" i="15" a="1"/>
  <c r="P52" i="15" s="1"/>
  <c r="Q52" i="15" a="1"/>
  <c r="Q52" i="15" s="1"/>
  <c r="K52" i="15" a="1"/>
  <c r="K52" i="15" s="1"/>
  <c r="N52" i="15" a="1"/>
  <c r="N52" i="15" s="1"/>
  <c r="M52" i="15" a="1"/>
  <c r="M52" i="15" s="1"/>
  <c r="G52" i="15" a="1"/>
  <c r="G52" i="15" s="1"/>
  <c r="H52" i="15" a="1"/>
  <c r="H52" i="15" s="1"/>
  <c r="J52" i="15" a="1"/>
  <c r="J52" i="15" s="1"/>
  <c r="G64" i="15" a="1"/>
  <c r="G64" i="15" s="1"/>
  <c r="P64" i="15" a="1"/>
  <c r="P64" i="15" s="1"/>
  <c r="J64" i="15" a="1"/>
  <c r="J64" i="15" s="1"/>
  <c r="Q64" i="15" a="1"/>
  <c r="Q64" i="15" s="1"/>
  <c r="H64" i="15" a="1"/>
  <c r="H64" i="15" s="1"/>
  <c r="M64" i="15" a="1"/>
  <c r="M64" i="15" s="1"/>
  <c r="K64" i="15" a="1"/>
  <c r="K64" i="15" s="1"/>
  <c r="N64" i="15" a="1"/>
  <c r="N64" i="15" s="1"/>
  <c r="M76" i="15" a="1"/>
  <c r="M76" i="15" s="1"/>
  <c r="N76" i="15" a="1"/>
  <c r="N76" i="15" s="1"/>
  <c r="P76" i="15" a="1"/>
  <c r="P76" i="15" s="1"/>
  <c r="G76" i="15" a="1"/>
  <c r="G76" i="15" s="1"/>
  <c r="H76" i="15" a="1"/>
  <c r="H76" i="15" s="1"/>
  <c r="Q76" i="15" a="1"/>
  <c r="Q76" i="15" s="1"/>
  <c r="J76" i="15" a="1"/>
  <c r="J76" i="15" s="1"/>
  <c r="K76" i="15" a="1"/>
  <c r="K76" i="15" s="1"/>
  <c r="M13" i="15" a="1"/>
  <c r="M13" i="15" s="1"/>
  <c r="H13" i="15" a="1"/>
  <c r="H13" i="15" s="1"/>
  <c r="J13" i="15" a="1"/>
  <c r="J13" i="15" s="1"/>
  <c r="F13" i="25"/>
  <c r="L13" i="15" a="1"/>
  <c r="L13" i="15" s="1"/>
  <c r="N13" i="15" a="1"/>
  <c r="N13" i="15" s="1"/>
  <c r="G13" i="15" a="1"/>
  <c r="G13" i="15" s="1"/>
  <c r="K13" i="15" a="1"/>
  <c r="K13" i="15" s="1"/>
  <c r="I16" i="18"/>
  <c r="I18" i="18" s="1"/>
  <c r="D16" i="18" a="1"/>
  <c r="D16" i="18" s="1"/>
  <c r="F16" i="18" s="1"/>
  <c r="D17" i="18" a="1"/>
  <c r="D17" i="18" s="1"/>
  <c r="F17" i="18" s="1"/>
  <c r="D18" i="18" a="1"/>
  <c r="D18" i="18" s="1"/>
  <c r="F18" i="18" s="1"/>
  <c r="D19" i="18" a="1"/>
  <c r="D19" i="18" s="1"/>
  <c r="F19" i="18" s="1"/>
  <c r="D20" i="18" a="1"/>
  <c r="D20" i="18" s="1"/>
  <c r="F20" i="18" s="1"/>
  <c r="D21" i="18" a="1"/>
  <c r="D21" i="18" s="1"/>
  <c r="F21" i="18" s="1"/>
  <c r="E16" i="18" a="1"/>
  <c r="E16" i="18" s="1"/>
  <c r="E17" i="18" a="1"/>
  <c r="E17" i="18" s="1"/>
  <c r="E18" i="18" a="1"/>
  <c r="E18" i="18" s="1"/>
  <c r="E19" i="18" a="1"/>
  <c r="E19" i="18" s="1"/>
  <c r="E20" i="18" a="1"/>
  <c r="E20" i="18" s="1"/>
  <c r="E21" i="18" a="1"/>
  <c r="E21" i="18" s="1"/>
  <c r="J57" i="18" l="1"/>
  <c r="F21" i="25"/>
  <c r="F33" i="25"/>
  <c r="F24" i="25"/>
  <c r="F22" i="25"/>
  <c r="F37" i="25"/>
  <c r="F46" i="25"/>
  <c r="I29" i="15" a="1"/>
  <c r="I29" i="15" s="1"/>
  <c r="F94" i="25"/>
  <c r="F88" i="25"/>
  <c r="F80" i="25"/>
  <c r="F95" i="25"/>
  <c r="F93" i="25"/>
  <c r="F38" i="25"/>
  <c r="F30" i="25"/>
  <c r="F29" i="25"/>
  <c r="F41" i="25"/>
  <c r="F44" i="25"/>
  <c r="F23" i="25"/>
  <c r="L29" i="15" a="1"/>
  <c r="L29" i="15" s="1"/>
  <c r="F91" i="25"/>
  <c r="F90" i="25"/>
  <c r="F89" i="25"/>
  <c r="F84" i="25"/>
  <c r="F40" i="25"/>
  <c r="F42" i="25"/>
  <c r="F92" i="25"/>
  <c r="F83" i="25"/>
  <c r="F82" i="25"/>
  <c r="F81" i="25"/>
  <c r="F39" i="25"/>
  <c r="F45" i="25"/>
  <c r="F43" i="25"/>
  <c r="F72" i="25"/>
  <c r="F67" i="25"/>
  <c r="F51" i="25"/>
  <c r="F76" i="25"/>
  <c r="F70" i="25"/>
  <c r="F54" i="25"/>
  <c r="F73" i="25"/>
  <c r="F57" i="25"/>
  <c r="F36" i="25"/>
  <c r="F68" i="25"/>
  <c r="F52" i="25"/>
  <c r="F79" i="25"/>
  <c r="F63" i="25"/>
  <c r="F47" i="25"/>
  <c r="F66" i="25"/>
  <c r="F50" i="25"/>
  <c r="F69" i="25"/>
  <c r="F53" i="25"/>
  <c r="F64" i="25"/>
  <c r="F48" i="25"/>
  <c r="F75" i="25"/>
  <c r="F59" i="25"/>
  <c r="F78" i="25"/>
  <c r="F62" i="25"/>
  <c r="F65" i="25"/>
  <c r="F49" i="25"/>
  <c r="F60" i="25"/>
  <c r="F71" i="25"/>
  <c r="F55" i="25"/>
  <c r="F74" i="25"/>
  <c r="F58" i="25"/>
  <c r="F77" i="25"/>
  <c r="F61" i="25"/>
  <c r="F56" i="25"/>
  <c r="G38" i="11" l="1" a="1"/>
  <c r="G38" i="11" s="1"/>
  <c r="G39" i="11" a="1"/>
  <c r="G39" i="11" s="1"/>
  <c r="G40" i="11" a="1"/>
  <c r="G40" i="11" s="1"/>
  <c r="G41" i="11" a="1"/>
  <c r="G41" i="11" s="1"/>
  <c r="G42" i="11" a="1"/>
  <c r="G42" i="11" s="1"/>
  <c r="D39" i="11" a="1"/>
  <c r="D39" i="11" s="1"/>
  <c r="F39" i="11" s="1"/>
  <c r="D40" i="11" a="1"/>
  <c r="D40" i="11" s="1"/>
  <c r="D41" i="11" a="1"/>
  <c r="D41" i="11" s="1"/>
  <c r="F41" i="11" s="1"/>
  <c r="D42" i="11" a="1"/>
  <c r="D42" i="11" s="1"/>
  <c r="F42" i="11" s="1"/>
  <c r="F20" i="11" a="1"/>
  <c r="F20" i="11" s="1"/>
  <c r="F21" i="11" a="1"/>
  <c r="F21" i="11" s="1"/>
  <c r="F22" i="11" a="1"/>
  <c r="F22" i="11" s="1"/>
  <c r="F23" i="11" a="1"/>
  <c r="F23" i="11" s="1"/>
  <c r="F24" i="11" a="1"/>
  <c r="F24" i="11" s="1"/>
  <c r="F25" i="11" a="1"/>
  <c r="F25" i="11" s="1"/>
  <c r="F26" i="11" a="1"/>
  <c r="F26" i="11" s="1"/>
  <c r="F27" i="11" a="1"/>
  <c r="F27" i="11" s="1"/>
  <c r="F28" i="11" a="1"/>
  <c r="F28" i="11" s="1"/>
  <c r="F29" i="11" a="1"/>
  <c r="F29" i="11" s="1"/>
  <c r="F30" i="11" a="1"/>
  <c r="F30" i="11" s="1"/>
  <c r="F19" i="11" a="1"/>
  <c r="F19" i="11" s="1"/>
  <c r="H20" i="11" a="1"/>
  <c r="H20" i="11" s="1"/>
  <c r="H21" i="11" a="1"/>
  <c r="H21" i="11" s="1"/>
  <c r="H22" i="11" a="1"/>
  <c r="H22" i="11" s="1"/>
  <c r="H23" i="11" a="1"/>
  <c r="H23" i="11" s="1"/>
  <c r="H24" i="11" a="1"/>
  <c r="H24" i="11" s="1"/>
  <c r="H25" i="11" a="1"/>
  <c r="H25" i="11" s="1"/>
  <c r="H26" i="11" a="1"/>
  <c r="H26" i="11" s="1"/>
  <c r="H27" i="11" a="1"/>
  <c r="H27" i="11" s="1"/>
  <c r="H28" i="11" a="1"/>
  <c r="H28" i="11" s="1"/>
  <c r="H29" i="11" a="1"/>
  <c r="H29" i="11" s="1"/>
  <c r="H30" i="11" a="1"/>
  <c r="H30" i="11" s="1"/>
  <c r="H19" i="11" a="1"/>
  <c r="H19" i="11" s="1"/>
  <c r="O19" i="11" s="1"/>
  <c r="G20" i="11" a="1"/>
  <c r="G20" i="11" s="1"/>
  <c r="G21" i="11" a="1"/>
  <c r="G21" i="11" s="1"/>
  <c r="G22" i="11" a="1"/>
  <c r="G22" i="11" s="1"/>
  <c r="G23" i="11" a="1"/>
  <c r="G23" i="11" s="1"/>
  <c r="G24" i="11" a="1"/>
  <c r="G24" i="11" s="1"/>
  <c r="G25" i="11" a="1"/>
  <c r="G25" i="11" s="1"/>
  <c r="G26" i="11" a="1"/>
  <c r="G26" i="11" s="1"/>
  <c r="G27" i="11" a="1"/>
  <c r="G27" i="11" s="1"/>
  <c r="G28" i="11" a="1"/>
  <c r="G28" i="11" s="1"/>
  <c r="G29" i="11" a="1"/>
  <c r="G29" i="11" s="1"/>
  <c r="G30" i="11" a="1"/>
  <c r="G30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17" i="11" a="1"/>
  <c r="E17" i="11" s="1"/>
  <c r="F40" i="11" l="1"/>
  <c r="O26" i="11"/>
  <c r="I26" i="11" s="1"/>
  <c r="P26" i="11" s="1"/>
  <c r="L26" i="11" s="1"/>
  <c r="O22" i="11"/>
  <c r="I22" i="11" s="1"/>
  <c r="G31" i="11"/>
  <c r="O29" i="11"/>
  <c r="I29" i="11" s="1"/>
  <c r="P29" i="11" s="1"/>
  <c r="L29" i="11" s="1"/>
  <c r="O27" i="11"/>
  <c r="I27" i="11" s="1"/>
  <c r="P27" i="11" s="1"/>
  <c r="L27" i="11" s="1"/>
  <c r="O28" i="11"/>
  <c r="I28" i="11" s="1"/>
  <c r="P28" i="11" s="1"/>
  <c r="L28" i="11" s="1"/>
  <c r="O25" i="11"/>
  <c r="I25" i="11" s="1"/>
  <c r="P25" i="11" s="1"/>
  <c r="L25" i="11" s="1"/>
  <c r="O30" i="11"/>
  <c r="I30" i="11" s="1"/>
  <c r="P30" i="11" s="1"/>
  <c r="L30" i="11" s="1"/>
  <c r="O24" i="11"/>
  <c r="I24" i="11" s="1"/>
  <c r="P24" i="11" s="1"/>
  <c r="L24" i="11" s="1"/>
  <c r="O20" i="11"/>
  <c r="I20" i="11" s="1"/>
  <c r="P20" i="11" s="1"/>
  <c r="L20" i="11" s="1"/>
  <c r="O23" i="11"/>
  <c r="I23" i="11" s="1"/>
  <c r="P23" i="11" s="1"/>
  <c r="L23" i="11" s="1"/>
  <c r="O21" i="11"/>
  <c r="I21" i="11" s="1"/>
  <c r="P21" i="11" s="1"/>
  <c r="L21" i="11" s="1"/>
  <c r="I19" i="11"/>
  <c r="P19" i="11" s="1"/>
  <c r="L19" i="11" s="1"/>
  <c r="F13" i="11"/>
  <c r="F62" i="11"/>
  <c r="K15" i="16"/>
  <c r="K16" i="16"/>
  <c r="D38" i="11" s="1" a="1"/>
  <c r="D38" i="11" s="1"/>
  <c r="F38" i="11" s="1"/>
  <c r="D36" i="11" a="1"/>
  <c r="D36" i="11" s="1"/>
  <c r="F36" i="11" s="1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1" i="13"/>
  <c r="R32" i="13"/>
  <c r="R33" i="13"/>
  <c r="R34" i="13"/>
  <c r="R35" i="13"/>
  <c r="R36" i="13"/>
  <c r="R37" i="13"/>
  <c r="R38" i="13"/>
  <c r="R39" i="13"/>
  <c r="R40" i="13"/>
  <c r="R41" i="13"/>
  <c r="R42" i="13"/>
  <c r="R43" i="13"/>
  <c r="R44" i="13"/>
  <c r="R45" i="13"/>
  <c r="R46" i="13"/>
  <c r="R47" i="13"/>
  <c r="R48" i="13"/>
  <c r="R49" i="13"/>
  <c r="R50" i="13"/>
  <c r="R51" i="13"/>
  <c r="R52" i="13"/>
  <c r="R53" i="13"/>
  <c r="R54" i="13"/>
  <c r="R55" i="13"/>
  <c r="R56" i="13"/>
  <c r="R57" i="13"/>
  <c r="R58" i="13"/>
  <c r="R59" i="13"/>
  <c r="R60" i="13"/>
  <c r="R61" i="13"/>
  <c r="R62" i="13"/>
  <c r="R63" i="13"/>
  <c r="R64" i="13"/>
  <c r="R65" i="13"/>
  <c r="R66" i="13"/>
  <c r="R67" i="13"/>
  <c r="R68" i="13"/>
  <c r="R69" i="13"/>
  <c r="R70" i="13"/>
  <c r="R71" i="13"/>
  <c r="R72" i="13"/>
  <c r="R73" i="13"/>
  <c r="R74" i="13"/>
  <c r="R75" i="13"/>
  <c r="R76" i="13"/>
  <c r="R77" i="13"/>
  <c r="R78" i="13"/>
  <c r="R79" i="13"/>
  <c r="R80" i="13"/>
  <c r="R81" i="13"/>
  <c r="R14" i="13"/>
  <c r="K26" i="16" l="1"/>
  <c r="K27" i="16"/>
  <c r="K45" i="16"/>
  <c r="K44" i="16"/>
  <c r="D37" i="11" a="1"/>
  <c r="D37" i="11" s="1"/>
  <c r="F37" i="11" s="1"/>
  <c r="E15" i="13"/>
  <c r="N21" i="11"/>
  <c r="J21" i="11" s="1"/>
  <c r="N20" i="11"/>
  <c r="J20" i="11" s="1"/>
  <c r="P22" i="11"/>
  <c r="L22" i="11" s="1"/>
  <c r="L31" i="11" s="1"/>
  <c r="L40" i="11" s="1"/>
  <c r="N22" i="11"/>
  <c r="J22" i="11" s="1"/>
  <c r="D15" i="18" a="1"/>
  <c r="D15" i="18" s="1"/>
  <c r="I31" i="11"/>
  <c r="L38" i="11" s="1"/>
  <c r="N24" i="11"/>
  <c r="J24" i="11" s="1"/>
  <c r="N25" i="11"/>
  <c r="J25" i="11" s="1"/>
  <c r="N26" i="11"/>
  <c r="J26" i="11" s="1"/>
  <c r="N27" i="11"/>
  <c r="J27" i="11" s="1"/>
  <c r="N28" i="11"/>
  <c r="J28" i="11" s="1"/>
  <c r="N30" i="11"/>
  <c r="J30" i="11" s="1"/>
  <c r="N29" i="11"/>
  <c r="J29" i="11" s="1"/>
  <c r="N23" i="11"/>
  <c r="J23" i="11" s="1"/>
  <c r="N19" i="11"/>
  <c r="J19" i="11" s="1"/>
  <c r="E14" i="13" l="1"/>
  <c r="K46" i="16"/>
  <c r="I47" i="16" s="1"/>
  <c r="E18" i="13"/>
  <c r="F43" i="11"/>
  <c r="E16" i="13"/>
  <c r="J31" i="11"/>
  <c r="K21" i="11" s="1"/>
  <c r="J81" i="11"/>
  <c r="G20" i="18"/>
  <c r="F22" i="18" s="1"/>
  <c r="I20" i="18" l="1"/>
  <c r="F26" i="18" s="1"/>
  <c r="E17" i="13"/>
  <c r="E19" i="13"/>
  <c r="J41" i="11" s="1"/>
  <c r="J43" i="11" s="1"/>
  <c r="L36" i="11"/>
  <c r="K23" i="11"/>
  <c r="K20" i="11"/>
  <c r="K22" i="11"/>
  <c r="K19" i="11"/>
  <c r="K24" i="11"/>
  <c r="K29" i="11"/>
  <c r="K28" i="11"/>
  <c r="K25" i="11"/>
  <c r="K26" i="11"/>
  <c r="K27" i="11"/>
  <c r="K30" i="11"/>
  <c r="F49" i="18" l="1"/>
  <c r="F38" i="18"/>
  <c r="F44" i="18" s="1"/>
  <c r="F46" i="18" s="1"/>
  <c r="F57" i="18"/>
  <c r="I36" i="11"/>
  <c r="I43" i="11" s="1"/>
  <c r="L37" i="11" s="1"/>
  <c r="L41" i="11" s="1"/>
  <c r="F49" i="11" s="1"/>
  <c r="F61" i="11" s="1"/>
  <c r="F67" i="11" s="1"/>
  <c r="F69" i="11" s="1"/>
  <c r="K81" i="11" s="1"/>
  <c r="K31" i="11"/>
  <c r="P57" i="18" l="1"/>
  <c r="F74" i="11"/>
  <c r="I71" i="11" s="1"/>
  <c r="L71" i="11" s="1"/>
  <c r="F81" i="11"/>
  <c r="F72" i="11"/>
  <c r="I67" i="11" s="1"/>
  <c r="L65" i="11" s="1"/>
  <c r="P81" i="11"/>
  <c r="F63" i="11"/>
  <c r="F64" i="11" s="1"/>
  <c r="G64" i="11" s="1"/>
  <c r="K61" i="11"/>
  <c r="G81" i="11" s="1"/>
  <c r="F75" i="11"/>
  <c r="I81" i="11" s="1"/>
  <c r="F70" i="11"/>
  <c r="I65" i="11" s="1"/>
  <c r="L67" i="11" s="1"/>
  <c r="O81" i="11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N81" i="11" l="1"/>
  <c r="I73" i="11"/>
  <c r="L69" i="11" s="1"/>
  <c r="F71" i="11"/>
  <c r="F73" i="11" s="1"/>
  <c r="F76" i="11" s="1"/>
  <c r="G78" i="11" s="1"/>
  <c r="F39" i="18"/>
  <c r="F40" i="18"/>
  <c r="F41" i="18" s="1"/>
  <c r="G41" i="18" s="1"/>
  <c r="I69" i="11" l="1"/>
  <c r="L73" i="11" s="1"/>
  <c r="G77" i="11"/>
  <c r="F77" i="11" s="1"/>
  <c r="H81" i="11" s="1"/>
  <c r="O57" i="18" l="1"/>
  <c r="F51" i="18"/>
  <c r="N57" i="18" s="1"/>
  <c r="J37" i="18"/>
  <c r="G57" i="18" s="1"/>
  <c r="K57" i="18"/>
  <c r="H42" i="18"/>
  <c r="K40" i="18" s="1"/>
  <c r="F52" i="18"/>
  <c r="I57" i="18" s="1"/>
  <c r="F47" i="18"/>
  <c r="H40" i="18" s="1"/>
  <c r="K42" i="18" s="1"/>
  <c r="H46" i="18" l="1"/>
  <c r="K46" i="18" s="1"/>
  <c r="H44" i="18"/>
  <c r="K44" i="18" s="1"/>
  <c r="F48" i="18"/>
  <c r="F50" i="18" l="1"/>
  <c r="F53" i="18" s="1"/>
  <c r="H48" i="18" s="1"/>
  <c r="K48" i="18" s="1"/>
  <c r="G55" i="18" l="1"/>
  <c r="G54" i="18"/>
  <c r="F54" i="18" l="1"/>
  <c r="H57" i="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<sst xmlns="http://schemas.openxmlformats.org/spreadsheetml/2006/main" count="7457" uniqueCount="235">
  <si>
    <t>VARIÁVEIS</t>
  </si>
  <si>
    <t>VALORES</t>
  </si>
  <si>
    <t>FATURAMENTO BRUTO</t>
  </si>
  <si>
    <t>MARGEM</t>
  </si>
  <si>
    <t>CUSTO</t>
  </si>
  <si>
    <t>MARGEM DE LUCRO %</t>
  </si>
  <si>
    <t>ICMS DE VENDA %</t>
  </si>
  <si>
    <t>CÁLCULO DE CUSTO</t>
  </si>
  <si>
    <t>APURAÇÃO DO RESULTADO</t>
  </si>
  <si>
    <t>(=) PREÇO VENDA SEM IMPOSTO</t>
  </si>
  <si>
    <t>( - ) IMPOSTOS SOBRE A VENDA</t>
  </si>
  <si>
    <t>( - ) CUSTO</t>
  </si>
  <si>
    <t>( = ) LUCRO BRUTO</t>
  </si>
  <si>
    <t>MARGEM LUCRO %</t>
  </si>
  <si>
    <t>FORMAÇÃO PREÇO DE VENDA</t>
  </si>
  <si>
    <t>PREÇO VENDA COM IMPOSTO</t>
  </si>
  <si>
    <t>IMPOSTOS</t>
  </si>
  <si>
    <t>COMISSÃO %</t>
  </si>
  <si>
    <t>FRETE %</t>
  </si>
  <si>
    <t>( - ) COMISSÃO</t>
  </si>
  <si>
    <t>( - ) FRETE</t>
  </si>
  <si>
    <t>( = ) LUCRO LIQUIDO</t>
  </si>
  <si>
    <t>PIS</t>
  </si>
  <si>
    <t>COFINS</t>
  </si>
  <si>
    <t>IR</t>
  </si>
  <si>
    <t>CS</t>
  </si>
  <si>
    <t>Total Imposto</t>
  </si>
  <si>
    <t>COMISSÃO</t>
  </si>
  <si>
    <t>FRETE</t>
  </si>
  <si>
    <t>Leite em Pó Integral</t>
  </si>
  <si>
    <t>Gordura Hidrogenada</t>
  </si>
  <si>
    <t>Amido de Milho</t>
  </si>
  <si>
    <t>Embalagem</t>
  </si>
  <si>
    <t>Água</t>
  </si>
  <si>
    <t>CREDITO ICMS</t>
  </si>
  <si>
    <t>Qtde.</t>
  </si>
  <si>
    <t>R$ / Kg</t>
  </si>
  <si>
    <t>Total</t>
  </si>
  <si>
    <t>TOTAL</t>
  </si>
  <si>
    <t>1kg</t>
  </si>
  <si>
    <t>%</t>
  </si>
  <si>
    <t>COMISSÃO R$</t>
  </si>
  <si>
    <t>credor/devedor ICMS</t>
  </si>
  <si>
    <t>Luz</t>
  </si>
  <si>
    <t>Gás</t>
  </si>
  <si>
    <t>Manutenção Produção</t>
  </si>
  <si>
    <t>Mão Obra Direta</t>
  </si>
  <si>
    <t>total ICMS venda</t>
  </si>
  <si>
    <t>FORMAÇÃO DE PREÇO - CRÉDITO ICMS P/ PRODUTOS DE PRODUÇÃO PRÓPRIA</t>
  </si>
  <si>
    <t>Nome</t>
  </si>
  <si>
    <t>Tipo</t>
  </si>
  <si>
    <t>Produto</t>
  </si>
  <si>
    <t>PRODUTO</t>
  </si>
  <si>
    <t>COMPRA</t>
  </si>
  <si>
    <t>ICMS</t>
  </si>
  <si>
    <t>VENDA</t>
  </si>
  <si>
    <t>Preço</t>
  </si>
  <si>
    <t>PRODUÇÃO</t>
  </si>
  <si>
    <t>Produção por receita</t>
  </si>
  <si>
    <t>Produção</t>
  </si>
  <si>
    <t>Mat.Prima</t>
  </si>
  <si>
    <t>Qtd.</t>
  </si>
  <si>
    <t>R$/Kg</t>
  </si>
  <si>
    <t>RECEITA</t>
  </si>
  <si>
    <t>Tercerizado</t>
  </si>
  <si>
    <t>Composto Lacteo</t>
  </si>
  <si>
    <t>Despesa</t>
  </si>
  <si>
    <t>VALOR DA FATURA</t>
  </si>
  <si>
    <t>1 Mês</t>
  </si>
  <si>
    <t>2 Mês</t>
  </si>
  <si>
    <t>3 Mês</t>
  </si>
  <si>
    <t>Valor Médio</t>
  </si>
  <si>
    <t>Operacional</t>
  </si>
  <si>
    <t>Direto</t>
  </si>
  <si>
    <t>Selecione o Produto</t>
  </si>
  <si>
    <t>Produção Geral Mês</t>
  </si>
  <si>
    <t>Produção Produto Mês</t>
  </si>
  <si>
    <t>Produção Receita</t>
  </si>
  <si>
    <t>Resumo da Receita</t>
  </si>
  <si>
    <t>Custos Diretos</t>
  </si>
  <si>
    <t>Custos Operacionais</t>
  </si>
  <si>
    <t>Cálculo final</t>
  </si>
  <si>
    <t>Custos Receita</t>
  </si>
  <si>
    <t>Crédito ICMS</t>
  </si>
  <si>
    <t>Custos-Crédito</t>
  </si>
  <si>
    <t>Preço Compra</t>
  </si>
  <si>
    <t>Creme Chantty - LITRO</t>
  </si>
  <si>
    <t>Creme Chantty - MINI</t>
  </si>
  <si>
    <t>Creme Molho - LITRO</t>
  </si>
  <si>
    <t>Massa folhada 1KG</t>
  </si>
  <si>
    <t>Massa folhada 2.2KG</t>
  </si>
  <si>
    <t>Massa Semi folhada 2KG</t>
  </si>
  <si>
    <t>Marshmallow 500g</t>
  </si>
  <si>
    <t>Marshmallow 1KG</t>
  </si>
  <si>
    <t>Coco Fresco 250g</t>
  </si>
  <si>
    <t>Coco Fresco 500g</t>
  </si>
  <si>
    <t>Coco Fresco 1KG</t>
  </si>
  <si>
    <t>Chantilly TETRA PAK - 1L</t>
  </si>
  <si>
    <t>Creme Culinário TETRA PAK - 1L</t>
  </si>
  <si>
    <t>Pão de queijo Tradicional</t>
  </si>
  <si>
    <t>Pão de queijo Recheado</t>
  </si>
  <si>
    <t>OVOS TP 1L</t>
  </si>
  <si>
    <t>GEMA TP 1L</t>
  </si>
  <si>
    <t>CLARA TP 1L</t>
  </si>
  <si>
    <t>custo</t>
  </si>
  <si>
    <t>nome</t>
  </si>
  <si>
    <t>data</t>
  </si>
  <si>
    <t>preço final</t>
  </si>
  <si>
    <t>margem lucro</t>
  </si>
  <si>
    <t>frete</t>
  </si>
  <si>
    <t>CREDOR ICMS</t>
  </si>
  <si>
    <t>DEVEDOR ICMS</t>
  </si>
  <si>
    <t>Posição tabela</t>
  </si>
  <si>
    <t>VOLUME</t>
  </si>
  <si>
    <t>Tabela</t>
  </si>
  <si>
    <t>S/NF</t>
  </si>
  <si>
    <t>RMC</t>
  </si>
  <si>
    <t>ROMICA</t>
  </si>
  <si>
    <t>TABELA DE PREÇOS CREME JUNDIAÍ</t>
  </si>
  <si>
    <t>Descrição</t>
  </si>
  <si>
    <t>MÍNIMO</t>
  </si>
  <si>
    <t>MÉDIO</t>
  </si>
  <si>
    <t>MÁXIMO</t>
  </si>
  <si>
    <t>tipo</t>
  </si>
  <si>
    <t>Empresa</t>
  </si>
  <si>
    <t>Comissão</t>
  </si>
  <si>
    <t>Impostos</t>
  </si>
  <si>
    <t>Coco Fresco PURO1KG</t>
  </si>
  <si>
    <t>Qtd. Caixa</t>
  </si>
  <si>
    <t>ESTOQUE</t>
  </si>
  <si>
    <t>Custo Papelão</t>
  </si>
  <si>
    <t>Caixa</t>
  </si>
  <si>
    <t>CAIXA PAPELÃO UNIDADE</t>
  </si>
  <si>
    <t>Frete Veículos</t>
  </si>
  <si>
    <t>Coco Seco Flocos 5kg</t>
  </si>
  <si>
    <t>Preço MÁXIMO</t>
  </si>
  <si>
    <t>Coco Seco Flocos 500g</t>
  </si>
  <si>
    <t>Coco Seco Fino 500g</t>
  </si>
  <si>
    <t>TABELA DE PREÇOS PORTA</t>
  </si>
  <si>
    <t>TABELA DE PREÇOS DISTRIBUIDOR PEGANDO NA PORTA</t>
  </si>
  <si>
    <t>s/impostos</t>
  </si>
  <si>
    <t>preço</t>
  </si>
  <si>
    <t/>
  </si>
  <si>
    <t>Data da cotação</t>
  </si>
  <si>
    <t>Morango Congelado 500g</t>
  </si>
  <si>
    <t>Abacaxi Congelado 500g</t>
  </si>
  <si>
    <t>Veículo</t>
  </si>
  <si>
    <t>Fiorino Refrigerada</t>
  </si>
  <si>
    <t>Fiorino Samurai</t>
  </si>
  <si>
    <t>Fiorino velha</t>
  </si>
  <si>
    <t>Master</t>
  </si>
  <si>
    <t>Placa</t>
  </si>
  <si>
    <t>KM rodado mês</t>
  </si>
  <si>
    <t>Média de Consumo</t>
  </si>
  <si>
    <t>Seguro p/ mês</t>
  </si>
  <si>
    <t>KM p/ Litro</t>
  </si>
  <si>
    <t>IPVA e Licenciamento</t>
  </si>
  <si>
    <t>Manutenção Ano anterior</t>
  </si>
  <si>
    <t>Taxas</t>
  </si>
  <si>
    <t>Variaveis</t>
  </si>
  <si>
    <t>Cálculo no valor do frete</t>
  </si>
  <si>
    <t>Valor da Gasolina</t>
  </si>
  <si>
    <t>Veículos Disponíveis</t>
  </si>
  <si>
    <t>Consumo Médio</t>
  </si>
  <si>
    <t>Manutenção</t>
  </si>
  <si>
    <t>Valor KM</t>
  </si>
  <si>
    <t>Cálculo de Frete</t>
  </si>
  <si>
    <t xml:space="preserve">Valor do dia </t>
  </si>
  <si>
    <t>Valor do Mês</t>
  </si>
  <si>
    <t>Quantidade Produção</t>
  </si>
  <si>
    <t>Valor do frete</t>
  </si>
  <si>
    <t>FQG7518</t>
  </si>
  <si>
    <t>EIF2540</t>
  </si>
  <si>
    <t>AXY8945</t>
  </si>
  <si>
    <t>FPH0386</t>
  </si>
  <si>
    <t>Óleo de Soja - LIZA</t>
  </si>
  <si>
    <t>Sorbato de Potássio Granular</t>
  </si>
  <si>
    <t>Emulsificante E-476 VEROL PR</t>
  </si>
  <si>
    <t>Desmoldante 5L</t>
  </si>
  <si>
    <t>Desmoldante 1L</t>
  </si>
  <si>
    <t>GERAL</t>
  </si>
  <si>
    <t>QTD PRODUÇÃO MÊS</t>
  </si>
  <si>
    <t>Frasco 1L</t>
  </si>
  <si>
    <t>Frasco 5L</t>
  </si>
  <si>
    <t>Creme Chantty - LITRO (Simples Nacional)</t>
  </si>
  <si>
    <t>Creme Chantty - MINI (Simples Nacional)</t>
  </si>
  <si>
    <t>Creme Molho - LITRO (Simples Nacional)</t>
  </si>
  <si>
    <t>Chantilly TETRA PAK - 1L (Simples Nacional)</t>
  </si>
  <si>
    <t>Creme Culinário TETRA PAK - 1L (Simples Nacional)</t>
  </si>
  <si>
    <t>Desmoldante 1L (Simples Nacional)</t>
  </si>
  <si>
    <t>Desmoldante 5L (Simples Nacional)</t>
  </si>
  <si>
    <t>Chantilly TP Jundiai - 1L</t>
  </si>
  <si>
    <t>Creme Culinário TP Jundiai - 1L</t>
  </si>
  <si>
    <t>Chantilly TP MM - 1L</t>
  </si>
  <si>
    <t>Creme Culinário TP MM - 1L</t>
  </si>
  <si>
    <t>Chantilly TP MM - 1L (Simples Nacional)</t>
  </si>
  <si>
    <t>Creme Culinário TP MM - 1L (Simples Nacional)</t>
  </si>
  <si>
    <t>Desmoldante 1L (SN)</t>
  </si>
  <si>
    <t>Desmoldante 5L (SN)</t>
  </si>
  <si>
    <t>Massa Semi folhada 2kg</t>
  </si>
  <si>
    <t>Massa folhada 2.2kg</t>
  </si>
  <si>
    <t>Massa folhada 1kg</t>
  </si>
  <si>
    <t>Marshmallow 1kg</t>
  </si>
  <si>
    <t>Coco Fresco 1kg</t>
  </si>
  <si>
    <t>Maragarina Vegetal Ricca Seara</t>
  </si>
  <si>
    <t>Vendas Produtos</t>
  </si>
  <si>
    <t>ANO</t>
  </si>
  <si>
    <t>MÉDIA P/ MÊS</t>
  </si>
  <si>
    <t>QTD. DE ITENS</t>
  </si>
  <si>
    <t>Pão de queijo</t>
  </si>
  <si>
    <t>Parcela Operacional</t>
  </si>
  <si>
    <t>Parcela Direto</t>
  </si>
  <si>
    <t>PARCELA CUSTO</t>
  </si>
  <si>
    <t>Venda Mês</t>
  </si>
  <si>
    <t>Custos Proporcionais</t>
  </si>
  <si>
    <t>Vendas Produto Mês</t>
  </si>
  <si>
    <t>Custos totais</t>
  </si>
  <si>
    <t>Dentro</t>
  </si>
  <si>
    <t>Creme Culinário TP Jundiai - 1L (Simples Nacional)</t>
  </si>
  <si>
    <t>Chantilly TP Jundiai - 1L (Simples Nacional)</t>
  </si>
  <si>
    <t>Coco Fresco FITA 1kg</t>
  </si>
  <si>
    <t>Marshmallow DITO 1kg</t>
  </si>
  <si>
    <t>Saco Confeitar P</t>
  </si>
  <si>
    <t>Saco Confeitar M</t>
  </si>
  <si>
    <t>Saco Confeitar G</t>
  </si>
  <si>
    <t>Saco Confeitar GG</t>
  </si>
  <si>
    <t>Saco Confeitar P (50 Unid)</t>
  </si>
  <si>
    <t>Saco Confeitar M (50 Unid)</t>
  </si>
  <si>
    <t>Saco Confeitar G (50 Unid)</t>
  </si>
  <si>
    <t>Saco Confeitar GG (50 Unid)</t>
  </si>
  <si>
    <t>Chantilly TP BRAVO - 1L</t>
  </si>
  <si>
    <t>Creme Culinário TP BRAVO - 1L</t>
  </si>
  <si>
    <t>Massa folhada 500g</t>
  </si>
  <si>
    <t>Chantilly TP BRAVO - 1L (Simples)</t>
  </si>
  <si>
    <t>Creme Culinário TP BRAVO - 1L (Simples)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</si>
</sst>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&quot;R$&quot;\ #,##0.00"/>
    <numFmt numFmtId="166" formatCode="0.0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Franklin Gothic Book"/>
      <family val="2"/>
    </font>
    <font>
      <sz val="9"/>
      <color theme="1"/>
      <name val="Franklin Gothic Book"/>
      <family val="2"/>
    </font>
    <font>
      <b/>
      <sz val="14"/>
      <color theme="1"/>
      <name val="Franklin Gothic Book"/>
      <family val="2"/>
    </font>
    <font>
      <sz val="9"/>
      <color theme="0"/>
      <name val="Franklin Gothic Book"/>
      <family val="2"/>
    </font>
    <font>
      <b/>
      <sz val="16"/>
      <color rgb="FF0E7FB7"/>
      <name val="Franklin Gothic Book"/>
      <family val="2"/>
    </font>
    <font>
      <b/>
      <sz val="11"/>
      <color theme="3"/>
      <name val="Calibri"/>
      <family val="2"/>
      <scheme val="minor"/>
    </font>
    <font>
      <b/>
      <sz val="12"/>
      <color theme="1" tint="0.34998626667073579"/>
      <name val="Franklin Gothic Book"/>
      <family val="2"/>
    </font>
    <font>
      <b/>
      <sz val="14"/>
      <color rgb="FF0E7FB7"/>
      <name val="Franklin Gothic Book"/>
      <family val="2"/>
    </font>
    <font>
      <b/>
      <sz val="16"/>
      <name val="Franklin Gothic Book"/>
      <family val="2"/>
    </font>
    <font>
      <b/>
      <sz val="14"/>
      <color rgb="FFB9D51F"/>
      <name val="Franklin Gothic Book"/>
      <family val="2"/>
    </font>
    <font>
      <b/>
      <sz val="14"/>
      <color theme="1" tint="0.499984740745262"/>
      <name val="Franklin Gothic Book"/>
      <family val="2"/>
    </font>
    <font>
      <sz val="28"/>
      <color theme="1"/>
      <name val="Cambria"/>
      <family val="2"/>
      <scheme val="major"/>
    </font>
    <font>
      <sz val="28"/>
      <color theme="1" tint="0.34998626667073579"/>
      <name val="Franklin Gothic Book"/>
      <family val="2"/>
    </font>
    <font>
      <sz val="16"/>
      <color theme="1" tint="0.34998626667073579"/>
      <name val="Franklin Gothic Book"/>
      <family val="2"/>
    </font>
    <font>
      <u/>
      <sz val="11"/>
      <color theme="10"/>
      <name val="Calibri"/>
      <family val="2"/>
      <scheme val="minor"/>
    </font>
    <font>
      <sz val="18"/>
      <color rgb="FF0E7FB7"/>
      <name val="Franklin Gothic Book"/>
      <family val="2"/>
    </font>
    <font>
      <sz val="10"/>
      <name val="Arial"/>
      <family val="2"/>
    </font>
    <font>
      <sz val="11"/>
      <color theme="1"/>
      <name val="Franklin Gothic Book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Franklin Gothic Book"/>
      <family val="2"/>
    </font>
    <font>
      <b/>
      <sz val="16"/>
      <color theme="1" tint="0.34998626667073579"/>
      <name val="Franklin Gothic Book"/>
      <family val="2"/>
    </font>
    <font>
      <b/>
      <sz val="10"/>
      <color theme="1"/>
      <name val="Franklin Gothic Book"/>
      <family val="2"/>
    </font>
    <font>
      <b/>
      <sz val="10"/>
      <color theme="1"/>
      <name val="Calibri"/>
      <family val="2"/>
      <scheme val="minor"/>
    </font>
    <font>
      <sz val="12"/>
      <color theme="1"/>
      <name val="Franklin Gothic Book"/>
      <family val="2"/>
    </font>
    <font>
      <b/>
      <sz val="8"/>
      <color theme="0"/>
      <name val="Franklin Gothic Book"/>
      <family val="2"/>
    </font>
    <font>
      <sz val="9"/>
      <color rgb="FF0070C0"/>
      <name val="Franklin Gothic Book"/>
      <family val="2"/>
    </font>
    <font>
      <sz val="16"/>
      <color theme="1"/>
      <name val="Calibri"/>
      <family val="2"/>
      <scheme val="minor"/>
    </font>
    <font>
      <b/>
      <sz val="10"/>
      <name val="Franklin Gothic Book"/>
      <family val="2"/>
    </font>
    <font>
      <sz val="18"/>
      <color theme="1"/>
      <name val="Franklin Gothic Book"/>
      <family val="2"/>
    </font>
    <font>
      <sz val="18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DFDFD"/>
      <name val="Calibri"/>
      <family val="2"/>
      <scheme val="minor"/>
    </font>
    <font>
      <sz val="9"/>
      <color rgb="FFFDFDFD"/>
      <name val="Franklin Gothic Book"/>
      <family val="2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Franklin Gothic Book"/>
      <family val="2"/>
    </font>
    <font>
      <b/>
      <sz val="12"/>
      <color theme="0"/>
      <name val="Franklin Gothic Book"/>
      <family val="2"/>
    </font>
    <font>
      <sz val="22"/>
      <color theme="1" tint="0.34998626667073579"/>
      <name val="Franklin Gothic Book"/>
      <family val="2"/>
    </font>
    <font>
      <sz val="9"/>
      <color theme="1" tint="0.34998626667073579"/>
      <name val="Franklin Gothic Book"/>
      <family val="2"/>
    </font>
    <font>
      <sz val="9"/>
      <color rgb="FFFF0000"/>
      <name val="Franklin Gothic Book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3D3D3"/>
        <bgColor indexed="64"/>
      </patternFill>
    </fill>
  </fills>
  <borders count="63">
    <border>
      <left/>
      <right/>
      <top/>
      <bottom/>
      <diagonal/>
    </border>
    <border>
      <left/>
      <right style="mediumDashDot">
        <color rgb="FF4BACC6"/>
      </right>
      <top/>
      <bottom/>
      <diagonal/>
    </border>
    <border>
      <left/>
      <right style="mediumDashDot">
        <color rgb="FF0E7FB7"/>
      </right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mediumDashDot">
        <color rgb="FF4BACC6"/>
      </right>
      <top/>
      <bottom style="mediumDashDot">
        <color rgb="FF4BACC6"/>
      </bottom>
      <diagonal/>
    </border>
    <border>
      <left/>
      <right/>
      <top/>
      <bottom style="mediumDashDot">
        <color rgb="FF4BACC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mediumDashDot">
        <color rgb="FF00B0F0"/>
      </top>
      <bottom/>
      <diagonal/>
    </border>
    <border>
      <left style="mediumDashDot">
        <color rgb="FF00B0F0"/>
      </left>
      <right/>
      <top/>
      <bottom/>
      <diagonal/>
    </border>
    <border>
      <left/>
      <right style="mediumDashDot">
        <color rgb="FF00B0F0"/>
      </right>
      <top/>
      <bottom/>
      <diagonal/>
    </border>
    <border>
      <left style="mediumDashDot">
        <color rgb="FF00B0F0"/>
      </left>
      <right/>
      <top style="mediumDashDot">
        <color rgb="FF00B0F0"/>
      </top>
      <bottom/>
      <diagonal/>
    </border>
    <border>
      <left/>
      <right style="mediumDashDot">
        <color rgb="FF00B0F0"/>
      </right>
      <top style="mediumDashDot">
        <color rgb="FF00B0F0"/>
      </top>
      <bottom/>
      <diagonal/>
    </border>
    <border>
      <left style="mediumDashDot">
        <color rgb="FF00B0F0"/>
      </left>
      <right/>
      <top style="mediumDashDot">
        <color rgb="FF00B0F0"/>
      </top>
      <bottom style="mediumDashDot">
        <color rgb="FF00B0F0"/>
      </bottom>
      <diagonal/>
    </border>
    <border>
      <left/>
      <right/>
      <top/>
      <bottom style="mediumDashDot">
        <color rgb="FF00B0F0"/>
      </bottom>
      <diagonal/>
    </border>
    <border>
      <left/>
      <right style="mediumDashDot">
        <color rgb="FF4BACC6"/>
      </right>
      <top/>
      <bottom style="mediumDashDot">
        <color rgb="FF00B0F0"/>
      </bottom>
      <diagonal/>
    </border>
    <border>
      <left style="mediumDashDot">
        <color rgb="FF00B0F0"/>
      </left>
      <right/>
      <top/>
      <bottom style="mediumDashDot">
        <color rgb="FF4BACC6"/>
      </bottom>
      <diagonal/>
    </border>
    <border>
      <left/>
      <right/>
      <top style="dotted">
        <color rgb="FF00B0F0"/>
      </top>
      <bottom/>
      <diagonal/>
    </border>
    <border>
      <left style="dotted">
        <color rgb="FF00B0F0"/>
      </left>
      <right/>
      <top style="dotted">
        <color rgb="FF00B0F0"/>
      </top>
      <bottom/>
      <diagonal/>
    </border>
    <border>
      <left style="dotted">
        <color rgb="FF00B0F0"/>
      </left>
      <right/>
      <top/>
      <bottom/>
      <diagonal/>
    </border>
    <border>
      <left/>
      <right style="dotted">
        <color rgb="FF00B0F0"/>
      </right>
      <top/>
      <bottom/>
      <diagonal/>
    </border>
    <border>
      <left style="dotted">
        <color rgb="FF00B0F0"/>
      </left>
      <right/>
      <top/>
      <bottom style="dotted">
        <color rgb="FF00B0F0"/>
      </bottom>
      <diagonal/>
    </border>
    <border>
      <left style="dotted">
        <color rgb="FF00B0F0"/>
      </left>
      <right/>
      <top style="dotted">
        <color rgb="FF00B0F0"/>
      </top>
      <bottom style="dotted">
        <color rgb="FF00B0F0"/>
      </bottom>
      <diagonal/>
    </border>
    <border>
      <left/>
      <right/>
      <top style="mediumDashDot">
        <color rgb="FF4BACC6"/>
      </top>
      <bottom/>
      <diagonal/>
    </border>
    <border>
      <left/>
      <right style="mediumDashDot">
        <color rgb="FF00B0F0"/>
      </right>
      <top style="mediumDashDot">
        <color rgb="FF4BACC6"/>
      </top>
      <bottom/>
      <diagonal/>
    </border>
    <border>
      <left/>
      <right style="mediumDashDot">
        <color rgb="FF00B0F0"/>
      </right>
      <top/>
      <bottom style="mediumDashDot">
        <color rgb="FF00B0F0"/>
      </bottom>
      <diagonal/>
    </border>
    <border>
      <left/>
      <right style="mediumDashDot">
        <color rgb="FF0E7FB7"/>
      </right>
      <top style="mediumDashDot">
        <color rgb="FF00B0F0"/>
      </top>
      <bottom/>
      <diagonal/>
    </border>
    <border>
      <left/>
      <right style="mediumDashDot">
        <color rgb="FF0E7FB7"/>
      </right>
      <top/>
      <bottom style="mediumDashDot">
        <color rgb="FF00B0F0"/>
      </bottom>
      <diagonal/>
    </border>
    <border>
      <left/>
      <right/>
      <top style="medium">
        <color rgb="FF00B0F0"/>
      </top>
      <bottom/>
      <diagonal/>
    </border>
    <border>
      <left/>
      <right/>
      <top/>
      <bottom style="medium">
        <color rgb="FF00B0F0"/>
      </bottom>
      <diagonal/>
    </border>
    <border>
      <left/>
      <right style="dotted">
        <color rgb="FF00B0F0"/>
      </right>
      <top style="dotted">
        <color rgb="FF00B0F0"/>
      </top>
      <bottom style="dotted">
        <color rgb="FF00B0F0"/>
      </bottom>
      <diagonal/>
    </border>
    <border>
      <left/>
      <right/>
      <top/>
      <bottom style="dotted">
        <color rgb="FF00B0F0"/>
      </bottom>
      <diagonal/>
    </border>
    <border>
      <left style="dotted">
        <color rgb="FF00B0F0"/>
      </left>
      <right/>
      <top style="mediumDashDot">
        <color rgb="FF00B0F0"/>
      </top>
      <bottom/>
      <diagonal/>
    </border>
    <border>
      <left style="dotted">
        <color rgb="FF00B0F0"/>
      </left>
      <right/>
      <top style="mediumDashDot">
        <color rgb="FF4BACC6"/>
      </top>
      <bottom/>
      <diagonal/>
    </border>
    <border>
      <left style="mediumDashDot">
        <color rgb="FF00B0F0"/>
      </left>
      <right/>
      <top/>
      <bottom style="mediumDashDot">
        <color rgb="FF00B0F0"/>
      </bottom>
      <diagonal/>
    </border>
    <border>
      <left style="mediumDashDot">
        <color rgb="FF00B0F0"/>
      </left>
      <right style="mediumDashDot">
        <color rgb="FF00B0F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theme="1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3" applyNumberFormat="0" applyFill="0" applyAlignment="0" applyProtection="0"/>
    <xf numFmtId="0" fontId="16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</cellStyleXfs>
  <cellXfs count="286">
    <xf numFmtId="0" fontId="0" fillId="0" borderId="0" xfId="0"/>
    <xf numFmtId="0" fontId="6" fillId="3" borderId="0" xfId="0" applyFont="1" applyFill="1" applyAlignment="1">
      <alignment vertical="center"/>
    </xf>
    <xf numFmtId="0" fontId="3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/>
    <xf numFmtId="0" fontId="17" fillId="3" borderId="0" xfId="4" applyFont="1" applyFill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44" fontId="0" fillId="0" borderId="0" xfId="6" applyFont="1"/>
    <xf numFmtId="10" fontId="0" fillId="0" borderId="0" xfId="2" applyNumberFormat="1" applyFont="1"/>
    <xf numFmtId="0" fontId="0" fillId="0" borderId="0" xfId="2" applyNumberFormat="1" applyFont="1"/>
    <xf numFmtId="44" fontId="20" fillId="4" borderId="6" xfId="6" applyFont="1" applyFill="1" applyBorder="1" applyAlignment="1">
      <alignment horizontal="center" vertical="center"/>
    </xf>
    <xf numFmtId="10" fontId="20" fillId="4" borderId="6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/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44" fontId="0" fillId="0" borderId="0" xfId="6" applyFont="1" applyFill="1" applyAlignment="1">
      <alignment horizontal="center" vertical="center"/>
    </xf>
    <xf numFmtId="9" fontId="0" fillId="0" borderId="0" xfId="2" applyFont="1" applyFill="1" applyAlignment="1">
      <alignment horizontal="center" vertical="center"/>
    </xf>
    <xf numFmtId="14" fontId="20" fillId="0" borderId="0" xfId="0" applyNumberFormat="1" applyFont="1"/>
    <xf numFmtId="44" fontId="20" fillId="0" borderId="0" xfId="6" applyFont="1"/>
    <xf numFmtId="10" fontId="0" fillId="0" borderId="0" xfId="2" applyNumberFormat="1" applyFont="1" applyFill="1" applyAlignment="1">
      <alignment horizontal="center" vertical="center"/>
    </xf>
    <xf numFmtId="44" fontId="1" fillId="0" borderId="0" xfId="6" applyFont="1"/>
    <xf numFmtId="9" fontId="1" fillId="0" borderId="0" xfId="2" applyFont="1" applyAlignment="1">
      <alignment horizontal="center"/>
    </xf>
    <xf numFmtId="9" fontId="0" fillId="0" borderId="0" xfId="2" applyFont="1" applyAlignment="1">
      <alignment horizontal="center"/>
    </xf>
    <xf numFmtId="0" fontId="6" fillId="3" borderId="0" xfId="0" applyFont="1" applyFill="1" applyAlignment="1" applyProtection="1">
      <alignment vertical="center"/>
      <protection hidden="1"/>
    </xf>
    <xf numFmtId="0" fontId="0" fillId="0" borderId="0" xfId="0" applyProtection="1"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20" fillId="4" borderId="0" xfId="0" applyFont="1" applyFill="1" applyAlignment="1" applyProtection="1">
      <alignment horizontal="center" vertical="center"/>
      <protection hidden="1"/>
    </xf>
    <xf numFmtId="0" fontId="0" fillId="0" borderId="1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center" vertical="center"/>
      <protection hidden="1"/>
    </xf>
    <xf numFmtId="0" fontId="6" fillId="0" borderId="11" xfId="0" applyFont="1" applyBorder="1" applyAlignment="1" applyProtection="1">
      <alignment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0" fillId="0" borderId="10" xfId="0" applyBorder="1" applyProtection="1">
      <protection hidden="1"/>
    </xf>
    <xf numFmtId="9" fontId="27" fillId="0" borderId="14" xfId="2" applyFont="1" applyFill="1" applyBorder="1" applyAlignment="1" applyProtection="1">
      <alignment vertical="center"/>
      <protection hidden="1"/>
    </xf>
    <xf numFmtId="0" fontId="3" fillId="3" borderId="0" xfId="0" applyFont="1" applyFill="1" applyAlignment="1" applyProtection="1">
      <alignment horizontal="left" vertical="center"/>
      <protection hidden="1"/>
    </xf>
    <xf numFmtId="0" fontId="23" fillId="0" borderId="0" xfId="0" applyFont="1" applyAlignment="1" applyProtection="1">
      <alignment vertical="center"/>
      <protection hidden="1"/>
    </xf>
    <xf numFmtId="0" fontId="8" fillId="0" borderId="4" xfId="0" applyFont="1" applyBorder="1" applyAlignment="1" applyProtection="1">
      <alignment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18" fillId="0" borderId="13" xfId="0" applyFont="1" applyBorder="1" applyProtection="1"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left" vertical="center"/>
      <protection hidden="1"/>
    </xf>
    <xf numFmtId="0" fontId="5" fillId="0" borderId="11" xfId="0" applyFont="1" applyBorder="1" applyAlignment="1" applyProtection="1">
      <alignment horizontal="left" vertical="center"/>
      <protection hidden="1"/>
    </xf>
    <xf numFmtId="44" fontId="0" fillId="0" borderId="0" xfId="6" applyFont="1" applyProtection="1"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2" fillId="0" borderId="11" xfId="0" applyFont="1" applyBorder="1" applyAlignment="1" applyProtection="1">
      <alignment horizontal="left" vertical="center"/>
      <protection hidden="1"/>
    </xf>
    <xf numFmtId="10" fontId="2" fillId="0" borderId="0" xfId="2" applyNumberFormat="1" applyFont="1" applyFill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44" fontId="2" fillId="0" borderId="0" xfId="6" applyFont="1" applyFill="1" applyAlignment="1" applyProtection="1">
      <alignment horizontal="left" vertical="center"/>
      <protection hidden="1"/>
    </xf>
    <xf numFmtId="44" fontId="2" fillId="2" borderId="0" xfId="6" applyFont="1" applyFill="1" applyAlignment="1" applyProtection="1">
      <alignment horizontal="center" vertical="center"/>
      <protection hidden="1"/>
    </xf>
    <xf numFmtId="44" fontId="5" fillId="0" borderId="0" xfId="0" applyNumberFormat="1" applyFont="1" applyAlignment="1" applyProtection="1">
      <alignment horizontal="left"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44" fontId="2" fillId="2" borderId="16" xfId="6" applyFont="1" applyFill="1" applyBorder="1" applyAlignment="1" applyProtection="1">
      <alignment horizontal="center" vertical="center"/>
      <protection hidden="1"/>
    </xf>
    <xf numFmtId="0" fontId="3" fillId="0" borderId="16" xfId="0" applyFont="1" applyBorder="1" applyAlignment="1" applyProtection="1">
      <alignment horizontal="left" vertical="center"/>
      <protection hidden="1"/>
    </xf>
    <xf numFmtId="0" fontId="24" fillId="0" borderId="15" xfId="0" applyFont="1" applyBorder="1" applyAlignment="1" applyProtection="1">
      <alignment horizontal="center" vertical="center"/>
      <protection hidden="1"/>
    </xf>
    <xf numFmtId="0" fontId="24" fillId="0" borderId="13" xfId="0" applyFont="1" applyBorder="1" applyAlignment="1" applyProtection="1">
      <alignment horizontal="center" vertical="center"/>
      <protection hidden="1"/>
    </xf>
    <xf numFmtId="0" fontId="24" fillId="0" borderId="10" xfId="0" applyFont="1" applyBorder="1" applyAlignment="1" applyProtection="1">
      <alignment horizontal="center" vertical="center"/>
      <protection hidden="1"/>
    </xf>
    <xf numFmtId="0" fontId="25" fillId="0" borderId="10" xfId="0" applyFont="1" applyBorder="1" applyAlignment="1" applyProtection="1">
      <alignment horizontal="center"/>
      <protection hidden="1"/>
    </xf>
    <xf numFmtId="44" fontId="24" fillId="0" borderId="10" xfId="6" applyFont="1" applyFill="1" applyBorder="1" applyAlignment="1" applyProtection="1">
      <alignment horizontal="center" vertical="center"/>
      <protection hidden="1"/>
    </xf>
    <xf numFmtId="2" fontId="24" fillId="0" borderId="0" xfId="0" applyNumberFormat="1" applyFont="1" applyAlignment="1" applyProtection="1">
      <alignment horizontal="center" vertical="center"/>
      <protection hidden="1"/>
    </xf>
    <xf numFmtId="9" fontId="24" fillId="0" borderId="10" xfId="0" applyNumberFormat="1" applyFont="1" applyBorder="1" applyAlignment="1" applyProtection="1">
      <alignment horizontal="center" vertical="center"/>
      <protection hidden="1"/>
    </xf>
    <xf numFmtId="44" fontId="24" fillId="0" borderId="0" xfId="0" applyNumberFormat="1" applyFont="1" applyAlignment="1" applyProtection="1">
      <alignment horizontal="center" vertical="center"/>
      <protection hidden="1"/>
    </xf>
    <xf numFmtId="0" fontId="8" fillId="0" borderId="13" xfId="0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23" fillId="0" borderId="18" xfId="0" applyFont="1" applyBorder="1" applyAlignment="1" applyProtection="1">
      <alignment horizontal="left" vertical="center"/>
      <protection hidden="1"/>
    </xf>
    <xf numFmtId="0" fontId="4" fillId="0" borderId="16" xfId="0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27" fillId="0" borderId="35" xfId="0" applyFont="1" applyBorder="1" applyAlignment="1" applyProtection="1">
      <alignment horizontal="left" vertical="center"/>
      <protection hidden="1"/>
    </xf>
    <xf numFmtId="0" fontId="27" fillId="0" borderId="34" xfId="0" applyFont="1" applyBorder="1" applyAlignment="1" applyProtection="1">
      <alignment horizontal="left" vertical="center"/>
      <protection hidden="1"/>
    </xf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34" xfId="0" applyFont="1" applyBorder="1" applyAlignment="1" applyProtection="1">
      <alignment horizontal="center" vertical="center"/>
      <protection hidden="1"/>
    </xf>
    <xf numFmtId="0" fontId="26" fillId="0" borderId="23" xfId="0" applyFont="1" applyBorder="1" applyAlignment="1" applyProtection="1">
      <alignment horizontal="left" vertical="center"/>
      <protection hidden="1"/>
    </xf>
    <xf numFmtId="0" fontId="3" fillId="0" borderId="33" xfId="0" applyFont="1" applyBorder="1" applyAlignment="1" applyProtection="1">
      <alignment horizontal="left" vertical="center"/>
      <protection hidden="1"/>
    </xf>
    <xf numFmtId="0" fontId="3" fillId="0" borderId="22" xfId="0" applyFont="1" applyBorder="1" applyAlignment="1" applyProtection="1">
      <alignment horizontal="left" vertical="center"/>
      <protection hidden="1"/>
    </xf>
    <xf numFmtId="0" fontId="26" fillId="0" borderId="0" xfId="0" applyFont="1" applyAlignment="1" applyProtection="1">
      <alignment horizontal="left" vertical="center"/>
      <protection hidden="1"/>
    </xf>
    <xf numFmtId="44" fontId="5" fillId="0" borderId="0" xfId="6" applyFont="1" applyFill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44" fontId="0" fillId="0" borderId="0" xfId="0" applyNumberFormat="1" applyProtection="1">
      <protection hidden="1"/>
    </xf>
    <xf numFmtId="43" fontId="5" fillId="0" borderId="0" xfId="1" applyFont="1" applyFill="1" applyAlignment="1" applyProtection="1">
      <alignment horizontal="right" vertical="center"/>
      <protection hidden="1"/>
    </xf>
    <xf numFmtId="43" fontId="3" fillId="0" borderId="0" xfId="1" applyFont="1" applyFill="1" applyAlignment="1" applyProtection="1">
      <alignment horizontal="right" vertical="center"/>
      <protection hidden="1"/>
    </xf>
    <xf numFmtId="0" fontId="3" fillId="0" borderId="21" xfId="0" applyFont="1" applyBorder="1" applyAlignment="1" applyProtection="1">
      <alignment horizontal="left" vertical="center"/>
      <protection hidden="1"/>
    </xf>
    <xf numFmtId="43" fontId="28" fillId="0" borderId="0" xfId="1" applyFont="1" applyFill="1" applyAlignment="1" applyProtection="1">
      <alignment horizontal="right" vertical="center"/>
      <protection hidden="1"/>
    </xf>
    <xf numFmtId="0" fontId="0" fillId="0" borderId="23" xfId="0" applyBorder="1" applyProtection="1">
      <protection hidden="1"/>
    </xf>
    <xf numFmtId="0" fontId="22" fillId="0" borderId="24" xfId="0" applyFont="1" applyBorder="1" applyAlignment="1" applyProtection="1">
      <alignment horizontal="left" vertical="center"/>
      <protection hidden="1"/>
    </xf>
    <xf numFmtId="43" fontId="22" fillId="0" borderId="32" xfId="1" applyFont="1" applyFill="1" applyBorder="1" applyAlignment="1" applyProtection="1">
      <alignment horizontal="right" vertical="center"/>
      <protection hidden="1"/>
    </xf>
    <xf numFmtId="0" fontId="3" fillId="0" borderId="23" xfId="0" applyFont="1" applyBorder="1" applyAlignment="1" applyProtection="1">
      <alignment horizontal="left" vertical="center"/>
      <protection hidden="1"/>
    </xf>
    <xf numFmtId="0" fontId="3" fillId="0" borderId="19" xfId="0" applyFont="1" applyBorder="1" applyAlignment="1" applyProtection="1">
      <alignment horizontal="left" vertical="center"/>
      <protection hidden="1"/>
    </xf>
    <xf numFmtId="44" fontId="3" fillId="0" borderId="19" xfId="0" applyNumberFormat="1" applyFont="1" applyBorder="1" applyAlignment="1" applyProtection="1">
      <alignment horizontal="left" vertical="center"/>
      <protection hidden="1"/>
    </xf>
    <xf numFmtId="0" fontId="0" fillId="3" borderId="0" xfId="0" applyFill="1" applyProtection="1">
      <protection hidden="1"/>
    </xf>
    <xf numFmtId="0" fontId="8" fillId="0" borderId="5" xfId="0" applyFont="1" applyBorder="1" applyAlignment="1" applyProtection="1">
      <alignment horizontal="center" vertical="center"/>
      <protection hidden="1"/>
    </xf>
    <xf numFmtId="0" fontId="3" fillId="0" borderId="17" xfId="0" applyFont="1" applyBorder="1" applyAlignment="1" applyProtection="1">
      <alignment horizontal="left" vertical="center"/>
      <protection hidden="1"/>
    </xf>
    <xf numFmtId="43" fontId="3" fillId="0" borderId="0" xfId="0" applyNumberFormat="1" applyFont="1" applyAlignment="1" applyProtection="1">
      <alignment horizontal="left" vertical="center"/>
      <protection hidden="1"/>
    </xf>
    <xf numFmtId="43" fontId="2" fillId="0" borderId="0" xfId="1" applyFont="1" applyFill="1" applyBorder="1" applyAlignment="1" applyProtection="1">
      <alignment horizontal="right" vertical="center"/>
      <protection hidden="1"/>
    </xf>
    <xf numFmtId="0" fontId="3" fillId="0" borderId="25" xfId="0" applyFont="1" applyBorder="1" applyAlignment="1" applyProtection="1">
      <alignment horizontal="left" vertical="center"/>
      <protection hidden="1"/>
    </xf>
    <xf numFmtId="39" fontId="9" fillId="0" borderId="0" xfId="1" applyNumberFormat="1" applyFont="1" applyFill="1" applyAlignment="1" applyProtection="1">
      <alignment vertical="center"/>
      <protection hidden="1"/>
    </xf>
    <xf numFmtId="0" fontId="17" fillId="0" borderId="0" xfId="4" applyFont="1" applyFill="1" applyAlignment="1" applyProtection="1">
      <alignment horizontal="center" vertical="center"/>
      <protection hidden="1"/>
    </xf>
    <xf numFmtId="39" fontId="12" fillId="0" borderId="0" xfId="1" applyNumberFormat="1" applyFont="1" applyFill="1" applyAlignment="1" applyProtection="1">
      <alignment vertical="center"/>
      <protection hidden="1"/>
    </xf>
    <xf numFmtId="39" fontId="11" fillId="0" borderId="0" xfId="1" applyNumberFormat="1" applyFont="1" applyFill="1" applyAlignment="1" applyProtection="1">
      <alignment vertical="center"/>
      <protection hidden="1"/>
    </xf>
    <xf numFmtId="10" fontId="2" fillId="0" borderId="0" xfId="0" applyNumberFormat="1" applyFont="1" applyAlignment="1" applyProtection="1">
      <alignment horizontal="right" vertical="center"/>
      <protection hidden="1"/>
    </xf>
    <xf numFmtId="164" fontId="30" fillId="0" borderId="0" xfId="0" applyNumberFormat="1" applyFont="1" applyAlignment="1" applyProtection="1">
      <alignment horizontal="right" vertical="center"/>
      <protection hidden="1"/>
    </xf>
    <xf numFmtId="165" fontId="13" fillId="0" borderId="0" xfId="0" applyNumberFormat="1" applyFont="1" applyProtection="1">
      <protection hidden="1"/>
    </xf>
    <xf numFmtId="10" fontId="3" fillId="0" borderId="0" xfId="1" applyNumberFormat="1" applyFont="1" applyFill="1" applyBorder="1" applyAlignment="1" applyProtection="1">
      <alignment horizontal="right" vertical="center"/>
      <protection hidden="1"/>
    </xf>
    <xf numFmtId="39" fontId="10" fillId="0" borderId="0" xfId="1" applyNumberFormat="1" applyFont="1" applyFill="1" applyAlignment="1" applyProtection="1">
      <alignment vertical="center"/>
      <protection hidden="1"/>
    </xf>
    <xf numFmtId="44" fontId="3" fillId="0" borderId="0" xfId="1" applyNumberFormat="1" applyFont="1" applyFill="1" applyBorder="1" applyAlignment="1" applyProtection="1">
      <alignment horizontal="right" vertical="center"/>
      <protection hidden="1"/>
    </xf>
    <xf numFmtId="165" fontId="14" fillId="0" borderId="0" xfId="0" applyNumberFormat="1" applyFont="1" applyAlignment="1" applyProtection="1">
      <alignment horizont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44" fontId="3" fillId="0" borderId="0" xfId="0" applyNumberFormat="1" applyFont="1" applyAlignment="1" applyProtection="1">
      <alignment horizontal="left" vertical="center"/>
      <protection hidden="1"/>
    </xf>
    <xf numFmtId="9" fontId="5" fillId="0" borderId="12" xfId="2" applyFont="1" applyFill="1" applyBorder="1" applyAlignment="1" applyProtection="1">
      <alignment horizontal="left" vertical="center"/>
      <protection hidden="1"/>
    </xf>
    <xf numFmtId="0" fontId="8" fillId="0" borderId="5" xfId="0" applyFont="1" applyBorder="1" applyAlignment="1" applyProtection="1">
      <alignment horizontal="left" vertical="center"/>
      <protection hidden="1"/>
    </xf>
    <xf numFmtId="0" fontId="3" fillId="0" borderId="26" xfId="0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17" fillId="3" borderId="0" xfId="4" applyFont="1" applyFill="1" applyAlignment="1" applyProtection="1">
      <alignment horizontal="center" vertical="center"/>
      <protection hidden="1"/>
    </xf>
    <xf numFmtId="164" fontId="2" fillId="0" borderId="0" xfId="0" applyNumberFormat="1" applyFont="1" applyAlignment="1" applyProtection="1">
      <alignment horizontal="right" vertical="center"/>
      <protection hidden="1"/>
    </xf>
    <xf numFmtId="43" fontId="2" fillId="0" borderId="0" xfId="1" applyFont="1" applyFill="1" applyAlignment="1" applyProtection="1">
      <alignment horizontal="right" vertical="center"/>
      <protection hidden="1"/>
    </xf>
    <xf numFmtId="0" fontId="3" fillId="0" borderId="12" xfId="0" applyFont="1" applyBorder="1" applyAlignment="1" applyProtection="1">
      <alignment horizontal="left" vertical="center"/>
      <protection hidden="1"/>
    </xf>
    <xf numFmtId="0" fontId="3" fillId="0" borderId="30" xfId="0" applyFont="1" applyBorder="1" applyAlignment="1" applyProtection="1">
      <alignment horizontal="left" vertical="center"/>
      <protection hidden="1"/>
    </xf>
    <xf numFmtId="10" fontId="2" fillId="0" borderId="0" xfId="2" applyNumberFormat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protection hidden="1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10" fontId="2" fillId="5" borderId="0" xfId="0" applyNumberFormat="1" applyFont="1" applyFill="1" applyAlignment="1" applyProtection="1">
      <alignment horizontal="right" vertical="center"/>
      <protection locked="0"/>
    </xf>
    <xf numFmtId="44" fontId="2" fillId="5" borderId="0" xfId="6" applyFont="1" applyFill="1" applyBorder="1" applyAlignment="1" applyProtection="1">
      <alignment horizontal="right" vertical="center"/>
      <protection locked="0"/>
    </xf>
    <xf numFmtId="0" fontId="6" fillId="0" borderId="10" xfId="0" applyFont="1" applyBorder="1" applyAlignment="1" applyProtection="1">
      <alignment vertical="center"/>
      <protection hidden="1"/>
    </xf>
    <xf numFmtId="0" fontId="0" fillId="0" borderId="14" xfId="0" applyBorder="1" applyProtection="1">
      <protection hidden="1"/>
    </xf>
    <xf numFmtId="0" fontId="23" fillId="0" borderId="16" xfId="0" applyFont="1" applyBorder="1" applyAlignment="1" applyProtection="1">
      <alignment horizontal="left" vertical="center"/>
      <protection hidden="1"/>
    </xf>
    <xf numFmtId="0" fontId="8" fillId="0" borderId="5" xfId="0" applyFont="1" applyBorder="1" applyAlignment="1" applyProtection="1">
      <alignment vertical="center"/>
      <protection hidden="1"/>
    </xf>
    <xf numFmtId="0" fontId="0" fillId="0" borderId="16" xfId="0" applyBorder="1" applyProtection="1">
      <protection hidden="1"/>
    </xf>
    <xf numFmtId="0" fontId="0" fillId="0" borderId="27" xfId="0" applyBorder="1" applyProtection="1">
      <protection hidden="1"/>
    </xf>
    <xf numFmtId="0" fontId="20" fillId="0" borderId="10" xfId="0" applyFont="1" applyBorder="1" applyProtection="1">
      <protection hidden="1"/>
    </xf>
    <xf numFmtId="0" fontId="26" fillId="0" borderId="33" xfId="0" applyFont="1" applyBorder="1" applyAlignment="1" applyProtection="1">
      <alignment horizontal="left" vertical="center"/>
      <protection hidden="1"/>
    </xf>
    <xf numFmtId="0" fontId="8" fillId="3" borderId="0" xfId="0" applyFont="1" applyFill="1" applyAlignment="1" applyProtection="1">
      <alignment vertical="center"/>
      <protection hidden="1"/>
    </xf>
    <xf numFmtId="0" fontId="20" fillId="0" borderId="12" xfId="0" applyFont="1" applyBorder="1" applyProtection="1">
      <protection hidden="1"/>
    </xf>
    <xf numFmtId="44" fontId="0" fillId="0" borderId="0" xfId="6" applyFont="1" applyBorder="1" applyProtection="1">
      <protection hidden="1"/>
    </xf>
    <xf numFmtId="9" fontId="20" fillId="0" borderId="0" xfId="2" applyFont="1" applyProtection="1">
      <protection hidden="1"/>
    </xf>
    <xf numFmtId="44" fontId="0" fillId="0" borderId="33" xfId="6" applyFont="1" applyBorder="1" applyProtection="1">
      <protection hidden="1"/>
    </xf>
    <xf numFmtId="0" fontId="29" fillId="0" borderId="36" xfId="0" applyFont="1" applyBorder="1" applyProtection="1">
      <protection hidden="1"/>
    </xf>
    <xf numFmtId="43" fontId="0" fillId="0" borderId="0" xfId="0" applyNumberFormat="1" applyProtection="1">
      <protection hidden="1"/>
    </xf>
    <xf numFmtId="0" fontId="4" fillId="3" borderId="0" xfId="0" applyFont="1" applyFill="1" applyAlignment="1" applyProtection="1">
      <alignment vertical="center"/>
      <protection hidden="1"/>
    </xf>
    <xf numFmtId="10" fontId="0" fillId="0" borderId="0" xfId="2" applyNumberFormat="1" applyFont="1" applyBorder="1" applyProtection="1">
      <protection hidden="1"/>
    </xf>
    <xf numFmtId="10" fontId="0" fillId="0" borderId="0" xfId="0" applyNumberFormat="1" applyProtection="1">
      <protection hidden="1"/>
    </xf>
    <xf numFmtId="2" fontId="3" fillId="0" borderId="0" xfId="0" applyNumberFormat="1" applyFont="1" applyAlignment="1" applyProtection="1">
      <alignment horizontal="right" vertical="center"/>
      <protection hidden="1"/>
    </xf>
    <xf numFmtId="0" fontId="8" fillId="0" borderId="12" xfId="0" applyFont="1" applyBorder="1" applyAlignment="1" applyProtection="1">
      <alignment horizontal="center" vertical="center"/>
      <protection hidden="1"/>
    </xf>
    <xf numFmtId="9" fontId="5" fillId="0" borderId="37" xfId="2" applyFont="1" applyFill="1" applyBorder="1" applyAlignment="1" applyProtection="1">
      <alignment horizontal="left" vertical="center"/>
      <protection hidden="1"/>
    </xf>
    <xf numFmtId="0" fontId="8" fillId="0" borderId="16" xfId="0" applyFont="1" applyBorder="1" applyAlignment="1" applyProtection="1">
      <alignment horizontal="center" vertical="center"/>
      <protection hidden="1"/>
    </xf>
    <xf numFmtId="0" fontId="17" fillId="0" borderId="36" xfId="4" applyFont="1" applyFill="1" applyBorder="1" applyAlignment="1" applyProtection="1">
      <alignment horizontal="center" vertical="center"/>
      <protection hidden="1"/>
    </xf>
    <xf numFmtId="43" fontId="17" fillId="0" borderId="16" xfId="2" applyNumberFormat="1" applyFont="1" applyFill="1" applyBorder="1" applyAlignment="1" applyProtection="1">
      <alignment horizontal="center" vertical="center"/>
      <protection hidden="1"/>
    </xf>
    <xf numFmtId="14" fontId="0" fillId="0" borderId="0" xfId="0" applyNumberFormat="1" applyProtection="1">
      <protection hidden="1"/>
    </xf>
    <xf numFmtId="10" fontId="0" fillId="5" borderId="0" xfId="2" applyNumberFormat="1" applyFont="1" applyFill="1" applyBorder="1" applyProtection="1">
      <protection locked="0"/>
    </xf>
    <xf numFmtId="44" fontId="0" fillId="5" borderId="0" xfId="6" applyFont="1" applyFill="1" applyBorder="1" applyProtection="1">
      <protection locked="0"/>
    </xf>
    <xf numFmtId="165" fontId="0" fillId="0" borderId="0" xfId="6" applyNumberFormat="1" applyFont="1" applyBorder="1" applyProtection="1">
      <protection hidden="1"/>
    </xf>
    <xf numFmtId="0" fontId="0" fillId="0" borderId="11" xfId="0" applyBorder="1" applyProtection="1">
      <protection hidden="1"/>
    </xf>
    <xf numFmtId="0" fontId="33" fillId="0" borderId="0" xfId="0" applyFont="1" applyProtection="1">
      <protection hidden="1"/>
    </xf>
    <xf numFmtId="0" fontId="3" fillId="5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6" borderId="45" xfId="0" applyFill="1" applyBorder="1" applyAlignment="1" applyProtection="1">
      <alignment horizontal="center" vertical="center"/>
      <protection hidden="1"/>
    </xf>
    <xf numFmtId="0" fontId="0" fillId="6" borderId="46" xfId="0" applyFill="1" applyBorder="1" applyAlignment="1" applyProtection="1">
      <alignment horizontal="center" vertical="center"/>
      <protection hidden="1"/>
    </xf>
    <xf numFmtId="0" fontId="0" fillId="6" borderId="47" xfId="0" applyFill="1" applyBorder="1" applyAlignment="1" applyProtection="1">
      <alignment horizontal="center" vertical="center"/>
      <protection hidden="1"/>
    </xf>
    <xf numFmtId="0" fontId="0" fillId="6" borderId="48" xfId="0" applyFill="1" applyBorder="1" applyAlignment="1" applyProtection="1">
      <alignment horizontal="center" vertical="center"/>
      <protection hidden="1"/>
    </xf>
    <xf numFmtId="0" fontId="0" fillId="0" borderId="0" xfId="2" applyNumberFormat="1" applyFont="1" applyFill="1" applyBorder="1"/>
    <xf numFmtId="0" fontId="38" fillId="0" borderId="0" xfId="0" applyFont="1" applyAlignment="1">
      <alignment vertical="center"/>
    </xf>
    <xf numFmtId="2" fontId="38" fillId="0" borderId="0" xfId="0" applyNumberFormat="1" applyFont="1" applyAlignment="1">
      <alignment vertical="center"/>
    </xf>
    <xf numFmtId="0" fontId="5" fillId="2" borderId="0" xfId="2" applyNumberFormat="1" applyFont="1" applyFill="1" applyAlignment="1" applyProtection="1">
      <alignment horizontal="right" vertical="center"/>
      <protection hidden="1"/>
    </xf>
    <xf numFmtId="2" fontId="3" fillId="0" borderId="0" xfId="1" applyNumberFormat="1" applyFont="1" applyFill="1" applyAlignment="1" applyProtection="1">
      <alignment horizontal="right" vertical="center"/>
      <protection hidden="1"/>
    </xf>
    <xf numFmtId="0" fontId="39" fillId="0" borderId="0" xfId="0" applyFont="1" applyProtection="1">
      <protection hidden="1"/>
    </xf>
    <xf numFmtId="0" fontId="39" fillId="0" borderId="0" xfId="0" applyFont="1"/>
    <xf numFmtId="0" fontId="0" fillId="6" borderId="50" xfId="0" applyFill="1" applyBorder="1" applyAlignment="1" applyProtection="1">
      <alignment horizontal="center" vertical="center"/>
      <protection hidden="1"/>
    </xf>
    <xf numFmtId="0" fontId="0" fillId="6" borderId="51" xfId="0" applyFill="1" applyBorder="1" applyAlignment="1" applyProtection="1">
      <alignment horizontal="center" vertical="center"/>
      <protection hidden="1"/>
    </xf>
    <xf numFmtId="0" fontId="0" fillId="6" borderId="52" xfId="0" applyFill="1" applyBorder="1" applyAlignment="1" applyProtection="1">
      <alignment horizontal="center" vertical="center"/>
      <protection hidden="1"/>
    </xf>
    <xf numFmtId="0" fontId="0" fillId="6" borderId="53" xfId="0" applyFill="1" applyBorder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vertical="center"/>
      <protection hidden="1"/>
    </xf>
    <xf numFmtId="164" fontId="40" fillId="0" borderId="0" xfId="0" applyNumberFormat="1" applyFont="1" applyAlignment="1" applyProtection="1">
      <alignment horizontal="right" vertical="center"/>
      <protection hidden="1"/>
    </xf>
    <xf numFmtId="10" fontId="5" fillId="0" borderId="2" xfId="2" applyNumberFormat="1" applyFont="1" applyFill="1" applyBorder="1" applyAlignment="1" applyProtection="1">
      <alignment horizontal="left" vertical="center"/>
      <protection hidden="1"/>
    </xf>
    <xf numFmtId="10" fontId="5" fillId="0" borderId="0" xfId="2" applyNumberFormat="1" applyFont="1" applyFill="1" applyAlignment="1" applyProtection="1">
      <alignment horizontal="left" vertical="center"/>
      <protection hidden="1"/>
    </xf>
    <xf numFmtId="44" fontId="0" fillId="0" borderId="0" xfId="6" applyFont="1" applyBorder="1"/>
    <xf numFmtId="44" fontId="0" fillId="0" borderId="0" xfId="6" applyFont="1" applyBorder="1" applyAlignment="1"/>
    <xf numFmtId="0" fontId="31" fillId="0" borderId="0" xfId="4" applyFont="1" applyFill="1" applyAlignment="1" applyProtection="1">
      <alignment horizontal="center" vertical="center"/>
      <protection locked="0"/>
    </xf>
    <xf numFmtId="9" fontId="31" fillId="0" borderId="0" xfId="2" applyFont="1" applyFill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6" fillId="0" borderId="0" xfId="0" applyFont="1" applyProtection="1">
      <protection locked="0"/>
    </xf>
    <xf numFmtId="0" fontId="37" fillId="0" borderId="0" xfId="0" applyFont="1" applyAlignment="1" applyProtection="1">
      <alignment horizontal="left" vertical="center"/>
      <protection locked="0"/>
    </xf>
    <xf numFmtId="14" fontId="36" fillId="0" borderId="0" xfId="0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0" fontId="36" fillId="0" borderId="0" xfId="0" applyNumberFormat="1" applyFont="1" applyProtection="1">
      <protection locked="0"/>
    </xf>
    <xf numFmtId="44" fontId="36" fillId="0" borderId="0" xfId="0" applyNumberFormat="1" applyFont="1" applyProtection="1">
      <protection locked="0"/>
    </xf>
    <xf numFmtId="43" fontId="36" fillId="0" borderId="0" xfId="0" applyNumberFormat="1" applyFont="1" applyProtection="1">
      <protection locked="0"/>
    </xf>
    <xf numFmtId="43" fontId="37" fillId="0" borderId="0" xfId="0" applyNumberFormat="1" applyFont="1" applyAlignment="1" applyProtection="1">
      <alignment horizontal="left" vertical="center"/>
      <protection locked="0"/>
    </xf>
    <xf numFmtId="164" fontId="36" fillId="0" borderId="0" xfId="0" applyNumberFormat="1" applyFont="1" applyProtection="1"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0" fontId="3" fillId="5" borderId="0" xfId="2" applyNumberFormat="1" applyFont="1" applyFill="1" applyBorder="1" applyAlignment="1" applyProtection="1">
      <alignment horizontal="left" vertical="center"/>
      <protection locked="0"/>
    </xf>
    <xf numFmtId="10" fontId="0" fillId="5" borderId="12" xfId="2" applyNumberFormat="1" applyFont="1" applyFill="1" applyBorder="1" applyProtection="1">
      <protection locked="0"/>
    </xf>
    <xf numFmtId="165" fontId="0" fillId="7" borderId="0" xfId="6" applyNumberFormat="1" applyFont="1" applyFill="1" applyBorder="1" applyProtection="1">
      <protection hidden="1"/>
    </xf>
    <xf numFmtId="0" fontId="20" fillId="4" borderId="7" xfId="0" applyFont="1" applyFill="1" applyBorder="1" applyAlignment="1">
      <alignment horizontal="center" vertical="center"/>
    </xf>
    <xf numFmtId="0" fontId="0" fillId="0" borderId="0" xfId="6" applyNumberFormat="1" applyFont="1"/>
    <xf numFmtId="0" fontId="0" fillId="0" borderId="0" xfId="6" applyNumberFormat="1" applyFont="1" applyAlignment="1">
      <alignment horizontal="center"/>
    </xf>
    <xf numFmtId="0" fontId="20" fillId="0" borderId="8" xfId="0" applyFont="1" applyBorder="1" applyAlignment="1">
      <alignment vertical="center"/>
    </xf>
    <xf numFmtId="165" fontId="0" fillId="5" borderId="0" xfId="6" applyNumberFormat="1" applyFont="1" applyFill="1" applyAlignment="1" applyProtection="1">
      <alignment horizontal="center" vertical="center"/>
      <protection locked="0"/>
    </xf>
    <xf numFmtId="0" fontId="0" fillId="0" borderId="16" xfId="0" applyBorder="1" applyProtection="1">
      <protection locked="0"/>
    </xf>
    <xf numFmtId="0" fontId="0" fillId="0" borderId="12" xfId="0" applyBorder="1" applyProtection="1">
      <protection locked="0"/>
    </xf>
    <xf numFmtId="0" fontId="20" fillId="0" borderId="11" xfId="0" applyFont="1" applyBorder="1" applyProtection="1">
      <protection locked="0"/>
    </xf>
    <xf numFmtId="0" fontId="20" fillId="0" borderId="0" xfId="0" applyFont="1" applyProtection="1">
      <protection locked="0"/>
    </xf>
    <xf numFmtId="0" fontId="0" fillId="0" borderId="10" xfId="0" applyBorder="1"/>
    <xf numFmtId="165" fontId="0" fillId="0" borderId="0" xfId="0" applyNumberFormat="1"/>
    <xf numFmtId="0" fontId="33" fillId="0" borderId="10" xfId="0" applyFont="1" applyBorder="1"/>
    <xf numFmtId="14" fontId="0" fillId="5" borderId="0" xfId="0" applyNumberFormat="1" applyFill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hidden="1"/>
    </xf>
    <xf numFmtId="165" fontId="0" fillId="0" borderId="0" xfId="0" applyNumberFormat="1" applyAlignment="1">
      <alignment horizontal="center"/>
    </xf>
    <xf numFmtId="44" fontId="0" fillId="0" borderId="0" xfId="0" applyNumberFormat="1"/>
    <xf numFmtId="0" fontId="33" fillId="0" borderId="10" xfId="0" applyFont="1" applyBorder="1" applyProtection="1">
      <protection hidden="1"/>
    </xf>
    <xf numFmtId="0" fontId="8" fillId="0" borderId="0" xfId="0" applyFont="1" applyAlignment="1" applyProtection="1">
      <alignment vertical="center"/>
      <protection hidden="1"/>
    </xf>
    <xf numFmtId="0" fontId="0" fillId="0" borderId="36" xfId="0" applyBorder="1" applyProtection="1">
      <protection locked="0"/>
    </xf>
    <xf numFmtId="0" fontId="0" fillId="0" borderId="16" xfId="0" applyBorder="1"/>
    <xf numFmtId="0" fontId="0" fillId="0" borderId="27" xfId="0" applyBorder="1"/>
    <xf numFmtId="0" fontId="41" fillId="0" borderId="11" xfId="0" applyFont="1" applyBorder="1" applyAlignment="1" applyProtection="1">
      <alignment vertical="center"/>
      <protection hidden="1"/>
    </xf>
    <xf numFmtId="165" fontId="33" fillId="0" borderId="0" xfId="0" applyNumberFormat="1" applyFont="1"/>
    <xf numFmtId="165" fontId="0" fillId="0" borderId="0" xfId="0" applyNumberFormat="1" applyAlignment="1" applyProtection="1">
      <alignment horizontal="center"/>
      <protection locked="0"/>
    </xf>
    <xf numFmtId="0" fontId="0" fillId="0" borderId="12" xfId="0" applyBorder="1"/>
    <xf numFmtId="0" fontId="0" fillId="0" borderId="14" xfId="0" applyBorder="1"/>
    <xf numFmtId="0" fontId="0" fillId="5" borderId="0" xfId="6" applyNumberFormat="1" applyFont="1" applyFill="1" applyAlignment="1" applyProtection="1">
      <alignment horizontal="center" vertical="center"/>
      <protection locked="0"/>
    </xf>
    <xf numFmtId="2" fontId="0" fillId="0" borderId="0" xfId="0" applyNumberFormat="1"/>
    <xf numFmtId="0" fontId="33" fillId="0" borderId="0" xfId="0" applyFont="1" applyAlignment="1">
      <alignment horizontal="center"/>
    </xf>
    <xf numFmtId="1" fontId="0" fillId="0" borderId="0" xfId="6" applyNumberFormat="1" applyFont="1"/>
    <xf numFmtId="166" fontId="0" fillId="0" borderId="0" xfId="0" applyNumberFormat="1"/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Protection="1">
      <protection hidden="1"/>
    </xf>
    <xf numFmtId="166" fontId="0" fillId="0" borderId="16" xfId="0" applyNumberFormat="1" applyBorder="1" applyProtection="1">
      <protection hidden="1"/>
    </xf>
    <xf numFmtId="10" fontId="2" fillId="2" borderId="0" xfId="2" applyNumberFormat="1" applyFont="1" applyFill="1" applyAlignment="1" applyProtection="1">
      <alignment horizontal="center" vertical="center"/>
      <protection hidden="1"/>
    </xf>
    <xf numFmtId="165" fontId="1" fillId="0" borderId="0" xfId="6" applyNumberFormat="1" applyFont="1" applyBorder="1" applyProtection="1">
      <protection hidden="1"/>
    </xf>
    <xf numFmtId="44" fontId="0" fillId="0" borderId="0" xfId="6" applyFont="1" applyFill="1"/>
    <xf numFmtId="44" fontId="43" fillId="0" borderId="0" xfId="6" applyFont="1" applyFill="1" applyAlignment="1" applyProtection="1">
      <alignment horizontal="left" vertical="center"/>
      <protection hidden="1"/>
    </xf>
    <xf numFmtId="44" fontId="43" fillId="0" borderId="22" xfId="6" applyFont="1" applyFill="1" applyBorder="1" applyAlignment="1" applyProtection="1">
      <alignment horizontal="left" vertical="center"/>
      <protection hidden="1"/>
    </xf>
    <xf numFmtId="43" fontId="44" fillId="0" borderId="0" xfId="1" applyFont="1" applyFill="1" applyAlignment="1" applyProtection="1">
      <alignment horizontal="right" vertical="center"/>
      <protection hidden="1"/>
    </xf>
    <xf numFmtId="0" fontId="44" fillId="0" borderId="0" xfId="0" applyFont="1" applyAlignment="1" applyProtection="1">
      <alignment horizontal="left" vertical="center"/>
      <protection hidden="1"/>
    </xf>
    <xf numFmtId="0" fontId="0" fillId="8" borderId="0" xfId="0" applyFill="1" applyAlignment="1">
      <alignment vertical="top"/>
    </xf>
    <xf numFmtId="0" fontId="0" fillId="8" borderId="0" xfId="6" applyNumberFormat="1" applyFont="1" applyFill="1"/>
    <xf numFmtId="9" fontId="0" fillId="8" borderId="0" xfId="2" applyFont="1" applyFill="1"/>
    <xf numFmtId="0" fontId="0" fillId="8" borderId="0" xfId="0" applyFill="1"/>
    <xf numFmtId="44" fontId="0" fillId="8" borderId="0" xfId="6" applyFont="1" applyFill="1"/>
    <xf numFmtId="44" fontId="0" fillId="8" borderId="0" xfId="0" applyNumberFormat="1" applyFill="1"/>
    <xf numFmtId="0" fontId="0" fillId="0" borderId="38" xfId="0" applyBorder="1"/>
    <xf numFmtId="44" fontId="0" fillId="0" borderId="38" xfId="6" applyFont="1" applyBorder="1"/>
    <xf numFmtId="0" fontId="3" fillId="3" borderId="0" xfId="0" applyFont="1" applyFill="1" applyAlignment="1" applyProtection="1">
      <alignment horizontal="center" vertical="center" wrapText="1"/>
      <protection hidden="1"/>
    </xf>
    <xf numFmtId="0" fontId="0" fillId="6" borderId="40" xfId="0" applyFill="1" applyBorder="1" applyAlignment="1" applyProtection="1">
      <alignment horizontal="center" vertical="center"/>
      <protection hidden="1"/>
    </xf>
    <xf numFmtId="0" fontId="0" fillId="6" borderId="41" xfId="0" applyFill="1" applyBorder="1" applyAlignment="1" applyProtection="1">
      <alignment horizontal="center" vertical="center"/>
      <protection hidden="1"/>
    </xf>
    <xf numFmtId="0" fontId="0" fillId="6" borderId="42" xfId="0" applyFill="1" applyBorder="1" applyAlignment="1" applyProtection="1">
      <alignment horizontal="center" vertical="center"/>
      <protection hidden="1"/>
    </xf>
    <xf numFmtId="0" fontId="0" fillId="6" borderId="43" xfId="0" applyFill="1" applyBorder="1" applyAlignment="1" applyProtection="1">
      <alignment horizontal="center" vertical="center"/>
      <protection hidden="1"/>
    </xf>
    <xf numFmtId="0" fontId="0" fillId="6" borderId="39" xfId="0" applyFill="1" applyBorder="1" applyAlignment="1" applyProtection="1">
      <alignment horizontal="center" vertical="center"/>
      <protection hidden="1"/>
    </xf>
    <xf numFmtId="0" fontId="0" fillId="6" borderId="44" xfId="0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>
      <alignment horizontal="center" vertical="center" wrapText="1"/>
    </xf>
    <xf numFmtId="0" fontId="20" fillId="4" borderId="6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8" xfId="0" applyFont="1" applyFill="1" applyBorder="1" applyAlignment="1">
      <alignment horizontal="center" vertical="center"/>
    </xf>
    <xf numFmtId="0" fontId="20" fillId="4" borderId="9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165" fontId="42" fillId="0" borderId="0" xfId="0" applyNumberFormat="1" applyFont="1" applyAlignment="1" applyProtection="1">
      <alignment horizontal="center"/>
      <protection hidden="1"/>
    </xf>
    <xf numFmtId="0" fontId="15" fillId="0" borderId="30" xfId="3" applyFont="1" applyFill="1" applyBorder="1" applyAlignment="1" applyProtection="1">
      <alignment horizontal="center" vertical="center"/>
      <protection hidden="1"/>
    </xf>
    <xf numFmtId="0" fontId="15" fillId="0" borderId="0" xfId="3" applyFont="1" applyFill="1" applyBorder="1" applyAlignment="1" applyProtection="1">
      <alignment horizontal="center" vertical="center"/>
      <protection hidden="1"/>
    </xf>
    <xf numFmtId="9" fontId="3" fillId="0" borderId="28" xfId="2" applyFont="1" applyFill="1" applyBorder="1" applyAlignment="1" applyProtection="1">
      <alignment horizontal="center" vertical="center"/>
      <protection hidden="1"/>
    </xf>
    <xf numFmtId="9" fontId="3" fillId="0" borderId="29" xfId="2" applyFont="1" applyFill="1" applyBorder="1" applyAlignment="1" applyProtection="1">
      <alignment horizontal="center" vertical="center"/>
      <protection hidden="1"/>
    </xf>
    <xf numFmtId="0" fontId="15" fillId="0" borderId="31" xfId="3" applyFont="1" applyFill="1" applyBorder="1" applyAlignment="1" applyProtection="1">
      <alignment horizontal="center" vertical="center"/>
      <protection hidden="1"/>
    </xf>
    <xf numFmtId="0" fontId="15" fillId="0" borderId="10" xfId="3" applyFont="1" applyFill="1" applyBorder="1" applyAlignment="1" applyProtection="1">
      <alignment horizontal="center" vertical="center"/>
      <protection hidden="1"/>
    </xf>
    <xf numFmtId="9" fontId="3" fillId="0" borderId="2" xfId="2" applyFont="1" applyFill="1" applyBorder="1" applyAlignment="1" applyProtection="1">
      <alignment horizontal="center" vertical="center"/>
      <protection hidden="1"/>
    </xf>
    <xf numFmtId="165" fontId="34" fillId="0" borderId="0" xfId="0" applyNumberFormat="1" applyFont="1" applyAlignment="1" applyProtection="1">
      <alignment horizontal="center" vertical="center"/>
      <protection hidden="1"/>
    </xf>
    <xf numFmtId="0" fontId="0" fillId="6" borderId="49" xfId="0" applyFill="1" applyBorder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0" fillId="6" borderId="54" xfId="0" applyFill="1" applyBorder="1" applyAlignment="1" applyProtection="1">
      <alignment horizontal="center" vertical="center"/>
      <protection hidden="1"/>
    </xf>
    <xf numFmtId="0" fontId="0" fillId="6" borderId="55" xfId="0" applyFill="1" applyBorder="1" applyAlignment="1" applyProtection="1">
      <alignment horizontal="center" vertical="center"/>
      <protection hidden="1"/>
    </xf>
    <xf numFmtId="0" fontId="0" fillId="6" borderId="56" xfId="0" applyFill="1" applyBorder="1" applyAlignment="1" applyProtection="1">
      <alignment horizontal="center" vertical="center"/>
      <protection hidden="1"/>
    </xf>
    <xf numFmtId="0" fontId="0" fillId="6" borderId="57" xfId="0" applyFill="1" applyBorder="1" applyAlignment="1" applyProtection="1">
      <alignment horizontal="center" vertical="center"/>
      <protection hidden="1"/>
    </xf>
    <xf numFmtId="0" fontId="0" fillId="6" borderId="58" xfId="0" applyFill="1" applyBorder="1" applyAlignment="1" applyProtection="1">
      <alignment horizontal="center" vertical="center"/>
      <protection hidden="1"/>
    </xf>
    <xf numFmtId="0" fontId="0" fillId="6" borderId="60" xfId="0" applyFill="1" applyBorder="1" applyAlignment="1" applyProtection="1">
      <alignment horizontal="center" vertical="center"/>
      <protection hidden="1"/>
    </xf>
    <xf numFmtId="0" fontId="0" fillId="6" borderId="59" xfId="0" applyFill="1" applyBorder="1" applyAlignment="1" applyProtection="1">
      <alignment horizontal="center" vertical="center"/>
      <protection hidden="1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44" fontId="0" fillId="0" borderId="38" xfId="6" applyFont="1" applyBorder="1" applyAlignment="1">
      <alignment horizontal="center" vertical="center"/>
    </xf>
  </cellXfs>
  <cellStyles count="8">
    <cellStyle name="Hiperlink" xfId="4" builtinId="8"/>
    <cellStyle name="Moeda" xfId="6" builtinId="4"/>
    <cellStyle name="Normal" xfId="0" builtinId="0"/>
    <cellStyle name="Normal 2" xfId="7" xr:uid="{00000000-0005-0000-0000-000003000000}"/>
    <cellStyle name="Porcentagem" xfId="2" builtinId="5"/>
    <cellStyle name="Título 3" xfId="3" builtinId="18"/>
    <cellStyle name="Vírgula" xfId="1" builtinId="3"/>
    <cellStyle name="Vírgula 2" xfId="5" xr:uid="{00000000-0005-0000-0000-000007000000}"/>
  </cellStyles>
  <dxfs count="8"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D3D3D3"/>
      <color rgb="FFFFFFB3"/>
      <color rgb="FF338564"/>
      <color rgb="FF105C0C"/>
      <color rgb="FFFDFDFD"/>
      <color rgb="FFF5F5F5"/>
      <color rgb="FFFBFBFB"/>
      <color rgb="FFB9D51F"/>
      <color rgb="FF0E7FB7"/>
      <color rgb="FF4BAC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1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38-4B1E-93B5-3782F39D4F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38-4B1E-93B5-3782F39D4F3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38-4B1E-93B5-3782F39D4F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38-4B1E-93B5-3782F39D4F3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38-4B1E-93B5-3782F39D4F34}"/>
              </c:ext>
            </c:extLst>
          </c:dPt>
          <c:val>
            <c:numRef>
              <c:f>('FO1'!$F$70,'FO1'!$F$72,'FO1'!$F$74,'FO1'!$F$75,'FO1'!$F$76)</c:f>
              <c:numCache>
                <c:formatCode>_(* #,##0.00_);_(* \(#,##0.00\);_(* "-"??_);_(@_)</c:formatCode>
                <c:ptCount val="5"/>
                <c:pt idx="0">
                  <c:v>-4.3074000000000003</c:v>
                </c:pt>
                <c:pt idx="1">
                  <c:v>-9.2765141335888455</c:v>
                </c:pt>
                <c:pt idx="2" formatCode="_(* #,##0.00_);_(* \(#,##0.00\);_(* &quot;-&quot;??_);_(@_)">
                  <c:v>2.2999999999999998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2.1160858664111535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DDA-4719-8AD5-43C46A016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1</c:v>
          </c:tx>
          <c:explosion val="6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6B1-4130-B691-2272DB5BCE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6B1-4130-B691-2272DB5BCE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6B1-4130-B691-2272DB5BCE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6B1-4130-B691-2272DB5BCE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6B1-4130-B691-2272DB5BCEBC}"/>
              </c:ext>
            </c:extLst>
          </c:dPt>
          <c:val>
            <c:numRef>
              <c:f>('FO2'!$F$47,'FO2'!$F$49,'FO2'!$F$51,'FO2'!$F$53,'FO2'!$F$52)</c:f>
              <c:numCache>
                <c:formatCode>_(* #,##0.00_);_(* \(#,##0.00\);_(* "-"??_);_(@_)</c:formatCode>
                <c:ptCount val="5"/>
                <c:pt idx="0">
                  <c:v>-6.992700000000001</c:v>
                </c:pt>
                <c:pt idx="1">
                  <c:v>-21.231249999999999</c:v>
                </c:pt>
                <c:pt idx="2" formatCode="_(* #,##0.00_);_(* \(#,##0.00\);_(* &quot;-&quot;??_);_(@_)">
                  <c:v>1.9500000000000002</c:v>
                </c:pt>
                <c:pt idx="3" formatCode="_(* #,##0.00_);_(* \(#,##0.00\);_(* &quot;-&quot;??_);_(@_)">
                  <c:v>4.9260500000000018</c:v>
                </c:pt>
                <c:pt idx="4" formatCode="_(* #,##0.00_);_(* \(#,##0.00\);_(* &quot;-&quot;??_);_(@_)">
                  <c:v>3.9000000000000004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C2-4FA6-89C9-6B75F1AE1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FO1'!A1"/><Relationship Id="rId2" Type="http://schemas.openxmlformats.org/officeDocument/2006/relationships/hyperlink" Target="#'Cad1'!A1"/><Relationship Id="rId1" Type="http://schemas.openxmlformats.org/officeDocument/2006/relationships/image" Target="../media/image1.jpeg"/><Relationship Id="rId4" Type="http://schemas.openxmlformats.org/officeDocument/2006/relationships/hyperlink" Target="#'Tab1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ad4'!A1"/><Relationship Id="rId3" Type="http://schemas.openxmlformats.org/officeDocument/2006/relationships/hyperlink" Target="#'FO1'!A1"/><Relationship Id="rId7" Type="http://schemas.openxmlformats.org/officeDocument/2006/relationships/hyperlink" Target="#'Cad3'!A1"/><Relationship Id="rId2" Type="http://schemas.openxmlformats.org/officeDocument/2006/relationships/hyperlink" Target="#'Cad1'!A1"/><Relationship Id="rId1" Type="http://schemas.openxmlformats.org/officeDocument/2006/relationships/image" Target="../media/image1.jpeg"/><Relationship Id="rId6" Type="http://schemas.openxmlformats.org/officeDocument/2006/relationships/hyperlink" Target="#'Cad2'!A1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ad4'!A1"/><Relationship Id="rId3" Type="http://schemas.openxmlformats.org/officeDocument/2006/relationships/hyperlink" Target="#'FO1'!A1"/><Relationship Id="rId7" Type="http://schemas.openxmlformats.org/officeDocument/2006/relationships/hyperlink" Target="#'Cad3'!A1"/><Relationship Id="rId2" Type="http://schemas.openxmlformats.org/officeDocument/2006/relationships/hyperlink" Target="#'Cad2'!A1"/><Relationship Id="rId1" Type="http://schemas.openxmlformats.org/officeDocument/2006/relationships/image" Target="../media/image1.jpeg"/><Relationship Id="rId6" Type="http://schemas.openxmlformats.org/officeDocument/2006/relationships/hyperlink" Target="#'Cad1'!A1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ad4'!A1"/><Relationship Id="rId3" Type="http://schemas.openxmlformats.org/officeDocument/2006/relationships/hyperlink" Target="#'FO1'!A1"/><Relationship Id="rId7" Type="http://schemas.openxmlformats.org/officeDocument/2006/relationships/hyperlink" Target="#'Cad2'!A1"/><Relationship Id="rId2" Type="http://schemas.openxmlformats.org/officeDocument/2006/relationships/hyperlink" Target="#'Cad3'!A1"/><Relationship Id="rId1" Type="http://schemas.openxmlformats.org/officeDocument/2006/relationships/image" Target="../media/image1.jpeg"/><Relationship Id="rId6" Type="http://schemas.openxmlformats.org/officeDocument/2006/relationships/hyperlink" Target="#'Cad1'!A1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ad4'!A1"/><Relationship Id="rId3" Type="http://schemas.openxmlformats.org/officeDocument/2006/relationships/hyperlink" Target="#'FO1'!A1"/><Relationship Id="rId7" Type="http://schemas.openxmlformats.org/officeDocument/2006/relationships/hyperlink" Target="#'Cad2'!A1"/><Relationship Id="rId2" Type="http://schemas.openxmlformats.org/officeDocument/2006/relationships/hyperlink" Target="#'Cad3'!A1"/><Relationship Id="rId1" Type="http://schemas.openxmlformats.org/officeDocument/2006/relationships/image" Target="../media/image1.jpeg"/><Relationship Id="rId6" Type="http://schemas.openxmlformats.org/officeDocument/2006/relationships/hyperlink" Target="#'Cad1'!A1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FO4'!A1"/><Relationship Id="rId3" Type="http://schemas.openxmlformats.org/officeDocument/2006/relationships/hyperlink" Target="#'FO1'!A1"/><Relationship Id="rId7" Type="http://schemas.openxmlformats.org/officeDocument/2006/relationships/chart" Target="../charts/chart1.xml"/><Relationship Id="rId2" Type="http://schemas.openxmlformats.org/officeDocument/2006/relationships/hyperlink" Target="#'Cad1'!A1"/><Relationship Id="rId1" Type="http://schemas.openxmlformats.org/officeDocument/2006/relationships/image" Target="../media/image1.jpeg"/><Relationship Id="rId6" Type="http://schemas.openxmlformats.org/officeDocument/2006/relationships/hyperlink" Target="#'FO2'!A1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FO4'!A1"/><Relationship Id="rId3" Type="http://schemas.openxmlformats.org/officeDocument/2006/relationships/hyperlink" Target="#'FO2'!A1"/><Relationship Id="rId7" Type="http://schemas.openxmlformats.org/officeDocument/2006/relationships/chart" Target="../charts/chart2.xml"/><Relationship Id="rId2" Type="http://schemas.openxmlformats.org/officeDocument/2006/relationships/hyperlink" Target="#'Cad1'!A1"/><Relationship Id="rId1" Type="http://schemas.openxmlformats.org/officeDocument/2006/relationships/image" Target="../media/image1.jpeg"/><Relationship Id="rId6" Type="http://schemas.openxmlformats.org/officeDocument/2006/relationships/hyperlink" Target="#'FO1'!A1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FO4'!A1"/><Relationship Id="rId3" Type="http://schemas.openxmlformats.org/officeDocument/2006/relationships/hyperlink" Target="#'FO3'!A1"/><Relationship Id="rId7" Type="http://schemas.openxmlformats.org/officeDocument/2006/relationships/hyperlink" Target="#'FO2'!A1"/><Relationship Id="rId2" Type="http://schemas.openxmlformats.org/officeDocument/2006/relationships/hyperlink" Target="#'Cad1'!A1"/><Relationship Id="rId1" Type="http://schemas.openxmlformats.org/officeDocument/2006/relationships/image" Target="../media/image1.jpeg"/><Relationship Id="rId6" Type="http://schemas.openxmlformats.org/officeDocument/2006/relationships/hyperlink" Target="#'FO1'!A1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FO1'!A1"/><Relationship Id="rId7" Type="http://schemas.openxmlformats.org/officeDocument/2006/relationships/hyperlink" Target="#'Tab3'!A1"/><Relationship Id="rId2" Type="http://schemas.openxmlformats.org/officeDocument/2006/relationships/hyperlink" Target="#'Cad1'!A1"/><Relationship Id="rId1" Type="http://schemas.openxmlformats.org/officeDocument/2006/relationships/image" Target="../media/image1.jpeg"/><Relationship Id="rId6" Type="http://schemas.openxmlformats.org/officeDocument/2006/relationships/hyperlink" Target="#'Tab2'!A1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FO1'!A1"/><Relationship Id="rId7" Type="http://schemas.openxmlformats.org/officeDocument/2006/relationships/hyperlink" Target="#'Tab3'!A1"/><Relationship Id="rId2" Type="http://schemas.openxmlformats.org/officeDocument/2006/relationships/hyperlink" Target="#'Cad1'!A1"/><Relationship Id="rId1" Type="http://schemas.openxmlformats.org/officeDocument/2006/relationships/image" Target="../media/image1.jpeg"/><Relationship Id="rId6" Type="http://schemas.openxmlformats.org/officeDocument/2006/relationships/hyperlink" Target="#'Tab2'!A1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FO1'!A1"/><Relationship Id="rId7" Type="http://schemas.openxmlformats.org/officeDocument/2006/relationships/hyperlink" Target="#'Tab3'!A1"/><Relationship Id="rId2" Type="http://schemas.openxmlformats.org/officeDocument/2006/relationships/hyperlink" Target="#'Cad1'!A1"/><Relationship Id="rId1" Type="http://schemas.openxmlformats.org/officeDocument/2006/relationships/image" Target="../media/image1.jpeg"/><Relationship Id="rId6" Type="http://schemas.openxmlformats.org/officeDocument/2006/relationships/hyperlink" Target="#'Tab2'!A1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FO1'!A1"/><Relationship Id="rId2" Type="http://schemas.openxmlformats.org/officeDocument/2006/relationships/hyperlink" Target="#'Cad1'!A1"/><Relationship Id="rId1" Type="http://schemas.openxmlformats.org/officeDocument/2006/relationships/image" Target="../media/image3.jpeg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FO1'!A1"/><Relationship Id="rId2" Type="http://schemas.openxmlformats.org/officeDocument/2006/relationships/hyperlink" Target="#'Cad1'!A1"/><Relationship Id="rId1" Type="http://schemas.openxmlformats.org/officeDocument/2006/relationships/image" Target="../media/image3.jpeg"/><Relationship Id="rId5" Type="http://schemas.openxmlformats.org/officeDocument/2006/relationships/hyperlink" Target="#'Tab1'!A1"/><Relationship Id="rId4" Type="http://schemas.openxmlformats.org/officeDocument/2006/relationships/hyperlink" Target="#Ini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139513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2151529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2420471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0" y="1613647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  <a:p>
          <a:pPr algn="ctr"/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2958353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Tabelas</a:t>
          </a:r>
        </a:p>
      </xdr:txBody>
    </xdr:sp>
    <xdr:clientData/>
  </xdr:twoCellAnchor>
  <xdr:oneCellAnchor>
    <xdr:from>
      <xdr:col>3</xdr:col>
      <xdr:colOff>0</xdr:colOff>
      <xdr:row>6</xdr:row>
      <xdr:rowOff>0</xdr:rowOff>
    </xdr:from>
    <xdr:ext cx="829235" cy="966996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361765" y="1546412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1</a:t>
          </a:r>
        </a:p>
      </xdr:txBody>
    </xdr:sp>
    <xdr:clientData/>
  </xdr:oneCellAnchor>
  <xdr:oneCellAnchor>
    <xdr:from>
      <xdr:col>3</xdr:col>
      <xdr:colOff>499784</xdr:colOff>
      <xdr:row>6</xdr:row>
      <xdr:rowOff>253254</xdr:rowOff>
    </xdr:from>
    <xdr:ext cx="4498040" cy="545919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861549" y="1799666"/>
          <a:ext cx="4498040" cy="545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Cadastrar</a:t>
          </a:r>
          <a:r>
            <a:rPr lang="pt-BR" sz="1400" baseline="0">
              <a:latin typeface="+mn-lt"/>
            </a:rPr>
            <a:t> todas as informações necessárias relativas aos produtos, receitas e custos na aba "Cadastros".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3</xdr:col>
      <xdr:colOff>13447</xdr:colOff>
      <xdr:row>9</xdr:row>
      <xdr:rowOff>129987</xdr:rowOff>
    </xdr:from>
    <xdr:ext cx="829235" cy="966996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375212" y="2449605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2</a:t>
          </a:r>
        </a:p>
      </xdr:txBody>
    </xdr:sp>
    <xdr:clientData/>
  </xdr:oneCellAnchor>
  <xdr:oneCellAnchor>
    <xdr:from>
      <xdr:col>3</xdr:col>
      <xdr:colOff>513231</xdr:colOff>
      <xdr:row>10</xdr:row>
      <xdr:rowOff>125506</xdr:rowOff>
    </xdr:from>
    <xdr:ext cx="4507004" cy="772712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3874996" y="2702859"/>
          <a:ext cx="4507004" cy="772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Deve-se</a:t>
          </a:r>
          <a:r>
            <a:rPr lang="pt-BR" sz="1400" baseline="0">
              <a:latin typeface="+mn-lt"/>
            </a:rPr>
            <a:t> sempre seguir as orientações contidas nessa planilha, para que não tenha nenhum erro de cálculo na formação do preço.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3</xdr:col>
      <xdr:colOff>22413</xdr:colOff>
      <xdr:row>13</xdr:row>
      <xdr:rowOff>22412</xdr:rowOff>
    </xdr:from>
    <xdr:ext cx="829235" cy="96699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3384178" y="3372971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3</a:t>
          </a:r>
        </a:p>
      </xdr:txBody>
    </xdr:sp>
    <xdr:clientData/>
  </xdr:oneCellAnchor>
  <xdr:oneCellAnchor>
    <xdr:from>
      <xdr:col>3</xdr:col>
      <xdr:colOff>522197</xdr:colOff>
      <xdr:row>14</xdr:row>
      <xdr:rowOff>17931</xdr:rowOff>
    </xdr:from>
    <xdr:ext cx="4498040" cy="31912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3883962" y="3626225"/>
          <a:ext cx="4498040" cy="3191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Para</a:t>
          </a:r>
          <a:r>
            <a:rPr lang="pt-BR" sz="1400" baseline="0">
              <a:latin typeface="+mn-lt"/>
            </a:rPr>
            <a:t> formação de preço ir para a aba "Formação".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3</xdr:col>
      <xdr:colOff>35860</xdr:colOff>
      <xdr:row>17</xdr:row>
      <xdr:rowOff>85164</xdr:rowOff>
    </xdr:from>
    <xdr:ext cx="829235" cy="966996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3397625" y="4276164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4</a:t>
          </a:r>
        </a:p>
      </xdr:txBody>
    </xdr:sp>
    <xdr:clientData/>
  </xdr:oneCellAnchor>
  <xdr:oneCellAnchor>
    <xdr:from>
      <xdr:col>3</xdr:col>
      <xdr:colOff>535644</xdr:colOff>
      <xdr:row>18</xdr:row>
      <xdr:rowOff>147918</xdr:rowOff>
    </xdr:from>
    <xdr:ext cx="4507004" cy="530658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3897409" y="4697506"/>
          <a:ext cx="450700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Deve-se</a:t>
          </a:r>
          <a:r>
            <a:rPr lang="pt-BR" sz="1400" baseline="0">
              <a:latin typeface="+mn-lt"/>
            </a:rPr>
            <a:t> sempre conferir as informções preenchidas antes de gerar os preços, para evitar erros nos relatórios.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3</xdr:col>
      <xdr:colOff>11206</xdr:colOff>
      <xdr:row>22</xdr:row>
      <xdr:rowOff>156884</xdr:rowOff>
    </xdr:from>
    <xdr:ext cx="829235" cy="966996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3372971" y="5300384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5</a:t>
          </a:r>
        </a:p>
      </xdr:txBody>
    </xdr:sp>
    <xdr:clientData/>
  </xdr:oneCellAnchor>
  <xdr:oneCellAnchor>
    <xdr:from>
      <xdr:col>3</xdr:col>
      <xdr:colOff>510990</xdr:colOff>
      <xdr:row>24</xdr:row>
      <xdr:rowOff>29138</xdr:rowOff>
    </xdr:from>
    <xdr:ext cx="4507004" cy="530658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872755" y="5721726"/>
          <a:ext cx="450700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Você pode acompanhar os</a:t>
          </a:r>
          <a:r>
            <a:rPr lang="pt-BR" sz="1400" baseline="0">
              <a:latin typeface="+mn-lt"/>
            </a:rPr>
            <a:t> relatórios  e tabelas geradas de forma automatica nas abas especificas ao lado.</a:t>
          </a:r>
          <a:endParaRPr lang="pt-BR" sz="1400">
            <a:latin typeface="+mn-lt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139513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29337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1154206</xdr:colOff>
      <xdr:row>8</xdr:row>
      <xdr:rowOff>257735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78324" y="2151529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Produtos</a:t>
          </a:r>
        </a:p>
      </xdr:txBody>
    </xdr:sp>
    <xdr:clientData/>
  </xdr:twoCellAnchor>
  <xdr:twoCellAnchor>
    <xdr:from>
      <xdr:col>1</xdr:col>
      <xdr:colOff>0</xdr:colOff>
      <xdr:row>9</xdr:row>
      <xdr:rowOff>-1</xdr:rowOff>
    </xdr:from>
    <xdr:to>
      <xdr:col>1</xdr:col>
      <xdr:colOff>1154206</xdr:colOff>
      <xdr:row>9</xdr:row>
      <xdr:rowOff>257734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8324" y="242047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Receitas</a:t>
          </a:r>
        </a:p>
      </xdr:txBody>
    </xdr:sp>
    <xdr:clientData/>
  </xdr:twoCellAnchor>
  <xdr:twoCellAnchor>
    <xdr:from>
      <xdr:col>1</xdr:col>
      <xdr:colOff>0</xdr:colOff>
      <xdr:row>9</xdr:row>
      <xdr:rowOff>268940</xdr:rowOff>
    </xdr:from>
    <xdr:to>
      <xdr:col>1</xdr:col>
      <xdr:colOff>1154206</xdr:colOff>
      <xdr:row>10</xdr:row>
      <xdr:rowOff>257734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378324" y="2689411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Custos</a:t>
          </a:r>
        </a:p>
      </xdr:txBody>
    </xdr:sp>
    <xdr:clientData/>
  </xdr:twoCellAnchor>
  <xdr:oneCellAnchor>
    <xdr:from>
      <xdr:col>2</xdr:col>
      <xdr:colOff>201707</xdr:colOff>
      <xdr:row>0</xdr:row>
      <xdr:rowOff>0</xdr:rowOff>
    </xdr:from>
    <xdr:ext cx="829235" cy="937629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2958354" y="0"/>
          <a:ext cx="829235" cy="937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  <a:cs typeface="Arial" panose="020B0604020202020204" pitchFamily="34" charset="0"/>
            </a:rPr>
            <a:t>1</a:t>
          </a:r>
        </a:p>
      </xdr:txBody>
    </xdr:sp>
    <xdr:clientData/>
  </xdr:oneCellAnchor>
  <xdr:oneCellAnchor>
    <xdr:from>
      <xdr:col>3</xdr:col>
      <xdr:colOff>96373</xdr:colOff>
      <xdr:row>0</xdr:row>
      <xdr:rowOff>253254</xdr:rowOff>
    </xdr:from>
    <xdr:ext cx="4498040" cy="28020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3458138" y="253254"/>
          <a:ext cx="44980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>
              <a:latin typeface="+mn-lt"/>
            </a:rPr>
            <a:t>Cadastrar produtos</a:t>
          </a:r>
          <a:r>
            <a:rPr lang="pt-BR" sz="1200" baseline="0">
              <a:latin typeface="+mn-lt"/>
            </a:rPr>
            <a:t> de produção própria e tercerizados.</a:t>
          </a:r>
          <a:endParaRPr lang="pt-BR" sz="1200">
            <a:latin typeface="+mn-lt"/>
          </a:endParaRPr>
        </a:p>
      </xdr:txBody>
    </xdr:sp>
    <xdr:clientData/>
  </xdr:oneCellAnchor>
  <xdr:oneCellAnchor>
    <xdr:from>
      <xdr:col>6</xdr:col>
      <xdr:colOff>555813</xdr:colOff>
      <xdr:row>0</xdr:row>
      <xdr:rowOff>0</xdr:rowOff>
    </xdr:from>
    <xdr:ext cx="829235" cy="966996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7223313" y="0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2</a:t>
          </a:r>
        </a:p>
      </xdr:txBody>
    </xdr:sp>
    <xdr:clientData/>
  </xdr:oneCellAnchor>
  <xdr:oneCellAnchor>
    <xdr:from>
      <xdr:col>6</xdr:col>
      <xdr:colOff>1055597</xdr:colOff>
      <xdr:row>0</xdr:row>
      <xdr:rowOff>253254</xdr:rowOff>
    </xdr:from>
    <xdr:ext cx="4498040" cy="280205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723097" y="253254"/>
          <a:ext cx="44980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>
              <a:latin typeface="+mn-lt"/>
            </a:rPr>
            <a:t>O</a:t>
          </a:r>
          <a:r>
            <a:rPr lang="pt-BR" sz="1200" baseline="0">
              <a:latin typeface="+mn-lt"/>
            </a:rPr>
            <a:t> campo "COMPRA" dis respeito somente aos produtos tercerizados.</a:t>
          </a:r>
          <a:endParaRPr lang="pt-BR" sz="1200">
            <a:latin typeface="+mn-lt"/>
          </a:endParaRPr>
        </a:p>
      </xdr:txBody>
    </xdr:sp>
    <xdr:clientData/>
  </xdr:oneCellAnchor>
  <xdr:oneCellAnchor>
    <xdr:from>
      <xdr:col>2</xdr:col>
      <xdr:colOff>215154</xdr:colOff>
      <xdr:row>3</xdr:row>
      <xdr:rowOff>129987</xdr:rowOff>
    </xdr:from>
    <xdr:ext cx="829235" cy="966996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2971801" y="936811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3</a:t>
          </a:r>
        </a:p>
      </xdr:txBody>
    </xdr:sp>
    <xdr:clientData/>
  </xdr:oneCellAnchor>
  <xdr:oneCellAnchor>
    <xdr:from>
      <xdr:col>3</xdr:col>
      <xdr:colOff>109820</xdr:colOff>
      <xdr:row>4</xdr:row>
      <xdr:rowOff>125506</xdr:rowOff>
    </xdr:from>
    <xdr:ext cx="3913091" cy="468077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471585" y="1201271"/>
          <a:ext cx="3913091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>
              <a:latin typeface="+mn-lt"/>
            </a:rPr>
            <a:t>O</a:t>
          </a:r>
          <a:r>
            <a:rPr lang="pt-BR" sz="1200" baseline="0">
              <a:latin typeface="+mn-lt"/>
            </a:rPr>
            <a:t> campo "PRODUÇÃO" dis respeito somente aos produtos de produção própria.</a:t>
          </a:r>
          <a:endParaRPr lang="pt-BR" sz="1200">
            <a:latin typeface="+mn-lt"/>
          </a:endParaRPr>
        </a:p>
      </xdr:txBody>
    </xdr:sp>
    <xdr:clientData/>
  </xdr:oneCellAnchor>
  <xdr:oneCellAnchor>
    <xdr:from>
      <xdr:col>6</xdr:col>
      <xdr:colOff>535642</xdr:colOff>
      <xdr:row>3</xdr:row>
      <xdr:rowOff>136710</xdr:rowOff>
    </xdr:from>
    <xdr:ext cx="829235" cy="96699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7203142" y="943534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4</a:t>
          </a:r>
        </a:p>
      </xdr:txBody>
    </xdr:sp>
    <xdr:clientData/>
  </xdr:oneCellAnchor>
  <xdr:oneCellAnchor>
    <xdr:from>
      <xdr:col>6</xdr:col>
      <xdr:colOff>1035426</xdr:colOff>
      <xdr:row>4</xdr:row>
      <xdr:rowOff>132229</xdr:rowOff>
    </xdr:from>
    <xdr:ext cx="4498040" cy="468077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7702926" y="1207994"/>
          <a:ext cx="44980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>
              <a:latin typeface="+mn-lt"/>
            </a:rPr>
            <a:t>Todas</a:t>
          </a:r>
          <a:r>
            <a:rPr lang="pt-BR" sz="1200" baseline="0">
              <a:latin typeface="+mn-lt"/>
            </a:rPr>
            <a:t> as informações do campo "VENDA" será utilizado na formação do preço do produto.</a:t>
          </a:r>
          <a:endParaRPr lang="pt-BR" sz="1200">
            <a:latin typeface="+mn-lt"/>
          </a:endParaRPr>
        </a:p>
      </xdr:txBody>
    </xdr:sp>
    <xdr:clientData/>
  </xdr:oneCellAnchor>
  <xdr:twoCellAnchor>
    <xdr:from>
      <xdr:col>0</xdr:col>
      <xdr:colOff>1373842</xdr:colOff>
      <xdr:row>10</xdr:row>
      <xdr:rowOff>264457</xdr:rowOff>
    </xdr:from>
    <xdr:to>
      <xdr:col>1</xdr:col>
      <xdr:colOff>1149724</xdr:colOff>
      <xdr:row>11</xdr:row>
      <xdr:rowOff>253251</xdr:rowOff>
    </xdr:to>
    <xdr:sp macro="" textlink="">
      <xdr:nvSpPr>
        <xdr:cNvPr id="19" name="Retângul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373842" y="2953869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Veículos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139513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0" y="29337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1154206</xdr:colOff>
      <xdr:row>8</xdr:row>
      <xdr:rowOff>257735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381125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Produtos</a:t>
          </a:r>
        </a:p>
      </xdr:txBody>
    </xdr:sp>
    <xdr:clientData/>
  </xdr:twoCellAnchor>
  <xdr:twoCellAnchor>
    <xdr:from>
      <xdr:col>1</xdr:col>
      <xdr:colOff>0</xdr:colOff>
      <xdr:row>9</xdr:row>
      <xdr:rowOff>-1</xdr:rowOff>
    </xdr:from>
    <xdr:to>
      <xdr:col>1</xdr:col>
      <xdr:colOff>1154206</xdr:colOff>
      <xdr:row>9</xdr:row>
      <xdr:rowOff>257734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381125" y="2400299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Receitas</a:t>
          </a:r>
        </a:p>
      </xdr:txBody>
    </xdr:sp>
    <xdr:clientData/>
  </xdr:twoCellAnchor>
  <xdr:twoCellAnchor>
    <xdr:from>
      <xdr:col>1</xdr:col>
      <xdr:colOff>0</xdr:colOff>
      <xdr:row>9</xdr:row>
      <xdr:rowOff>268940</xdr:rowOff>
    </xdr:from>
    <xdr:to>
      <xdr:col>1</xdr:col>
      <xdr:colOff>1154206</xdr:colOff>
      <xdr:row>10</xdr:row>
      <xdr:rowOff>257734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381125" y="2669240"/>
          <a:ext cx="1154206" cy="255494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Custos</a:t>
          </a:r>
        </a:p>
      </xdr:txBody>
    </xdr:sp>
    <xdr:clientData/>
  </xdr:twoCellAnchor>
  <xdr:oneCellAnchor>
    <xdr:from>
      <xdr:col>2</xdr:col>
      <xdr:colOff>0</xdr:colOff>
      <xdr:row>0</xdr:row>
      <xdr:rowOff>0</xdr:rowOff>
    </xdr:from>
    <xdr:ext cx="829235" cy="966996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2756647" y="0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1</a:t>
          </a:r>
        </a:p>
      </xdr:txBody>
    </xdr:sp>
    <xdr:clientData/>
  </xdr:oneCellAnchor>
  <xdr:oneCellAnchor>
    <xdr:from>
      <xdr:col>2</xdr:col>
      <xdr:colOff>499785</xdr:colOff>
      <xdr:row>0</xdr:row>
      <xdr:rowOff>253254</xdr:rowOff>
    </xdr:from>
    <xdr:ext cx="3736040" cy="545919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256432" y="253254"/>
          <a:ext cx="3736040" cy="545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Cadastrar a</a:t>
          </a:r>
          <a:r>
            <a:rPr lang="pt-BR" sz="1400" baseline="0">
              <a:latin typeface="+mn-lt"/>
            </a:rPr>
            <a:t> receita dos produtos que serão  produzidos .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6</xdr:col>
      <xdr:colOff>264459</xdr:colOff>
      <xdr:row>0</xdr:row>
      <xdr:rowOff>0</xdr:rowOff>
    </xdr:from>
    <xdr:ext cx="829235" cy="966996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7021606" y="0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2</a:t>
          </a:r>
        </a:p>
      </xdr:txBody>
    </xdr:sp>
    <xdr:clientData/>
  </xdr:oneCellAnchor>
  <xdr:oneCellAnchor>
    <xdr:from>
      <xdr:col>6</xdr:col>
      <xdr:colOff>764243</xdr:colOff>
      <xdr:row>0</xdr:row>
      <xdr:rowOff>253254</xdr:rowOff>
    </xdr:from>
    <xdr:ext cx="4498040" cy="545919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7521390" y="253254"/>
          <a:ext cx="4498040" cy="545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Os valores do</a:t>
          </a:r>
          <a:r>
            <a:rPr lang="pt-BR" sz="1400" baseline="0">
              <a:latin typeface="+mn-lt"/>
            </a:rPr>
            <a:t> campo "RECEITA"  são proporcionais a produção de 1(uma) receita por vez.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2</xdr:col>
      <xdr:colOff>13447</xdr:colOff>
      <xdr:row>3</xdr:row>
      <xdr:rowOff>129987</xdr:rowOff>
    </xdr:from>
    <xdr:ext cx="829235" cy="966996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2770094" y="903193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3</a:t>
          </a:r>
        </a:p>
      </xdr:txBody>
    </xdr:sp>
    <xdr:clientData/>
  </xdr:oneCellAnchor>
  <xdr:oneCellAnchor>
    <xdr:from>
      <xdr:col>2</xdr:col>
      <xdr:colOff>513231</xdr:colOff>
      <xdr:row>4</xdr:row>
      <xdr:rowOff>125506</xdr:rowOff>
    </xdr:from>
    <xdr:ext cx="3913091" cy="545919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3269878" y="1156447"/>
          <a:ext cx="3913091" cy="545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O</a:t>
          </a:r>
          <a:r>
            <a:rPr lang="pt-BR" sz="1400" baseline="0">
              <a:latin typeface="+mn-lt"/>
            </a:rPr>
            <a:t> campo "COMPRA" dis respeito somente aos aos valores relativos da NF de entrada.</a:t>
          </a:r>
          <a:endParaRPr lang="pt-BR" sz="1400">
            <a:latin typeface="+mn-lt"/>
          </a:endParaRPr>
        </a:p>
      </xdr:txBody>
    </xdr:sp>
    <xdr:clientData/>
  </xdr:oneCellAnchor>
  <xdr:twoCellAnchor>
    <xdr:from>
      <xdr:col>1</xdr:col>
      <xdr:colOff>1</xdr:colOff>
      <xdr:row>10</xdr:row>
      <xdr:rowOff>268940</xdr:rowOff>
    </xdr:from>
    <xdr:to>
      <xdr:col>1</xdr:col>
      <xdr:colOff>1154207</xdr:colOff>
      <xdr:row>11</xdr:row>
      <xdr:rowOff>257734</xdr:rowOff>
    </xdr:to>
    <xdr:sp macro="" textlink="">
      <xdr:nvSpPr>
        <xdr:cNvPr id="17" name="Retângul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378325" y="2958352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Veículos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139513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0" y="29337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1154206</xdr:colOff>
      <xdr:row>8</xdr:row>
      <xdr:rowOff>257735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381125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Produtos</a:t>
          </a:r>
        </a:p>
      </xdr:txBody>
    </xdr:sp>
    <xdr:clientData/>
  </xdr:twoCellAnchor>
  <xdr:twoCellAnchor>
    <xdr:from>
      <xdr:col>1</xdr:col>
      <xdr:colOff>0</xdr:colOff>
      <xdr:row>9</xdr:row>
      <xdr:rowOff>-1</xdr:rowOff>
    </xdr:from>
    <xdr:to>
      <xdr:col>1</xdr:col>
      <xdr:colOff>1154206</xdr:colOff>
      <xdr:row>9</xdr:row>
      <xdr:rowOff>257734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381125" y="2400299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Receitas</a:t>
          </a:r>
        </a:p>
      </xdr:txBody>
    </xdr:sp>
    <xdr:clientData/>
  </xdr:twoCellAnchor>
  <xdr:twoCellAnchor>
    <xdr:from>
      <xdr:col>1</xdr:col>
      <xdr:colOff>0</xdr:colOff>
      <xdr:row>9</xdr:row>
      <xdr:rowOff>268940</xdr:rowOff>
    </xdr:from>
    <xdr:to>
      <xdr:col>1</xdr:col>
      <xdr:colOff>1154206</xdr:colOff>
      <xdr:row>10</xdr:row>
      <xdr:rowOff>257734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381125" y="2669240"/>
          <a:ext cx="1154206" cy="255494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Custos</a:t>
          </a:r>
          <a:endParaRPr lang="pt-BR" sz="1100"/>
        </a:p>
      </xdr:txBody>
    </xdr:sp>
    <xdr:clientData/>
  </xdr:twoCellAnchor>
  <xdr:oneCellAnchor>
    <xdr:from>
      <xdr:col>2</xdr:col>
      <xdr:colOff>0</xdr:colOff>
      <xdr:row>0</xdr:row>
      <xdr:rowOff>0</xdr:rowOff>
    </xdr:from>
    <xdr:ext cx="829235" cy="96699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756647" y="0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1</a:t>
          </a:r>
        </a:p>
      </xdr:txBody>
    </xdr:sp>
    <xdr:clientData/>
  </xdr:oneCellAnchor>
  <xdr:oneCellAnchor>
    <xdr:from>
      <xdr:col>2</xdr:col>
      <xdr:colOff>499784</xdr:colOff>
      <xdr:row>0</xdr:row>
      <xdr:rowOff>253254</xdr:rowOff>
    </xdr:from>
    <xdr:ext cx="3915334" cy="545919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3256431" y="253254"/>
          <a:ext cx="3915334" cy="545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Cadastrar </a:t>
          </a:r>
          <a:r>
            <a:rPr lang="pt-BR" sz="1400" baseline="0">
              <a:latin typeface="+mn-lt"/>
            </a:rPr>
            <a:t>suas contas fixas e variaveis relacionadas ao seu negócio.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6</xdr:col>
      <xdr:colOff>1071282</xdr:colOff>
      <xdr:row>0</xdr:row>
      <xdr:rowOff>0</xdr:rowOff>
    </xdr:from>
    <xdr:ext cx="829235" cy="966996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7021606" y="0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2</a:t>
          </a:r>
        </a:p>
      </xdr:txBody>
    </xdr:sp>
    <xdr:clientData/>
  </xdr:oneCellAnchor>
  <xdr:oneCellAnchor>
    <xdr:from>
      <xdr:col>7</xdr:col>
      <xdr:colOff>192743</xdr:colOff>
      <xdr:row>0</xdr:row>
      <xdr:rowOff>253254</xdr:rowOff>
    </xdr:from>
    <xdr:ext cx="4498040" cy="749821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7521390" y="253254"/>
          <a:ext cx="4498040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o</a:t>
          </a:r>
          <a:r>
            <a:rPr lang="pt-BR" sz="1400" baseline="0">
              <a:latin typeface="+mn-lt"/>
            </a:rPr>
            <a:t> "Tipo" "Operacional" diz respeito aos custos diretos relativos a produção de produtos, portanto os mesmos só serão ratiados com produtos de produção proópria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1</xdr:col>
      <xdr:colOff>1369358</xdr:colOff>
      <xdr:row>4</xdr:row>
      <xdr:rowOff>73958</xdr:rowOff>
    </xdr:from>
    <xdr:ext cx="829235" cy="966996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2747682" y="1104899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3</a:t>
          </a:r>
        </a:p>
      </xdr:txBody>
    </xdr:sp>
    <xdr:clientData/>
  </xdr:oneCellAnchor>
  <xdr:oneCellAnchor>
    <xdr:from>
      <xdr:col>6</xdr:col>
      <xdr:colOff>1028699</xdr:colOff>
      <xdr:row>4</xdr:row>
      <xdr:rowOff>80681</xdr:rowOff>
    </xdr:from>
    <xdr:ext cx="829235" cy="96699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6979023" y="1111622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4</a:t>
          </a:r>
        </a:p>
      </xdr:txBody>
    </xdr:sp>
    <xdr:clientData/>
  </xdr:oneCellAnchor>
  <xdr:oneCellAnchor>
    <xdr:from>
      <xdr:col>7</xdr:col>
      <xdr:colOff>161366</xdr:colOff>
      <xdr:row>5</xdr:row>
      <xdr:rowOff>132229</xdr:rowOff>
    </xdr:from>
    <xdr:ext cx="4498040" cy="545919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7490013" y="1420905"/>
          <a:ext cx="4498040" cy="545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Os</a:t>
          </a:r>
          <a:r>
            <a:rPr lang="pt-BR" sz="1400" baseline="0">
              <a:latin typeface="+mn-lt"/>
            </a:rPr>
            <a:t> valores do campo "Valor Médio" serão calculados automaticamente. 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2</xdr:col>
      <xdr:colOff>535643</xdr:colOff>
      <xdr:row>5</xdr:row>
      <xdr:rowOff>91890</xdr:rowOff>
    </xdr:from>
    <xdr:ext cx="3778622" cy="999504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3292290" y="1380566"/>
          <a:ext cx="3778622" cy="9995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o</a:t>
          </a:r>
          <a:r>
            <a:rPr lang="pt-BR" sz="1400" baseline="0">
              <a:latin typeface="+mn-lt"/>
            </a:rPr>
            <a:t> "Tipo" "Direto" diz respeito aos custos diretos relativos ao funcionamento externo do seu negócio, portanto os mesmos serão ratiados com todos os produtos.</a:t>
          </a:r>
          <a:endParaRPr lang="pt-BR" sz="1400">
            <a:latin typeface="+mn-lt"/>
          </a:endParaRPr>
        </a:p>
      </xdr:txBody>
    </xdr:sp>
    <xdr:clientData/>
  </xdr:oneCellAnchor>
  <xdr:twoCellAnchor>
    <xdr:from>
      <xdr:col>0</xdr:col>
      <xdr:colOff>1367118</xdr:colOff>
      <xdr:row>10</xdr:row>
      <xdr:rowOff>268940</xdr:rowOff>
    </xdr:from>
    <xdr:to>
      <xdr:col>1</xdr:col>
      <xdr:colOff>1143000</xdr:colOff>
      <xdr:row>11</xdr:row>
      <xdr:rowOff>257734</xdr:rowOff>
    </xdr:to>
    <xdr:sp macro="" textlink="">
      <xdr:nvSpPr>
        <xdr:cNvPr id="20" name="Retângulo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367118" y="2958352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Veículos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139513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0" y="29337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1154206</xdr:colOff>
      <xdr:row>8</xdr:row>
      <xdr:rowOff>257735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381125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Produtos</a:t>
          </a:r>
        </a:p>
      </xdr:txBody>
    </xdr:sp>
    <xdr:clientData/>
  </xdr:twoCellAnchor>
  <xdr:twoCellAnchor>
    <xdr:from>
      <xdr:col>1</xdr:col>
      <xdr:colOff>0</xdr:colOff>
      <xdr:row>9</xdr:row>
      <xdr:rowOff>-1</xdr:rowOff>
    </xdr:from>
    <xdr:to>
      <xdr:col>1</xdr:col>
      <xdr:colOff>1154206</xdr:colOff>
      <xdr:row>9</xdr:row>
      <xdr:rowOff>257734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381125" y="2400299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Receitas</a:t>
          </a:r>
        </a:p>
      </xdr:txBody>
    </xdr:sp>
    <xdr:clientData/>
  </xdr:twoCellAnchor>
  <xdr:twoCellAnchor>
    <xdr:from>
      <xdr:col>1</xdr:col>
      <xdr:colOff>0</xdr:colOff>
      <xdr:row>9</xdr:row>
      <xdr:rowOff>268940</xdr:rowOff>
    </xdr:from>
    <xdr:to>
      <xdr:col>1</xdr:col>
      <xdr:colOff>1154206</xdr:colOff>
      <xdr:row>10</xdr:row>
      <xdr:rowOff>257734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381125" y="2669240"/>
          <a:ext cx="1154206" cy="255494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Custos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oneCellAnchor>
    <xdr:from>
      <xdr:col>2</xdr:col>
      <xdr:colOff>0</xdr:colOff>
      <xdr:row>0</xdr:row>
      <xdr:rowOff>0</xdr:rowOff>
    </xdr:from>
    <xdr:ext cx="829235" cy="966996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762250" y="0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1</a:t>
          </a:r>
        </a:p>
      </xdr:txBody>
    </xdr:sp>
    <xdr:clientData/>
  </xdr:oneCellAnchor>
  <xdr:oneCellAnchor>
    <xdr:from>
      <xdr:col>2</xdr:col>
      <xdr:colOff>499784</xdr:colOff>
      <xdr:row>0</xdr:row>
      <xdr:rowOff>253254</xdr:rowOff>
    </xdr:from>
    <xdr:ext cx="3915334" cy="31149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256431" y="253254"/>
          <a:ext cx="391533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Cadastrar </a:t>
          </a:r>
          <a:r>
            <a:rPr lang="pt-BR" sz="1400" baseline="0">
              <a:latin typeface="+mn-lt"/>
            </a:rPr>
            <a:t>veículos para cálculo de frete.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6</xdr:col>
      <xdr:colOff>1071282</xdr:colOff>
      <xdr:row>0</xdr:row>
      <xdr:rowOff>0</xdr:rowOff>
    </xdr:from>
    <xdr:ext cx="829235" cy="966996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7043457" y="0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2</a:t>
          </a:r>
        </a:p>
      </xdr:txBody>
    </xdr:sp>
    <xdr:clientData/>
  </xdr:oneCellAnchor>
  <xdr:oneCellAnchor>
    <xdr:from>
      <xdr:col>7</xdr:col>
      <xdr:colOff>192743</xdr:colOff>
      <xdr:row>0</xdr:row>
      <xdr:rowOff>253254</xdr:rowOff>
    </xdr:from>
    <xdr:ext cx="4498040" cy="74982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7521390" y="253254"/>
          <a:ext cx="4498040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o Seguro deve ser preenchido com</a:t>
          </a:r>
          <a:r>
            <a:rPr lang="pt-BR" sz="1400" baseline="0">
              <a:latin typeface="+mn-lt"/>
            </a:rPr>
            <a:t> o valor da parcela do seguro por mês e o IPVA deve ser preenchido o valor TOTAL.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1</xdr:col>
      <xdr:colOff>1369358</xdr:colOff>
      <xdr:row>4</xdr:row>
      <xdr:rowOff>73958</xdr:rowOff>
    </xdr:from>
    <xdr:ext cx="829235" cy="9669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2750483" y="1140758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3</a:t>
          </a:r>
        </a:p>
      </xdr:txBody>
    </xdr:sp>
    <xdr:clientData/>
  </xdr:oneCellAnchor>
  <xdr:oneCellAnchor>
    <xdr:from>
      <xdr:col>6</xdr:col>
      <xdr:colOff>1028699</xdr:colOff>
      <xdr:row>4</xdr:row>
      <xdr:rowOff>80681</xdr:rowOff>
    </xdr:from>
    <xdr:ext cx="829235" cy="966996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7000874" y="1147481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4</a:t>
          </a:r>
        </a:p>
      </xdr:txBody>
    </xdr:sp>
    <xdr:clientData/>
  </xdr:oneCellAnchor>
  <xdr:oneCellAnchor>
    <xdr:from>
      <xdr:col>7</xdr:col>
      <xdr:colOff>161366</xdr:colOff>
      <xdr:row>5</xdr:row>
      <xdr:rowOff>132229</xdr:rowOff>
    </xdr:from>
    <xdr:ext cx="4498040" cy="530658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7490013" y="1476935"/>
          <a:ext cx="449804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A "manutenção</a:t>
          </a:r>
          <a:r>
            <a:rPr lang="pt-BR" sz="1400" baseline="0">
              <a:latin typeface="+mn-lt"/>
            </a:rPr>
            <a:t> do ano anterior" será o valor total do ano anterior que o veículo passou por manutenção.</a:t>
          </a:r>
        </a:p>
      </xdr:txBody>
    </xdr:sp>
    <xdr:clientData/>
  </xdr:oneCellAnchor>
  <xdr:oneCellAnchor>
    <xdr:from>
      <xdr:col>2</xdr:col>
      <xdr:colOff>535643</xdr:colOff>
      <xdr:row>5</xdr:row>
      <xdr:rowOff>91890</xdr:rowOff>
    </xdr:from>
    <xdr:ext cx="3778622" cy="530658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3292290" y="1436596"/>
          <a:ext cx="3778622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A média de consumo deve ser preenchido se baseando</a:t>
          </a:r>
          <a:r>
            <a:rPr lang="pt-BR" sz="1400" baseline="0">
              <a:latin typeface="+mn-lt"/>
            </a:rPr>
            <a:t> na média de consumo dos veículos.</a:t>
          </a:r>
          <a:endParaRPr lang="pt-BR" sz="1400">
            <a:latin typeface="+mn-lt"/>
          </a:endParaRPr>
        </a:p>
      </xdr:txBody>
    </xdr:sp>
    <xdr:clientData/>
  </xdr:oneCellAnchor>
  <xdr:twoCellAnchor>
    <xdr:from>
      <xdr:col>1</xdr:col>
      <xdr:colOff>0</xdr:colOff>
      <xdr:row>10</xdr:row>
      <xdr:rowOff>268940</xdr:rowOff>
    </xdr:from>
    <xdr:to>
      <xdr:col>1</xdr:col>
      <xdr:colOff>1154206</xdr:colOff>
      <xdr:row>11</xdr:row>
      <xdr:rowOff>257734</xdr:rowOff>
    </xdr:to>
    <xdr:sp macro="" textlink="">
      <xdr:nvSpPr>
        <xdr:cNvPr id="18" name="Retângulo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378324" y="2958352"/>
          <a:ext cx="1154206" cy="25773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Veículos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139513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29337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1154206</xdr:colOff>
      <xdr:row>8</xdr:row>
      <xdr:rowOff>257735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378324" y="2151529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Produção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1154206</xdr:colOff>
      <xdr:row>9</xdr:row>
      <xdr:rowOff>257735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378324" y="2420471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Tercerizados</a:t>
          </a:r>
        </a:p>
      </xdr:txBody>
    </xdr:sp>
    <xdr:clientData/>
  </xdr:twoCellAnchor>
  <xdr:twoCellAnchor>
    <xdr:from>
      <xdr:col>8</xdr:col>
      <xdr:colOff>304800</xdr:colOff>
      <xdr:row>48</xdr:row>
      <xdr:rowOff>71437</xdr:rowOff>
    </xdr:from>
    <xdr:to>
      <xdr:col>13</xdr:col>
      <xdr:colOff>0</xdr:colOff>
      <xdr:row>60</xdr:row>
      <xdr:rowOff>300037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407894</xdr:colOff>
      <xdr:row>64</xdr:row>
      <xdr:rowOff>78441</xdr:rowOff>
    </xdr:from>
    <xdr:to>
      <xdr:col>9</xdr:col>
      <xdr:colOff>800100</xdr:colOff>
      <xdr:row>66</xdr:row>
      <xdr:rowOff>11205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11221570" y="14993470"/>
          <a:ext cx="392206" cy="347382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403411</xdr:colOff>
      <xdr:row>66</xdr:row>
      <xdr:rowOff>118782</xdr:rowOff>
    </xdr:from>
    <xdr:to>
      <xdr:col>9</xdr:col>
      <xdr:colOff>795617</xdr:colOff>
      <xdr:row>68</xdr:row>
      <xdr:rowOff>17929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11217087" y="15448429"/>
          <a:ext cx="392206" cy="347382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407894</xdr:colOff>
      <xdr:row>68</xdr:row>
      <xdr:rowOff>100854</xdr:rowOff>
    </xdr:from>
    <xdr:to>
      <xdr:col>9</xdr:col>
      <xdr:colOff>800100</xdr:colOff>
      <xdr:row>70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1221570" y="15878736"/>
          <a:ext cx="392206" cy="347382"/>
        </a:xfrm>
        <a:prstGeom prst="rect">
          <a:avLst/>
        </a:prstGeom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407894</xdr:colOff>
      <xdr:row>70</xdr:row>
      <xdr:rowOff>100853</xdr:rowOff>
    </xdr:from>
    <xdr:to>
      <xdr:col>9</xdr:col>
      <xdr:colOff>800100</xdr:colOff>
      <xdr:row>72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221570" y="16326971"/>
          <a:ext cx="392206" cy="347382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407894</xdr:colOff>
      <xdr:row>72</xdr:row>
      <xdr:rowOff>89646</xdr:rowOff>
    </xdr:from>
    <xdr:to>
      <xdr:col>9</xdr:col>
      <xdr:colOff>800100</xdr:colOff>
      <xdr:row>73</xdr:row>
      <xdr:rowOff>212910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1221570" y="16763999"/>
          <a:ext cx="392206" cy="347382"/>
        </a:xfrm>
        <a:prstGeom prst="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907676</xdr:colOff>
      <xdr:row>61</xdr:row>
      <xdr:rowOff>78442</xdr:rowOff>
    </xdr:from>
    <xdr:to>
      <xdr:col>10</xdr:col>
      <xdr:colOff>67235</xdr:colOff>
      <xdr:row>61</xdr:row>
      <xdr:rowOff>425824</xdr:rowOff>
    </xdr:to>
    <xdr:sp macro="[0]!Retângulo22_Clique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0645588" y="14085795"/>
          <a:ext cx="1064559" cy="347382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Conferir</a:t>
          </a:r>
        </a:p>
      </xdr:txBody>
    </xdr:sp>
    <xdr:clientData/>
  </xdr:twoCellAnchor>
  <xdr:twoCellAnchor>
    <xdr:from>
      <xdr:col>10</xdr:col>
      <xdr:colOff>1636059</xdr:colOff>
      <xdr:row>61</xdr:row>
      <xdr:rowOff>78441</xdr:rowOff>
    </xdr:from>
    <xdr:to>
      <xdr:col>12</xdr:col>
      <xdr:colOff>179294</xdr:colOff>
      <xdr:row>61</xdr:row>
      <xdr:rowOff>414617</xdr:rowOff>
    </xdr:to>
    <xdr:sp macro="[0]!Retângulo9_Clique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3278971" y="14085794"/>
          <a:ext cx="1042147" cy="336176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GERAR</a:t>
          </a:r>
        </a:p>
      </xdr:txBody>
    </xdr:sp>
    <xdr:clientData/>
  </xdr:twoCellAnchor>
  <xdr:oneCellAnchor>
    <xdr:from>
      <xdr:col>2</xdr:col>
      <xdr:colOff>0</xdr:colOff>
      <xdr:row>0</xdr:row>
      <xdr:rowOff>0</xdr:rowOff>
    </xdr:from>
    <xdr:ext cx="829235" cy="966996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2756647" y="0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1</a:t>
          </a:r>
        </a:p>
      </xdr:txBody>
    </xdr:sp>
    <xdr:clientData/>
  </xdr:oneCellAnchor>
  <xdr:oneCellAnchor>
    <xdr:from>
      <xdr:col>2</xdr:col>
      <xdr:colOff>499785</xdr:colOff>
      <xdr:row>0</xdr:row>
      <xdr:rowOff>253254</xdr:rowOff>
    </xdr:from>
    <xdr:ext cx="3736040" cy="545919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3256432" y="253254"/>
          <a:ext cx="3736040" cy="545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Preencher</a:t>
          </a:r>
          <a:r>
            <a:rPr lang="pt-BR" sz="1400" baseline="0">
              <a:latin typeface="+mn-lt"/>
            </a:rPr>
            <a:t> os somente os campos onde a célula esta em amarelo.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5</xdr:col>
      <xdr:colOff>1004047</xdr:colOff>
      <xdr:row>0</xdr:row>
      <xdr:rowOff>0</xdr:rowOff>
    </xdr:from>
    <xdr:ext cx="829235" cy="966996"/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7021606" y="0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2</a:t>
          </a:r>
        </a:p>
      </xdr:txBody>
    </xdr:sp>
    <xdr:clientData/>
  </xdr:oneCellAnchor>
  <xdr:oneCellAnchor>
    <xdr:from>
      <xdr:col>6</xdr:col>
      <xdr:colOff>58272</xdr:colOff>
      <xdr:row>0</xdr:row>
      <xdr:rowOff>253254</xdr:rowOff>
    </xdr:from>
    <xdr:ext cx="4498040" cy="772712"/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7521390" y="253254"/>
          <a:ext cx="4498040" cy="772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Após</a:t>
          </a:r>
          <a:r>
            <a:rPr lang="pt-BR" sz="1400" baseline="0">
              <a:latin typeface="+mn-lt"/>
            </a:rPr>
            <a:t> o término da formação, clicar em "Conferir" e depois, caso esteja "tudo ok" clicar em "GERAR", para inserir os valores nas tabelas e relatórios.</a:t>
          </a:r>
          <a:endParaRPr lang="pt-BR" sz="1400">
            <a:latin typeface="+mn-lt"/>
          </a:endParaRPr>
        </a:p>
      </xdr:txBody>
    </xdr:sp>
    <xdr:clientData/>
  </xdr:oneCellAnchor>
  <xdr:twoCellAnchor>
    <xdr:from>
      <xdr:col>12</xdr:col>
      <xdr:colOff>235323</xdr:colOff>
      <xdr:row>61</xdr:row>
      <xdr:rowOff>78441</xdr:rowOff>
    </xdr:from>
    <xdr:to>
      <xdr:col>14</xdr:col>
      <xdr:colOff>67235</xdr:colOff>
      <xdr:row>61</xdr:row>
      <xdr:rowOff>414617</xdr:rowOff>
    </xdr:to>
    <xdr:sp macro="[0]!Retângulo12_Clique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4377147" y="14085794"/>
          <a:ext cx="1042147" cy="33617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Distrib.</a:t>
          </a:r>
        </a:p>
      </xdr:txBody>
    </xdr:sp>
    <xdr:clientData/>
  </xdr:twoCellAnchor>
  <xdr:twoCellAnchor>
    <xdr:from>
      <xdr:col>1</xdr:col>
      <xdr:colOff>0</xdr:colOff>
      <xdr:row>10</xdr:row>
      <xdr:rowOff>268940</xdr:rowOff>
    </xdr:from>
    <xdr:to>
      <xdr:col>1</xdr:col>
      <xdr:colOff>1154206</xdr:colOff>
      <xdr:row>11</xdr:row>
      <xdr:rowOff>257734</xdr:rowOff>
    </xdr:to>
    <xdr:sp macro="" textlink="">
      <xdr:nvSpPr>
        <xdr:cNvPr id="29" name="Retângul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378324" y="2958352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Frete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139513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0" y="29337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1154206</xdr:colOff>
      <xdr:row>8</xdr:row>
      <xdr:rowOff>257735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381125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Produção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1154206</xdr:colOff>
      <xdr:row>9</xdr:row>
      <xdr:rowOff>257735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381125" y="2400300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Tercerizados</a:t>
          </a:r>
        </a:p>
      </xdr:txBody>
    </xdr:sp>
    <xdr:clientData/>
  </xdr:twoCellAnchor>
  <xdr:twoCellAnchor>
    <xdr:from>
      <xdr:col>7</xdr:col>
      <xdr:colOff>722781</xdr:colOff>
      <xdr:row>21</xdr:row>
      <xdr:rowOff>90766</xdr:rowOff>
    </xdr:from>
    <xdr:to>
      <xdr:col>11</xdr:col>
      <xdr:colOff>442634</xdr:colOff>
      <xdr:row>35</xdr:row>
      <xdr:rowOff>144554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560294</xdr:colOff>
      <xdr:row>39</xdr:row>
      <xdr:rowOff>56029</xdr:rowOff>
    </xdr:from>
    <xdr:to>
      <xdr:col>8</xdr:col>
      <xdr:colOff>952500</xdr:colOff>
      <xdr:row>40</xdr:row>
      <xdr:rowOff>212911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9648265" y="8673353"/>
          <a:ext cx="392206" cy="347382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555811</xdr:colOff>
      <xdr:row>41</xdr:row>
      <xdr:rowOff>62753</xdr:rowOff>
    </xdr:from>
    <xdr:to>
      <xdr:col>8</xdr:col>
      <xdr:colOff>948017</xdr:colOff>
      <xdr:row>42</xdr:row>
      <xdr:rowOff>219635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9643782" y="9094694"/>
          <a:ext cx="392206" cy="347382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560294</xdr:colOff>
      <xdr:row>43</xdr:row>
      <xdr:rowOff>78442</xdr:rowOff>
    </xdr:from>
    <xdr:to>
      <xdr:col>8</xdr:col>
      <xdr:colOff>952500</xdr:colOff>
      <xdr:row>45</xdr:row>
      <xdr:rowOff>11207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48265" y="9525001"/>
          <a:ext cx="392206" cy="347382"/>
        </a:xfrm>
        <a:prstGeom prst="rect">
          <a:avLst/>
        </a:prstGeom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560294</xdr:colOff>
      <xdr:row>45</xdr:row>
      <xdr:rowOff>112060</xdr:rowOff>
    </xdr:from>
    <xdr:to>
      <xdr:col>8</xdr:col>
      <xdr:colOff>952500</xdr:colOff>
      <xdr:row>47</xdr:row>
      <xdr:rowOff>11206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9648265" y="9973236"/>
          <a:ext cx="392206" cy="347382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560294</xdr:colOff>
      <xdr:row>47</xdr:row>
      <xdr:rowOff>100852</xdr:rowOff>
    </xdr:from>
    <xdr:to>
      <xdr:col>8</xdr:col>
      <xdr:colOff>952500</xdr:colOff>
      <xdr:row>49</xdr:row>
      <xdr:rowOff>22411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9648265" y="10410264"/>
          <a:ext cx="392206" cy="347382"/>
        </a:xfrm>
        <a:prstGeom prst="rect">
          <a:avLst/>
        </a:prstGeom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1109382</xdr:colOff>
      <xdr:row>36</xdr:row>
      <xdr:rowOff>22412</xdr:rowOff>
    </xdr:from>
    <xdr:to>
      <xdr:col>8</xdr:col>
      <xdr:colOff>997324</xdr:colOff>
      <xdr:row>37</xdr:row>
      <xdr:rowOff>179294</xdr:rowOff>
    </xdr:to>
    <xdr:sp macro="[0]!Retângulo21_Clique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9144000" y="8269941"/>
          <a:ext cx="1064559" cy="347382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Conferir</a:t>
          </a:r>
        </a:p>
      </xdr:txBody>
    </xdr:sp>
    <xdr:clientData/>
  </xdr:twoCellAnchor>
  <xdr:twoCellAnchor>
    <xdr:from>
      <xdr:col>10</xdr:col>
      <xdr:colOff>11206</xdr:colOff>
      <xdr:row>36</xdr:row>
      <xdr:rowOff>33618</xdr:rowOff>
    </xdr:from>
    <xdr:to>
      <xdr:col>10</xdr:col>
      <xdr:colOff>1053353</xdr:colOff>
      <xdr:row>37</xdr:row>
      <xdr:rowOff>179294</xdr:rowOff>
    </xdr:to>
    <xdr:sp macro="[0]!Retângulo10_Clique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1665324" y="8281147"/>
          <a:ext cx="1042147" cy="336176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GERAR</a:t>
          </a:r>
        </a:p>
      </xdr:txBody>
    </xdr:sp>
    <xdr:clientData/>
  </xdr:twoCellAnchor>
  <xdr:oneCellAnchor>
    <xdr:from>
      <xdr:col>2</xdr:col>
      <xdr:colOff>0</xdr:colOff>
      <xdr:row>0</xdr:row>
      <xdr:rowOff>0</xdr:rowOff>
    </xdr:from>
    <xdr:ext cx="829235" cy="966996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2756647" y="0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1</a:t>
          </a:r>
        </a:p>
      </xdr:txBody>
    </xdr:sp>
    <xdr:clientData/>
  </xdr:oneCellAnchor>
  <xdr:oneCellAnchor>
    <xdr:from>
      <xdr:col>2</xdr:col>
      <xdr:colOff>499785</xdr:colOff>
      <xdr:row>0</xdr:row>
      <xdr:rowOff>253254</xdr:rowOff>
    </xdr:from>
    <xdr:ext cx="3736040" cy="545919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3256432" y="253254"/>
          <a:ext cx="3736040" cy="545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Preencher</a:t>
          </a:r>
          <a:r>
            <a:rPr lang="pt-BR" sz="1400" baseline="0">
              <a:latin typeface="+mn-lt"/>
            </a:rPr>
            <a:t> os somente os campos onde a célula esta em amarelo.</a:t>
          </a:r>
          <a:endParaRPr lang="pt-BR" sz="1400">
            <a:latin typeface="+mn-lt"/>
          </a:endParaRPr>
        </a:p>
      </xdr:txBody>
    </xdr:sp>
    <xdr:clientData/>
  </xdr:oneCellAnchor>
  <xdr:oneCellAnchor>
    <xdr:from>
      <xdr:col>5</xdr:col>
      <xdr:colOff>1060077</xdr:colOff>
      <xdr:row>0</xdr:row>
      <xdr:rowOff>0</xdr:rowOff>
    </xdr:from>
    <xdr:ext cx="829235" cy="966996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7021606" y="0"/>
          <a:ext cx="829235" cy="9669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5400">
              <a:solidFill>
                <a:srgbClr val="338564"/>
              </a:solidFill>
              <a:latin typeface="+mn-lt"/>
            </a:rPr>
            <a:t>2</a:t>
          </a:r>
        </a:p>
      </xdr:txBody>
    </xdr:sp>
    <xdr:clientData/>
  </xdr:oneCellAnchor>
  <xdr:oneCellAnchor>
    <xdr:from>
      <xdr:col>6</xdr:col>
      <xdr:colOff>271184</xdr:colOff>
      <xdr:row>0</xdr:row>
      <xdr:rowOff>253254</xdr:rowOff>
    </xdr:from>
    <xdr:ext cx="4498040" cy="772712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7521390" y="253254"/>
          <a:ext cx="4498040" cy="772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>
              <a:latin typeface="+mn-lt"/>
            </a:rPr>
            <a:t>Após</a:t>
          </a:r>
          <a:r>
            <a:rPr lang="pt-BR" sz="1400" baseline="0">
              <a:latin typeface="+mn-lt"/>
            </a:rPr>
            <a:t> o término da formação, clicar em "Conferir" e depois, caso esteja "tudo ok" clicar em "GERAR", para inserir os valores nas tabelas e relatórios.</a:t>
          </a:r>
          <a:endParaRPr lang="pt-BR" sz="1400">
            <a:latin typeface="+mn-lt"/>
          </a:endParaRPr>
        </a:p>
      </xdr:txBody>
    </xdr:sp>
    <xdr:clientData/>
  </xdr:oneCellAnchor>
  <xdr:twoCellAnchor>
    <xdr:from>
      <xdr:col>10</xdr:col>
      <xdr:colOff>1082489</xdr:colOff>
      <xdr:row>36</xdr:row>
      <xdr:rowOff>29136</xdr:rowOff>
    </xdr:from>
    <xdr:to>
      <xdr:col>12</xdr:col>
      <xdr:colOff>286872</xdr:colOff>
      <xdr:row>37</xdr:row>
      <xdr:rowOff>174812</xdr:rowOff>
    </xdr:to>
    <xdr:sp macro="[0]!Retângulo11_Clique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2736607" y="8276665"/>
          <a:ext cx="1042147" cy="33617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Distrib.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1154206</xdr:colOff>
      <xdr:row>11</xdr:row>
      <xdr:rowOff>257735</xdr:rowOff>
    </xdr:to>
    <xdr:sp macro="" textlink="">
      <xdr:nvSpPr>
        <xdr:cNvPr id="27" name="Retângulo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1378324" y="2969559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Frete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139513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FDFDF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  <a:p>
          <a:pPr algn="ctr"/>
          <a:endParaRPr lang="pt-BR" sz="11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0" y="29337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1154206</xdr:colOff>
      <xdr:row>8</xdr:row>
      <xdr:rowOff>257735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81125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Produção</a:t>
          </a: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1154206</xdr:colOff>
      <xdr:row>9</xdr:row>
      <xdr:rowOff>257735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381125" y="24003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Tercerizados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</xdr:col>
      <xdr:colOff>1154206</xdr:colOff>
      <xdr:row>11</xdr:row>
      <xdr:rowOff>257735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1378324" y="2958353"/>
          <a:ext cx="1154206" cy="25773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Frete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139513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0" y="2933700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Tabelas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1154206</xdr:colOff>
      <xdr:row>8</xdr:row>
      <xdr:rowOff>257735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1378324" y="2151529"/>
          <a:ext cx="1154206" cy="257735"/>
        </a:xfrm>
        <a:prstGeom prst="rect">
          <a:avLst/>
        </a:prstGeom>
        <a:solidFill>
          <a:srgbClr val="FDFDF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Tabela</a:t>
          </a:r>
          <a:r>
            <a:rPr lang="pt-BR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comum</a:t>
          </a:r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1154206</xdr:colOff>
      <xdr:row>9</xdr:row>
      <xdr:rowOff>257735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1378324" y="2420471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 retirada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1154206</xdr:colOff>
      <xdr:row>10</xdr:row>
      <xdr:rowOff>257735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1378324" y="2700618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 porta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7</xdr:row>
          <xdr:rowOff>247650</xdr:rowOff>
        </xdr:from>
        <xdr:to>
          <xdr:col>7</xdr:col>
          <xdr:colOff>609600</xdr:colOff>
          <xdr:row>8</xdr:row>
          <xdr:rowOff>238125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MÁXIMO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1457325</xdr:colOff>
          <xdr:row>7</xdr:row>
          <xdr:rowOff>247650</xdr:rowOff>
        </xdr:from>
        <xdr:to>
          <xdr:col>5</xdr:col>
          <xdr:colOff>371475</xdr:colOff>
          <xdr:row>8</xdr:row>
          <xdr:rowOff>238125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7</xdr:row>
          <xdr:rowOff>247650</xdr:rowOff>
        </xdr:from>
        <xdr:to>
          <xdr:col>4</xdr:col>
          <xdr:colOff>1362075</xdr:colOff>
          <xdr:row>8</xdr:row>
          <xdr:rowOff>238125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8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TABELA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139513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0" y="2943225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Tabelas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1154206</xdr:colOff>
      <xdr:row>8</xdr:row>
      <xdr:rowOff>257735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378324" y="2151529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</a:t>
          </a:r>
          <a:r>
            <a:rPr lang="pt-BR" sz="1100" baseline="0"/>
            <a:t> comum</a:t>
          </a:r>
          <a:endParaRPr lang="pt-BR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1154206</xdr:colOff>
      <xdr:row>9</xdr:row>
      <xdr:rowOff>257735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78324" y="2420471"/>
          <a:ext cx="1154206" cy="257735"/>
        </a:xfrm>
        <a:prstGeom prst="rect">
          <a:avLst/>
        </a:prstGeom>
        <a:solidFill>
          <a:srgbClr val="FDFDF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Tabela retirada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1154206</xdr:colOff>
      <xdr:row>10</xdr:row>
      <xdr:rowOff>257735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1378324" y="2700618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 porta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8</xdr:row>
          <xdr:rowOff>0</xdr:rowOff>
        </xdr:from>
        <xdr:to>
          <xdr:col>4</xdr:col>
          <xdr:colOff>1362075</xdr:colOff>
          <xdr:row>8</xdr:row>
          <xdr:rowOff>266700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139513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0" y="2952750"/>
          <a:ext cx="1154206" cy="257735"/>
        </a:xfrm>
        <a:prstGeom prst="rect">
          <a:avLst/>
        </a:prstGeom>
        <a:solidFill>
          <a:srgbClr val="FBFBF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Tabelas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</xdr:col>
      <xdr:colOff>1154206</xdr:colOff>
      <xdr:row>8</xdr:row>
      <xdr:rowOff>257735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1381125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</a:t>
          </a:r>
          <a:r>
            <a:rPr lang="pt-BR" sz="1100" baseline="0"/>
            <a:t> comum</a:t>
          </a:r>
          <a:endParaRPr lang="pt-BR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1</xdr:col>
      <xdr:colOff>1154206</xdr:colOff>
      <xdr:row>9</xdr:row>
      <xdr:rowOff>257735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1381125" y="24003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Tabela retirada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</xdr:col>
      <xdr:colOff>1154206</xdr:colOff>
      <xdr:row>10</xdr:row>
      <xdr:rowOff>257735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1378324" y="2700618"/>
          <a:ext cx="1154206" cy="257735"/>
        </a:xfrm>
        <a:prstGeom prst="rect">
          <a:avLst/>
        </a:prstGeom>
        <a:solidFill>
          <a:srgbClr val="FDFDF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Tabela porta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7</xdr:row>
          <xdr:rowOff>257175</xdr:rowOff>
        </xdr:from>
        <xdr:to>
          <xdr:col>4</xdr:col>
          <xdr:colOff>1381125</xdr:colOff>
          <xdr:row>8</xdr:row>
          <xdr:rowOff>257175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352426</xdr:colOff>
      <xdr:row>0</xdr:row>
      <xdr:rowOff>57150</xdr:rowOff>
    </xdr:from>
    <xdr:to>
      <xdr:col>0</xdr:col>
      <xdr:colOff>1457326</xdr:colOff>
      <xdr:row>3</xdr:row>
      <xdr:rowOff>153122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6" y="57150"/>
          <a:ext cx="1104900" cy="667472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207548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47301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0" y="29337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12</xdr:row>
          <xdr:rowOff>47625</xdr:rowOff>
        </xdr:from>
        <xdr:to>
          <xdr:col>5</xdr:col>
          <xdr:colOff>1171575</xdr:colOff>
          <xdr:row>13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978392</xdr:colOff>
      <xdr:row>5</xdr:row>
      <xdr:rowOff>207548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9517" cy="154104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1154206</xdr:colOff>
      <xdr:row>8</xdr:row>
      <xdr:rowOff>257735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21336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Cadastros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1154206</xdr:colOff>
      <xdr:row>9</xdr:row>
      <xdr:rowOff>257735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0" y="24003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Formação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1154206</xdr:colOff>
      <xdr:row>6</xdr:row>
      <xdr:rowOff>257735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0" y="16002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1154206</xdr:colOff>
      <xdr:row>11</xdr:row>
      <xdr:rowOff>257735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0" y="2933700"/>
          <a:ext cx="1154206" cy="257735"/>
        </a:xfrm>
        <a:prstGeom prst="rect">
          <a:avLst/>
        </a:prstGeom>
        <a:solidFill>
          <a:srgbClr val="33856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Tabelas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trim&#244;nio%20l&#237;quido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inel"/>
      <sheetName val="Ativos"/>
      <sheetName val="Passivos"/>
      <sheetName val="cálculos"/>
    </sheetNames>
    <sheetDataSet>
      <sheetData sheetId="0"/>
      <sheetData sheetId="1"/>
      <sheetData sheetId="2"/>
      <sheetData sheetId="3">
        <row r="11">
          <cell r="B11" t="str">
            <v>DINHEIRO</v>
          </cell>
        </row>
        <row r="15">
          <cell r="C15">
            <v>380800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92"/>
  <sheetViews>
    <sheetView showGridLines="0" showRowColHeaders="0" zoomScale="85" zoomScaleNormal="85" workbookViewId="0"/>
  </sheetViews>
  <sheetFormatPr defaultRowHeight="15" x14ac:dyDescent="0.25"/>
  <cols>
    <col min="1" max="2" width="20.7109375" style="9" customWidth="1"/>
  </cols>
  <sheetData>
    <row r="1" spans="1:2" ht="21" x14ac:dyDescent="0.25">
      <c r="A1" s="1"/>
      <c r="B1" s="1"/>
    </row>
    <row r="2" spans="1:2" ht="21" x14ac:dyDescent="0.25">
      <c r="A2" s="1"/>
      <c r="B2" s="1"/>
    </row>
    <row r="3" spans="1:2" ht="21" x14ac:dyDescent="0.25">
      <c r="A3" s="1"/>
      <c r="B3" s="1"/>
    </row>
    <row r="4" spans="1:2" ht="21" x14ac:dyDescent="0.25">
      <c r="A4" s="1"/>
      <c r="B4" s="1"/>
    </row>
    <row r="5" spans="1:2" ht="21" x14ac:dyDescent="0.25">
      <c r="A5" s="1"/>
      <c r="B5" s="1"/>
    </row>
    <row r="6" spans="1:2" ht="21" x14ac:dyDescent="0.25">
      <c r="A6" s="1"/>
      <c r="B6" s="1"/>
    </row>
    <row r="7" spans="1:2" ht="21" x14ac:dyDescent="0.25">
      <c r="A7" s="3"/>
      <c r="B7" s="3"/>
    </row>
    <row r="8" spans="1:2" ht="21" x14ac:dyDescent="0.25">
      <c r="A8" s="3"/>
      <c r="B8" s="3"/>
    </row>
    <row r="9" spans="1:2" ht="21" x14ac:dyDescent="0.25">
      <c r="A9" s="3"/>
      <c r="B9" s="3"/>
    </row>
    <row r="10" spans="1:2" ht="21" x14ac:dyDescent="0.25">
      <c r="A10" s="3"/>
      <c r="B10" s="3"/>
    </row>
    <row r="11" spans="1:2" ht="21" x14ac:dyDescent="0.25">
      <c r="A11" s="3"/>
      <c r="B11" s="3"/>
    </row>
    <row r="12" spans="1:2" ht="21" x14ac:dyDescent="0.25">
      <c r="A12" s="3"/>
      <c r="B12" s="3"/>
    </row>
    <row r="13" spans="1:2" ht="21" x14ac:dyDescent="0.25">
      <c r="A13" s="3"/>
      <c r="B13" s="3"/>
    </row>
    <row r="14" spans="1:2" ht="21" x14ac:dyDescent="0.25">
      <c r="A14" s="3"/>
      <c r="B14" s="3"/>
    </row>
    <row r="15" spans="1:2" ht="16.5" x14ac:dyDescent="0.25">
      <c r="A15" s="2"/>
      <c r="B15" s="4"/>
    </row>
    <row r="16" spans="1:2" x14ac:dyDescent="0.25">
      <c r="A16" s="2"/>
      <c r="B16" s="2"/>
    </row>
    <row r="17" spans="1:2" x14ac:dyDescent="0.25">
      <c r="A17" s="2"/>
      <c r="B17" s="2"/>
    </row>
    <row r="18" spans="1:2" x14ac:dyDescent="0.25">
      <c r="A18" s="2"/>
      <c r="B18" s="2"/>
    </row>
    <row r="19" spans="1:2" x14ac:dyDescent="0.25">
      <c r="A19" s="2"/>
      <c r="B19" s="2"/>
    </row>
    <row r="20" spans="1:2" x14ac:dyDescent="0.25">
      <c r="A20" s="2"/>
      <c r="B20" s="2"/>
    </row>
    <row r="21" spans="1:2" x14ac:dyDescent="0.25">
      <c r="A21" s="2"/>
      <c r="B21" s="2"/>
    </row>
    <row r="22" spans="1:2" x14ac:dyDescent="0.25">
      <c r="A22" s="2"/>
      <c r="B22" s="2"/>
    </row>
    <row r="23" spans="1:2" x14ac:dyDescent="0.25">
      <c r="A23" s="2"/>
      <c r="B23" s="2"/>
    </row>
    <row r="24" spans="1:2" x14ac:dyDescent="0.25">
      <c r="A24" s="2"/>
      <c r="B24" s="2"/>
    </row>
    <row r="25" spans="1:2" ht="16.5" x14ac:dyDescent="0.25">
      <c r="A25" s="2"/>
      <c r="B25" s="5"/>
    </row>
    <row r="26" spans="1:2" ht="16.5" x14ac:dyDescent="0.25">
      <c r="A26" s="2"/>
      <c r="B26" s="5"/>
    </row>
    <row r="27" spans="1:2" ht="16.5" x14ac:dyDescent="0.25">
      <c r="A27" s="2"/>
      <c r="B27" s="4"/>
    </row>
    <row r="28" spans="1:2" ht="19.5" x14ac:dyDescent="0.25">
      <c r="A28" s="2"/>
      <c r="B28" s="6"/>
    </row>
    <row r="29" spans="1:2" x14ac:dyDescent="0.25">
      <c r="A29" s="2"/>
      <c r="B29" s="7"/>
    </row>
    <row r="30" spans="1:2" x14ac:dyDescent="0.25">
      <c r="A30" s="2"/>
      <c r="B30" s="2"/>
    </row>
    <row r="31" spans="1:2" x14ac:dyDescent="0.25">
      <c r="A31" s="2"/>
      <c r="B31" s="2"/>
    </row>
    <row r="32" spans="1:2" x14ac:dyDescent="0.25">
      <c r="A32" s="2"/>
      <c r="B32" s="2"/>
    </row>
    <row r="33" spans="1:2" x14ac:dyDescent="0.25">
      <c r="A33" s="2"/>
      <c r="B33" s="2"/>
    </row>
    <row r="34" spans="1:2" x14ac:dyDescent="0.25">
      <c r="A34" s="2"/>
      <c r="B34" s="2"/>
    </row>
    <row r="35" spans="1:2" x14ac:dyDescent="0.25">
      <c r="A35" s="2"/>
      <c r="B35" s="2"/>
    </row>
    <row r="36" spans="1:2" x14ac:dyDescent="0.25">
      <c r="A36" s="2"/>
      <c r="B36" s="2"/>
    </row>
    <row r="37" spans="1:2" x14ac:dyDescent="0.25">
      <c r="A37" s="2"/>
      <c r="B37" s="2"/>
    </row>
    <row r="38" spans="1:2" x14ac:dyDescent="0.25">
      <c r="A38" s="2"/>
      <c r="B38" s="2"/>
    </row>
    <row r="39" spans="1:2" x14ac:dyDescent="0.25">
      <c r="A39" s="2"/>
      <c r="B39" s="2"/>
    </row>
    <row r="40" spans="1:2" x14ac:dyDescent="0.25">
      <c r="A40" s="2"/>
      <c r="B40" s="2"/>
    </row>
    <row r="41" spans="1:2" x14ac:dyDescent="0.25">
      <c r="A41" s="2"/>
      <c r="B41" s="2"/>
    </row>
    <row r="42" spans="1:2" x14ac:dyDescent="0.25">
      <c r="A42" s="2"/>
      <c r="B42" s="2"/>
    </row>
    <row r="43" spans="1:2" ht="16.5" x14ac:dyDescent="0.25">
      <c r="A43" s="2"/>
      <c r="B43" s="5"/>
    </row>
    <row r="44" spans="1:2" ht="19.5" x14ac:dyDescent="0.25">
      <c r="A44" s="2"/>
      <c r="B44" s="8"/>
    </row>
    <row r="45" spans="1:2" ht="19.5" x14ac:dyDescent="0.25">
      <c r="A45" s="2"/>
      <c r="B45" s="8"/>
    </row>
    <row r="46" spans="1:2" x14ac:dyDescent="0.25">
      <c r="A46" s="2"/>
      <c r="B46" s="7"/>
    </row>
    <row r="47" spans="1:2" x14ac:dyDescent="0.25">
      <c r="A47" s="2"/>
      <c r="B47" s="2"/>
    </row>
    <row r="48" spans="1:2" x14ac:dyDescent="0.25">
      <c r="A48" s="2"/>
      <c r="B48" s="2"/>
    </row>
    <row r="49" spans="1:2" x14ac:dyDescent="0.25">
      <c r="A49" s="2"/>
      <c r="B49" s="2"/>
    </row>
    <row r="50" spans="1:2" x14ac:dyDescent="0.25">
      <c r="A50" s="2"/>
      <c r="B50" s="259"/>
    </row>
    <row r="51" spans="1:2" x14ac:dyDescent="0.25">
      <c r="A51" s="2"/>
      <c r="B51" s="259"/>
    </row>
    <row r="52" spans="1:2" x14ac:dyDescent="0.25">
      <c r="A52" s="2"/>
      <c r="B52" s="259"/>
    </row>
    <row r="53" spans="1:2" x14ac:dyDescent="0.25">
      <c r="A53" s="2"/>
      <c r="B53" s="259"/>
    </row>
    <row r="54" spans="1:2" x14ac:dyDescent="0.25">
      <c r="A54" s="2"/>
      <c r="B54" s="2"/>
    </row>
    <row r="55" spans="1:2" x14ac:dyDescent="0.25">
      <c r="A55" s="2"/>
      <c r="B55" s="2"/>
    </row>
    <row r="56" spans="1:2" x14ac:dyDescent="0.25">
      <c r="A56" s="2"/>
      <c r="B56" s="2"/>
    </row>
    <row r="57" spans="1:2" x14ac:dyDescent="0.25">
      <c r="A57" s="2"/>
      <c r="B57" s="2"/>
    </row>
    <row r="58" spans="1:2" x14ac:dyDescent="0.25">
      <c r="A58" s="2"/>
      <c r="B58" s="2"/>
    </row>
    <row r="59" spans="1:2" x14ac:dyDescent="0.25">
      <c r="A59" s="2"/>
      <c r="B59" s="2"/>
    </row>
    <row r="60" spans="1:2" x14ac:dyDescent="0.25">
      <c r="A60" s="2"/>
      <c r="B60" s="2"/>
    </row>
    <row r="61" spans="1:2" x14ac:dyDescent="0.25">
      <c r="A61" s="2"/>
      <c r="B61" s="2"/>
    </row>
    <row r="62" spans="1:2" x14ac:dyDescent="0.25">
      <c r="A62" s="2"/>
      <c r="B62" s="2"/>
    </row>
    <row r="63" spans="1:2" x14ac:dyDescent="0.25">
      <c r="A63" s="2"/>
      <c r="B63" s="2"/>
    </row>
    <row r="64" spans="1:2" x14ac:dyDescent="0.25">
      <c r="A64" s="2"/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ht="24" x14ac:dyDescent="0.25">
      <c r="B89" s="10"/>
    </row>
    <row r="90" spans="2:2" ht="24" x14ac:dyDescent="0.25">
      <c r="B90" s="10"/>
    </row>
    <row r="91" spans="2:2" ht="24" x14ac:dyDescent="0.25">
      <c r="B91" s="10"/>
    </row>
    <row r="92" spans="2:2" x14ac:dyDescent="0.25">
      <c r="B92" s="2"/>
    </row>
  </sheetData>
  <mergeCells count="1">
    <mergeCell ref="B50:B53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R93"/>
  <sheetViews>
    <sheetView showGridLines="0" zoomScale="85" zoomScaleNormal="85" workbookViewId="0">
      <selection activeCell="H44" sqref="F44:H45"/>
    </sheetView>
  </sheetViews>
  <sheetFormatPr defaultRowHeight="15" x14ac:dyDescent="0.25"/>
  <cols>
    <col min="1" max="2" width="20.7109375" style="9" customWidth="1"/>
    <col min="4" max="4" width="13" customWidth="1"/>
    <col min="5" max="5" width="15.42578125" customWidth="1"/>
    <col min="6" max="6" width="37.7109375" customWidth="1"/>
    <col min="7" max="7" width="18.85546875" customWidth="1"/>
    <col min="8" max="8" width="14.42578125" customWidth="1"/>
    <col min="9" max="9" width="10.42578125" customWidth="1"/>
    <col min="15" max="15" width="23.28515625" customWidth="1"/>
    <col min="16" max="16" width="20.28515625" bestFit="1" customWidth="1"/>
    <col min="17" max="18" width="9.140625" style="18" customWidth="1"/>
  </cols>
  <sheetData>
    <row r="1" spans="1:18" ht="21" x14ac:dyDescent="0.25">
      <c r="A1" s="1"/>
      <c r="B1" s="1"/>
    </row>
    <row r="2" spans="1:18" ht="21" x14ac:dyDescent="0.25">
      <c r="A2" s="1"/>
      <c r="B2" s="1"/>
    </row>
    <row r="3" spans="1:18" ht="21" x14ac:dyDescent="0.25">
      <c r="A3" s="1"/>
      <c r="B3" s="1"/>
    </row>
    <row r="4" spans="1:18" ht="21" x14ac:dyDescent="0.25">
      <c r="A4" s="1"/>
      <c r="B4" s="1"/>
    </row>
    <row r="5" spans="1:18" ht="21" x14ac:dyDescent="0.25">
      <c r="A5" s="1"/>
      <c r="B5" s="1"/>
    </row>
    <row r="6" spans="1:18" ht="21" x14ac:dyDescent="0.25">
      <c r="A6" s="1"/>
      <c r="B6" s="1"/>
    </row>
    <row r="7" spans="1:18" ht="21" x14ac:dyDescent="0.25">
      <c r="A7" s="3"/>
      <c r="B7" s="3"/>
    </row>
    <row r="8" spans="1:18" ht="21" x14ac:dyDescent="0.25">
      <c r="A8" s="3"/>
      <c r="B8" s="3"/>
    </row>
    <row r="9" spans="1:18" ht="21" x14ac:dyDescent="0.25">
      <c r="A9" s="3"/>
      <c r="B9" s="3"/>
    </row>
    <row r="10" spans="1:18" ht="21" x14ac:dyDescent="0.25">
      <c r="A10" s="3"/>
      <c r="B10" s="3"/>
    </row>
    <row r="11" spans="1:18" ht="21" x14ac:dyDescent="0.25">
      <c r="A11" s="3"/>
      <c r="B11" s="3"/>
    </row>
    <row r="12" spans="1:18" ht="21" x14ac:dyDescent="0.25">
      <c r="A12" s="3"/>
      <c r="B12" s="3"/>
      <c r="E12" s="18">
        <f>'Cad3'!G47</f>
        <v>17</v>
      </c>
      <c r="F12" s="260" t="s">
        <v>52</v>
      </c>
      <c r="G12" s="260"/>
      <c r="H12" s="260" t="s">
        <v>53</v>
      </c>
      <c r="I12" s="260"/>
      <c r="J12" s="260" t="s">
        <v>55</v>
      </c>
      <c r="K12" s="260"/>
      <c r="L12" s="260"/>
      <c r="M12" s="260"/>
      <c r="N12" s="260"/>
      <c r="O12" s="11" t="s">
        <v>57</v>
      </c>
      <c r="P12" s="11" t="s">
        <v>129</v>
      </c>
    </row>
    <row r="13" spans="1:18" ht="21" x14ac:dyDescent="0.25">
      <c r="A13" s="3"/>
      <c r="B13" s="3"/>
      <c r="D13" s="11" t="s">
        <v>213</v>
      </c>
      <c r="E13" s="11" t="s">
        <v>212</v>
      </c>
      <c r="F13" s="11" t="s">
        <v>49</v>
      </c>
      <c r="G13" s="11" t="s">
        <v>50</v>
      </c>
      <c r="H13" s="11" t="s">
        <v>56</v>
      </c>
      <c r="I13" s="11" t="s">
        <v>54</v>
      </c>
      <c r="J13" s="11" t="s">
        <v>54</v>
      </c>
      <c r="K13" s="11" t="s">
        <v>22</v>
      </c>
      <c r="L13" s="11" t="s">
        <v>23</v>
      </c>
      <c r="M13" s="11" t="s">
        <v>24</v>
      </c>
      <c r="N13" s="11" t="s">
        <v>25</v>
      </c>
      <c r="O13" s="11" t="s">
        <v>58</v>
      </c>
      <c r="P13" s="11" t="s">
        <v>128</v>
      </c>
    </row>
    <row r="14" spans="1:18" ht="21" x14ac:dyDescent="0.25">
      <c r="A14" s="3"/>
      <c r="B14" s="3"/>
      <c r="C14" s="18" t="str">
        <f>F14</f>
        <v>Creme Chantty - LITRO</v>
      </c>
      <c r="D14">
        <v>1000</v>
      </c>
      <c r="E14" s="218">
        <f>'Cad3'!K26+'Cad3'!L26</f>
        <v>26077.433002555113</v>
      </c>
      <c r="F14" t="s">
        <v>86</v>
      </c>
      <c r="G14" t="s">
        <v>59</v>
      </c>
      <c r="H14" s="12"/>
      <c r="I14" s="13"/>
      <c r="J14" s="13">
        <v>7.0000000000000007E-2</v>
      </c>
      <c r="K14" s="13">
        <v>6.4999999999999997E-3</v>
      </c>
      <c r="L14" s="13">
        <v>0.03</v>
      </c>
      <c r="M14" s="13">
        <v>1.2E-2</v>
      </c>
      <c r="N14" s="13">
        <v>1.0800000000000001E-2</v>
      </c>
      <c r="O14" s="14">
        <v>960</v>
      </c>
      <c r="P14" s="14">
        <v>20</v>
      </c>
      <c r="Q14" s="18" t="str">
        <f>IF(G14="Produção",F14,"-")</f>
        <v>Creme Chantty - LITRO</v>
      </c>
      <c r="R14" s="18" t="str">
        <f>IF(G15="Tercerizado",F15,"-")</f>
        <v>-</v>
      </c>
    </row>
    <row r="15" spans="1:18" ht="16.5" x14ac:dyDescent="0.25">
      <c r="A15" s="2"/>
      <c r="B15" s="4"/>
      <c r="C15" s="18" t="str">
        <f t="shared" ref="C15:C51" si="0">F15</f>
        <v>Creme Chantty - MINI</v>
      </c>
      <c r="D15">
        <v>450</v>
      </c>
      <c r="E15" s="218">
        <f>'Cad3'!K27+'Cad3'!L27</f>
        <v>1522.5511517816469</v>
      </c>
      <c r="F15" t="s">
        <v>87</v>
      </c>
      <c r="G15" t="s">
        <v>59</v>
      </c>
      <c r="J15" s="13">
        <v>7.0000000000000007E-2</v>
      </c>
      <c r="K15" s="13">
        <v>6.4999999999999997E-3</v>
      </c>
      <c r="L15" s="13">
        <v>0.03</v>
      </c>
      <c r="M15" s="13">
        <v>1.2E-2</v>
      </c>
      <c r="N15" s="13">
        <v>1.0800000000000001E-2</v>
      </c>
      <c r="O15" s="14">
        <f>O14*2</f>
        <v>1920</v>
      </c>
      <c r="P15" s="14">
        <v>40</v>
      </c>
      <c r="Q15" s="18" t="str">
        <f t="shared" ref="Q15:Q79" si="1">IF(G15="Produção",F15,"-")</f>
        <v>Creme Chantty - MINI</v>
      </c>
      <c r="R15" s="18" t="str">
        <f t="shared" ref="R15:R79" si="2">IF(G16="Tercerizado",F16,"-")</f>
        <v>-</v>
      </c>
    </row>
    <row r="16" spans="1:18" x14ac:dyDescent="0.25">
      <c r="A16" s="2"/>
      <c r="B16" s="2"/>
      <c r="C16" s="18" t="str">
        <f t="shared" si="0"/>
        <v>Creme Molho - LITRO</v>
      </c>
      <c r="D16">
        <f>D14</f>
        <v>1000</v>
      </c>
      <c r="E16" s="218">
        <f>E14</f>
        <v>26077.433002555113</v>
      </c>
      <c r="F16" t="s">
        <v>88</v>
      </c>
      <c r="G16" t="s">
        <v>59</v>
      </c>
      <c r="H16" s="12"/>
      <c r="I16" s="13"/>
      <c r="J16" s="13">
        <v>7.0000000000000007E-2</v>
      </c>
      <c r="K16" s="13">
        <v>6.4999999999999997E-3</v>
      </c>
      <c r="L16" s="13">
        <v>0.03</v>
      </c>
      <c r="M16" s="13">
        <v>1.2E-2</v>
      </c>
      <c r="N16" s="13">
        <v>1.0800000000000001E-2</v>
      </c>
      <c r="O16" s="14">
        <v>960</v>
      </c>
      <c r="P16" s="14">
        <v>20</v>
      </c>
      <c r="Q16" s="18" t="str">
        <f t="shared" si="1"/>
        <v>Creme Molho - LITRO</v>
      </c>
      <c r="R16" s="18" t="str">
        <f t="shared" si="2"/>
        <v>-</v>
      </c>
    </row>
    <row r="17" spans="1:18" x14ac:dyDescent="0.25">
      <c r="A17" s="2"/>
      <c r="B17" s="2"/>
      <c r="C17" s="18" t="str">
        <f t="shared" si="0"/>
        <v>Creme Chantty - LITRO (Simples Nacional)</v>
      </c>
      <c r="D17">
        <f>D14</f>
        <v>1000</v>
      </c>
      <c r="E17" s="218">
        <f>E14</f>
        <v>26077.433002555113</v>
      </c>
      <c r="F17" t="s">
        <v>184</v>
      </c>
      <c r="G17" t="s">
        <v>59</v>
      </c>
      <c r="H17" s="12"/>
      <c r="I17" s="13"/>
      <c r="J17" s="13">
        <v>0.18</v>
      </c>
      <c r="K17" s="13">
        <v>6.4999999999999997E-3</v>
      </c>
      <c r="L17" s="13">
        <v>0.03</v>
      </c>
      <c r="M17" s="13">
        <v>1.2E-2</v>
      </c>
      <c r="N17" s="13">
        <v>1.0800000000000001E-2</v>
      </c>
      <c r="O17" s="14">
        <v>960</v>
      </c>
      <c r="P17" s="14">
        <v>20</v>
      </c>
      <c r="Q17" s="18" t="str">
        <f t="shared" si="1"/>
        <v>Creme Chantty - LITRO (Simples Nacional)</v>
      </c>
      <c r="R17" s="18" t="str">
        <f t="shared" si="2"/>
        <v>-</v>
      </c>
    </row>
    <row r="18" spans="1:18" x14ac:dyDescent="0.25">
      <c r="A18" s="2"/>
      <c r="B18" s="2"/>
      <c r="C18" s="18" t="str">
        <f t="shared" si="0"/>
        <v>Creme Chantty - MINI (Simples Nacional)</v>
      </c>
      <c r="D18">
        <f>D15</f>
        <v>450</v>
      </c>
      <c r="E18" s="218">
        <f>E15</f>
        <v>1522.5511517816469</v>
      </c>
      <c r="F18" t="s">
        <v>185</v>
      </c>
      <c r="G18" t="s">
        <v>59</v>
      </c>
      <c r="J18" s="13">
        <v>0.18</v>
      </c>
      <c r="K18" s="13">
        <v>6.4999999999999997E-3</v>
      </c>
      <c r="L18" s="13">
        <v>0.03</v>
      </c>
      <c r="M18" s="13">
        <v>1.2E-2</v>
      </c>
      <c r="N18" s="13">
        <v>1.0800000000000001E-2</v>
      </c>
      <c r="O18" s="14">
        <f>O17*2</f>
        <v>1920</v>
      </c>
      <c r="P18" s="14">
        <v>40</v>
      </c>
      <c r="Q18" s="18" t="str">
        <f t="shared" si="1"/>
        <v>Creme Chantty - MINI (Simples Nacional)</v>
      </c>
      <c r="R18" s="18" t="str">
        <f t="shared" si="2"/>
        <v>-</v>
      </c>
    </row>
    <row r="19" spans="1:18" x14ac:dyDescent="0.25">
      <c r="A19" s="2"/>
      <c r="B19" s="2"/>
      <c r="C19" s="18" t="str">
        <f t="shared" si="0"/>
        <v>Creme Molho - LITRO (Simples Nacional)</v>
      </c>
      <c r="D19">
        <f>D14</f>
        <v>1000</v>
      </c>
      <c r="E19" s="218">
        <f>E14</f>
        <v>26077.433002555113</v>
      </c>
      <c r="F19" t="s">
        <v>186</v>
      </c>
      <c r="G19" t="s">
        <v>59</v>
      </c>
      <c r="H19" s="12"/>
      <c r="I19" s="13"/>
      <c r="J19" s="13">
        <v>0.18</v>
      </c>
      <c r="K19" s="13">
        <v>6.4999999999999997E-3</v>
      </c>
      <c r="L19" s="13">
        <v>0.03</v>
      </c>
      <c r="M19" s="13">
        <v>1.2E-2</v>
      </c>
      <c r="N19" s="13">
        <v>1.0800000000000001E-2</v>
      </c>
      <c r="O19" s="14">
        <v>960</v>
      </c>
      <c r="P19" s="14">
        <v>20</v>
      </c>
      <c r="Q19" s="18" t="str">
        <f t="shared" si="1"/>
        <v>Creme Molho - LITRO (Simples Nacional)</v>
      </c>
      <c r="R19" s="18" t="str">
        <f t="shared" si="2"/>
        <v>Chantilly TP Jundiai - 1L</v>
      </c>
    </row>
    <row r="20" spans="1:18" x14ac:dyDescent="0.25">
      <c r="A20" s="2"/>
      <c r="B20" s="2"/>
      <c r="C20" s="18" t="str">
        <f t="shared" si="0"/>
        <v>Chantilly TP Jundiai - 1L</v>
      </c>
      <c r="D20">
        <f>'Cad3'!H28</f>
        <v>7990</v>
      </c>
      <c r="E20" s="218">
        <f>'Cad3'!L28</f>
        <v>16617.148969041536</v>
      </c>
      <c r="F20" t="s">
        <v>191</v>
      </c>
      <c r="G20" t="s">
        <v>64</v>
      </c>
      <c r="H20" s="12"/>
      <c r="I20" s="13">
        <v>0.12</v>
      </c>
      <c r="J20" s="13">
        <v>0.12</v>
      </c>
      <c r="K20" s="13">
        <v>6.4999999999999997E-3</v>
      </c>
      <c r="L20" s="13">
        <v>0.03</v>
      </c>
      <c r="M20" s="13">
        <v>1.2E-2</v>
      </c>
      <c r="N20" s="13">
        <v>1.0800000000000001E-2</v>
      </c>
      <c r="P20" s="169">
        <v>0</v>
      </c>
      <c r="Q20" s="18" t="str">
        <f t="shared" si="1"/>
        <v>-</v>
      </c>
      <c r="R20" s="18" t="str">
        <f t="shared" si="2"/>
        <v>Creme Culinário TP Jundiai - 1L</v>
      </c>
    </row>
    <row r="21" spans="1:18" x14ac:dyDescent="0.25">
      <c r="A21" s="2"/>
      <c r="B21" s="2"/>
      <c r="C21" s="18" t="str">
        <f t="shared" si="0"/>
        <v>Creme Culinário TP Jundiai - 1L</v>
      </c>
      <c r="D21">
        <f>'Cad3'!H29</f>
        <v>2945</v>
      </c>
      <c r="E21" s="218">
        <f>'Cad3'!L29</f>
        <v>6124.8440192524804</v>
      </c>
      <c r="F21" t="s">
        <v>192</v>
      </c>
      <c r="G21" t="s">
        <v>64</v>
      </c>
      <c r="H21" s="12"/>
      <c r="I21" s="13">
        <v>0.12</v>
      </c>
      <c r="J21" s="13">
        <v>0.12</v>
      </c>
      <c r="K21" s="13">
        <v>6.4999999999999997E-3</v>
      </c>
      <c r="L21" s="13">
        <v>0.03</v>
      </c>
      <c r="M21" s="13">
        <v>1.2E-2</v>
      </c>
      <c r="N21" s="13">
        <v>1.0800000000000001E-2</v>
      </c>
      <c r="P21" s="169">
        <v>0</v>
      </c>
      <c r="Q21" s="18" t="str">
        <f t="shared" si="1"/>
        <v>-</v>
      </c>
      <c r="R21" s="18" t="str">
        <f t="shared" si="2"/>
        <v>Chantilly TP Jundiai - 1L (Simples Nacional)</v>
      </c>
    </row>
    <row r="22" spans="1:18" x14ac:dyDescent="0.25">
      <c r="A22" s="2"/>
      <c r="B22" s="2"/>
      <c r="C22" s="18" t="str">
        <f t="shared" si="0"/>
        <v>Chantilly TP Jundiai - 1L (Simples Nacional)</v>
      </c>
      <c r="D22">
        <f>D20</f>
        <v>7990</v>
      </c>
      <c r="E22" s="218">
        <f>E20</f>
        <v>16617.148969041536</v>
      </c>
      <c r="F22" t="s">
        <v>219</v>
      </c>
      <c r="G22" t="s">
        <v>64</v>
      </c>
      <c r="H22" s="12"/>
      <c r="I22" s="13">
        <v>0.12</v>
      </c>
      <c r="J22" s="13">
        <v>0.18</v>
      </c>
      <c r="K22" s="13">
        <v>6.4999999999999997E-3</v>
      </c>
      <c r="L22" s="13">
        <v>0.03</v>
      </c>
      <c r="M22" s="13">
        <v>1.2E-2</v>
      </c>
      <c r="N22" s="13">
        <v>1.0800000000000001E-2</v>
      </c>
      <c r="P22" s="169">
        <v>0</v>
      </c>
      <c r="Q22" s="18" t="str">
        <f t="shared" si="1"/>
        <v>-</v>
      </c>
      <c r="R22" s="18" t="str">
        <f t="shared" si="2"/>
        <v>Creme Culinário TP Jundiai - 1L (Simples Nacional)</v>
      </c>
    </row>
    <row r="23" spans="1:18" x14ac:dyDescent="0.25">
      <c r="A23" s="2"/>
      <c r="B23" s="2"/>
      <c r="C23" s="18" t="str">
        <f t="shared" si="0"/>
        <v>Creme Culinário TP Jundiai - 1L (Simples Nacional)</v>
      </c>
      <c r="D23">
        <f>D21</f>
        <v>2945</v>
      </c>
      <c r="E23" s="218">
        <f>E21</f>
        <v>6124.8440192524804</v>
      </c>
      <c r="F23" t="s">
        <v>218</v>
      </c>
      <c r="G23" t="s">
        <v>64</v>
      </c>
      <c r="H23" s="12"/>
      <c r="I23" s="13">
        <v>0.12</v>
      </c>
      <c r="J23" s="13">
        <v>0.18</v>
      </c>
      <c r="K23" s="13">
        <v>6.4999999999999997E-3</v>
      </c>
      <c r="L23" s="13">
        <v>0.03</v>
      </c>
      <c r="M23" s="13">
        <v>1.2E-2</v>
      </c>
      <c r="N23" s="13">
        <v>1.0800000000000001E-2</v>
      </c>
      <c r="P23" s="169">
        <v>0</v>
      </c>
      <c r="Q23" s="18" t="str">
        <f t="shared" si="1"/>
        <v>-</v>
      </c>
      <c r="R23" s="18" t="str">
        <f t="shared" si="2"/>
        <v>Chantilly TP BRAVO - 1L</v>
      </c>
    </row>
    <row r="24" spans="1:18" x14ac:dyDescent="0.25">
      <c r="A24" s="2"/>
      <c r="B24" s="2"/>
      <c r="C24" s="18" t="str">
        <f t="shared" si="0"/>
        <v>Chantilly TP BRAVO - 1L</v>
      </c>
      <c r="D24">
        <v>600</v>
      </c>
      <c r="E24" s="218">
        <v>5000</v>
      </c>
      <c r="F24" t="s">
        <v>230</v>
      </c>
      <c r="G24" t="s">
        <v>64</v>
      </c>
      <c r="H24" s="12">
        <v>13</v>
      </c>
      <c r="I24" s="13">
        <v>0.12</v>
      </c>
      <c r="J24" s="13">
        <v>0.12</v>
      </c>
      <c r="K24" s="13">
        <v>6.4999999999999997E-3</v>
      </c>
      <c r="L24" s="13">
        <v>0.03</v>
      </c>
      <c r="M24" s="13">
        <v>1.2E-2</v>
      </c>
      <c r="N24" s="13">
        <v>1.0800000000000001E-2</v>
      </c>
      <c r="P24" s="169">
        <v>0</v>
      </c>
      <c r="Q24" s="18" t="str">
        <f t="shared" si="1"/>
        <v>-</v>
      </c>
      <c r="R24" s="18" t="str">
        <f t="shared" si="2"/>
        <v>Creme Culinário TP BRAVO - 1L</v>
      </c>
    </row>
    <row r="25" spans="1:18" ht="16.5" x14ac:dyDescent="0.25">
      <c r="A25" s="2"/>
      <c r="B25" s="5"/>
      <c r="C25" s="18" t="str">
        <f t="shared" si="0"/>
        <v>Creme Culinário TP BRAVO - 1L</v>
      </c>
      <c r="D25">
        <v>300</v>
      </c>
      <c r="E25" s="218">
        <v>3000</v>
      </c>
      <c r="F25" t="s">
        <v>231</v>
      </c>
      <c r="G25" t="s">
        <v>64</v>
      </c>
      <c r="H25" s="12">
        <v>8</v>
      </c>
      <c r="I25" s="13">
        <v>0.12</v>
      </c>
      <c r="J25" s="13">
        <v>0.12</v>
      </c>
      <c r="K25" s="13">
        <v>6.4999999999999997E-3</v>
      </c>
      <c r="L25" s="13">
        <v>0.03</v>
      </c>
      <c r="M25" s="13">
        <v>1.2E-2</v>
      </c>
      <c r="N25" s="13">
        <v>1.0800000000000001E-2</v>
      </c>
      <c r="P25" s="169">
        <v>0</v>
      </c>
      <c r="Q25" s="18" t="str">
        <f t="shared" si="1"/>
        <v>-</v>
      </c>
      <c r="R25" s="18" t="str">
        <f t="shared" si="2"/>
        <v>Chantilly TP BRAVO - 1L (Simples)</v>
      </c>
    </row>
    <row r="26" spans="1:18" ht="16.5" x14ac:dyDescent="0.25">
      <c r="A26" s="2"/>
      <c r="B26" s="5"/>
      <c r="C26" s="18" t="str">
        <f t="shared" si="0"/>
        <v>Chantilly TP BRAVO - 1L (Simples)</v>
      </c>
      <c r="D26">
        <v>600</v>
      </c>
      <c r="E26" s="218">
        <v>5000</v>
      </c>
      <c r="F26" t="s">
        <v>233</v>
      </c>
      <c r="G26" t="s">
        <v>64</v>
      </c>
      <c r="H26" s="12">
        <v>13</v>
      </c>
      <c r="I26" s="13">
        <v>0.12</v>
      </c>
      <c r="J26" s="13">
        <v>0.18</v>
      </c>
      <c r="K26" s="13">
        <v>6.4999999999999997E-3</v>
      </c>
      <c r="L26" s="13">
        <v>0.03</v>
      </c>
      <c r="M26" s="13">
        <v>1.2E-2</v>
      </c>
      <c r="N26" s="13">
        <v>1.0800000000000001E-2</v>
      </c>
      <c r="P26" s="169">
        <v>0</v>
      </c>
      <c r="Q26" s="18" t="str">
        <f t="shared" si="1"/>
        <v>-</v>
      </c>
      <c r="R26" s="18" t="str">
        <f t="shared" si="2"/>
        <v>Creme Culinário TP BRAVO - 1L (Simples)</v>
      </c>
    </row>
    <row r="27" spans="1:18" ht="16.5" x14ac:dyDescent="0.25">
      <c r="A27" s="2"/>
      <c r="B27" s="4"/>
      <c r="C27" s="18" t="str">
        <f t="shared" si="0"/>
        <v>Creme Culinário TP BRAVO - 1L (Simples)</v>
      </c>
      <c r="D27">
        <v>300</v>
      </c>
      <c r="E27" s="218">
        <v>3000</v>
      </c>
      <c r="F27" t="s">
        <v>234</v>
      </c>
      <c r="G27" t="s">
        <v>64</v>
      </c>
      <c r="H27" s="12">
        <v>8</v>
      </c>
      <c r="I27" s="13">
        <v>0.12</v>
      </c>
      <c r="J27" s="13">
        <v>0.18</v>
      </c>
      <c r="K27" s="13">
        <v>6.4999999999999997E-3</v>
      </c>
      <c r="L27" s="13">
        <v>0.03</v>
      </c>
      <c r="M27" s="13">
        <v>1.2E-2</v>
      </c>
      <c r="N27" s="13">
        <v>1.0800000000000001E-2</v>
      </c>
      <c r="P27" s="169">
        <v>0</v>
      </c>
      <c r="Q27" s="18" t="str">
        <f t="shared" si="1"/>
        <v>-</v>
      </c>
      <c r="R27" s="18" t="str">
        <f t="shared" si="2"/>
        <v>Marshmallow 500g</v>
      </c>
    </row>
    <row r="28" spans="1:18" ht="19.5" x14ac:dyDescent="0.25">
      <c r="A28" s="2"/>
      <c r="B28" s="6"/>
      <c r="C28" s="18" t="str">
        <f t="shared" si="0"/>
        <v>Marshmallow 500g</v>
      </c>
      <c r="D28">
        <f>'Cad3'!H31</f>
        <v>137</v>
      </c>
      <c r="E28" s="218">
        <f>'Cad3'!L31</f>
        <v>284.92483213500509</v>
      </c>
      <c r="F28" t="s">
        <v>92</v>
      </c>
      <c r="G28" t="s">
        <v>64</v>
      </c>
      <c r="H28" s="12">
        <v>9</v>
      </c>
      <c r="I28" s="13">
        <v>1.2500000000000001E-2</v>
      </c>
      <c r="J28" s="13">
        <v>0.12</v>
      </c>
      <c r="K28" s="13">
        <v>6.4999999999999997E-3</v>
      </c>
      <c r="L28" s="13">
        <v>0.03</v>
      </c>
      <c r="M28" s="13">
        <v>1.2E-2</v>
      </c>
      <c r="N28" s="13">
        <v>1.0800000000000001E-2</v>
      </c>
      <c r="O28" s="14"/>
      <c r="P28" s="169">
        <v>32</v>
      </c>
      <c r="Q28" s="18" t="str">
        <f t="shared" si="1"/>
        <v>-</v>
      </c>
      <c r="R28" s="18" t="str">
        <f t="shared" si="2"/>
        <v>Marshmallow 1kg</v>
      </c>
    </row>
    <row r="29" spans="1:18" x14ac:dyDescent="0.25">
      <c r="A29" s="2"/>
      <c r="B29" s="7"/>
      <c r="C29" s="18" t="str">
        <f t="shared" si="0"/>
        <v>Marshmallow 1kg</v>
      </c>
      <c r="D29">
        <f>'Cad3'!H30</f>
        <v>2500</v>
      </c>
      <c r="E29" s="218">
        <f>'Cad3'!L30</f>
        <v>5199.3582506387784</v>
      </c>
      <c r="F29" t="s">
        <v>202</v>
      </c>
      <c r="G29" t="s">
        <v>64</v>
      </c>
      <c r="H29" s="12">
        <v>16</v>
      </c>
      <c r="I29" s="13">
        <v>1.2500000000000001E-2</v>
      </c>
      <c r="J29" s="13">
        <v>0.12</v>
      </c>
      <c r="K29" s="13">
        <v>6.4999999999999997E-3</v>
      </c>
      <c r="L29" s="13">
        <v>0.03</v>
      </c>
      <c r="M29" s="13">
        <v>1.2E-2</v>
      </c>
      <c r="N29" s="13">
        <v>1.0800000000000001E-2</v>
      </c>
      <c r="O29" s="14"/>
      <c r="P29" s="169">
        <v>18</v>
      </c>
      <c r="Q29" s="18" t="str">
        <f t="shared" si="1"/>
        <v>-</v>
      </c>
      <c r="R29" s="18" t="str">
        <f>IF(G31="Tercerizado",F31,"-")</f>
        <v>Coco Fresco 250g</v>
      </c>
    </row>
    <row r="30" spans="1:18" x14ac:dyDescent="0.25">
      <c r="A30" s="2"/>
      <c r="B30" s="7"/>
      <c r="C30" s="18"/>
      <c r="D30">
        <v>50</v>
      </c>
      <c r="E30" s="218">
        <f>'Cad3'!L31</f>
        <v>284.92483213500509</v>
      </c>
      <c r="F30" t="s">
        <v>221</v>
      </c>
      <c r="G30" t="s">
        <v>64</v>
      </c>
      <c r="H30" s="12">
        <v>11</v>
      </c>
      <c r="I30" s="13">
        <v>1.2500000000000001E-2</v>
      </c>
      <c r="J30" s="13">
        <v>0.12</v>
      </c>
      <c r="K30" s="13">
        <v>6.4999999999999997E-3</v>
      </c>
      <c r="L30" s="13">
        <v>0.03</v>
      </c>
      <c r="M30" s="13">
        <v>1.2E-2</v>
      </c>
      <c r="N30" s="13">
        <v>1.0800000000000001E-2</v>
      </c>
      <c r="O30" s="14"/>
      <c r="P30" s="169">
        <v>18</v>
      </c>
    </row>
    <row r="31" spans="1:18" x14ac:dyDescent="0.25">
      <c r="A31" s="2"/>
      <c r="B31" s="2"/>
      <c r="C31" s="18" t="str">
        <f t="shared" si="0"/>
        <v>Coco Fresco 250g</v>
      </c>
      <c r="D31">
        <f>'Cad3'!H43</f>
        <v>300</v>
      </c>
      <c r="E31" s="218">
        <f>'Cad3'!L43</f>
        <v>623.92299007665338</v>
      </c>
      <c r="F31" t="s">
        <v>94</v>
      </c>
      <c r="G31" t="s">
        <v>64</v>
      </c>
      <c r="H31" s="12">
        <v>4.2</v>
      </c>
      <c r="I31" s="13">
        <v>2.5600000000000001E-2</v>
      </c>
      <c r="J31" s="13">
        <v>0.12</v>
      </c>
      <c r="K31" s="13">
        <v>0</v>
      </c>
      <c r="L31" s="13">
        <v>0</v>
      </c>
      <c r="M31" s="13">
        <v>1.2E-2</v>
      </c>
      <c r="N31" s="13">
        <v>1.0800000000000001E-2</v>
      </c>
      <c r="O31" s="14"/>
      <c r="P31" s="169">
        <v>60</v>
      </c>
      <c r="Q31" s="18" t="str">
        <f t="shared" si="1"/>
        <v>-</v>
      </c>
      <c r="R31" s="18" t="str">
        <f t="shared" si="2"/>
        <v>Coco Fresco 500g</v>
      </c>
    </row>
    <row r="32" spans="1:18" x14ac:dyDescent="0.25">
      <c r="A32" s="2"/>
      <c r="B32" s="2"/>
      <c r="C32" s="18" t="str">
        <f t="shared" si="0"/>
        <v>Coco Fresco 500g</v>
      </c>
      <c r="D32">
        <f>'Cad3'!H35</f>
        <v>1400</v>
      </c>
      <c r="E32" s="218">
        <f>'Cad3'!L35</f>
        <v>2911.6406203577158</v>
      </c>
      <c r="F32" t="s">
        <v>95</v>
      </c>
      <c r="G32" t="s">
        <v>64</v>
      </c>
      <c r="H32" s="12">
        <v>8</v>
      </c>
      <c r="I32" s="13">
        <v>2.5600000000000001E-2</v>
      </c>
      <c r="J32" s="13">
        <v>0.12</v>
      </c>
      <c r="K32" s="13">
        <v>0</v>
      </c>
      <c r="L32" s="13">
        <v>0</v>
      </c>
      <c r="M32" s="13">
        <v>1.2E-2</v>
      </c>
      <c r="N32" s="13">
        <v>1.0800000000000001E-2</v>
      </c>
      <c r="O32" s="14"/>
      <c r="P32" s="169">
        <v>30</v>
      </c>
      <c r="Q32" s="18" t="str">
        <f t="shared" si="1"/>
        <v>-</v>
      </c>
      <c r="R32" s="18" t="str">
        <f t="shared" si="2"/>
        <v>Coco Fresco 1kg</v>
      </c>
    </row>
    <row r="33" spans="1:18" x14ac:dyDescent="0.25">
      <c r="A33" s="2"/>
      <c r="B33" s="2"/>
      <c r="C33" s="18" t="str">
        <f t="shared" si="0"/>
        <v>Coco Fresco 1kg</v>
      </c>
      <c r="D33">
        <f>'Cad3'!H34</f>
        <v>1000</v>
      </c>
      <c r="E33" s="218">
        <f>'Cad3'!L34</f>
        <v>2079.7433002555113</v>
      </c>
      <c r="F33" t="s">
        <v>203</v>
      </c>
      <c r="G33" t="s">
        <v>64</v>
      </c>
      <c r="H33" s="12">
        <v>16</v>
      </c>
      <c r="I33" s="13">
        <v>2.5600000000000001E-2</v>
      </c>
      <c r="J33" s="13">
        <v>0.12</v>
      </c>
      <c r="K33" s="13">
        <v>0</v>
      </c>
      <c r="L33" s="13">
        <v>0</v>
      </c>
      <c r="M33" s="13">
        <v>1.2E-2</v>
      </c>
      <c r="N33" s="13">
        <v>1.0800000000000001E-2</v>
      </c>
      <c r="O33" s="14"/>
      <c r="P33" s="169">
        <v>15</v>
      </c>
      <c r="Q33" s="18" t="str">
        <f t="shared" si="1"/>
        <v>-</v>
      </c>
      <c r="R33" s="18" t="str">
        <f t="shared" si="2"/>
        <v>Coco Fresco FITA 1kg</v>
      </c>
    </row>
    <row r="34" spans="1:18" x14ac:dyDescent="0.25">
      <c r="A34" s="2"/>
      <c r="B34" s="2"/>
      <c r="C34" s="18" t="str">
        <f t="shared" si="0"/>
        <v>Coco Fresco FITA 1kg</v>
      </c>
      <c r="D34">
        <v>100</v>
      </c>
      <c r="E34" s="239">
        <v>30</v>
      </c>
      <c r="F34" t="s">
        <v>220</v>
      </c>
      <c r="G34" t="s">
        <v>64</v>
      </c>
      <c r="H34" s="12">
        <v>19</v>
      </c>
      <c r="I34" s="13">
        <v>2.5600000000000001E-2</v>
      </c>
      <c r="J34" s="13">
        <v>0.12</v>
      </c>
      <c r="K34" s="13">
        <v>0</v>
      </c>
      <c r="L34" s="13">
        <v>0</v>
      </c>
      <c r="M34" s="13">
        <v>1.2E-2</v>
      </c>
      <c r="N34" s="13">
        <v>1.0800000000000001E-2</v>
      </c>
      <c r="O34" s="14"/>
      <c r="P34" s="169">
        <v>15</v>
      </c>
      <c r="Q34" s="18" t="str">
        <f t="shared" si="1"/>
        <v>-</v>
      </c>
      <c r="R34" s="18" t="str">
        <f t="shared" si="2"/>
        <v>Coco Seco Fino 500g</v>
      </c>
    </row>
    <row r="35" spans="1:18" x14ac:dyDescent="0.25">
      <c r="A35" s="2"/>
      <c r="B35" s="2"/>
      <c r="C35" s="18" t="str">
        <f t="shared" si="0"/>
        <v>Coco Seco Fino 500g</v>
      </c>
      <c r="D35">
        <f>'Cad3'!H32</f>
        <v>369</v>
      </c>
      <c r="E35" s="218">
        <f>'Cad3'!L32</f>
        <v>767.4252777942836</v>
      </c>
      <c r="F35" t="s">
        <v>137</v>
      </c>
      <c r="G35" t="s">
        <v>64</v>
      </c>
      <c r="H35" s="12">
        <v>9</v>
      </c>
      <c r="I35" s="13">
        <v>0.12</v>
      </c>
      <c r="J35" s="13">
        <v>0.12</v>
      </c>
      <c r="K35" s="13">
        <v>0</v>
      </c>
      <c r="L35" s="13">
        <v>0</v>
      </c>
      <c r="M35" s="13">
        <v>1.2E-2</v>
      </c>
      <c r="N35" s="13">
        <v>1.0800000000000001E-2</v>
      </c>
      <c r="P35" s="169">
        <v>15</v>
      </c>
      <c r="Q35" s="18" t="str">
        <f t="shared" si="1"/>
        <v>-</v>
      </c>
      <c r="R35" s="18" t="str">
        <f t="shared" si="2"/>
        <v>Coco Seco Flocos 500g</v>
      </c>
    </row>
    <row r="36" spans="1:18" x14ac:dyDescent="0.25">
      <c r="A36" s="2"/>
      <c r="B36" s="2"/>
      <c r="C36" s="18" t="str">
        <f t="shared" si="0"/>
        <v>Coco Seco Flocos 500g</v>
      </c>
      <c r="D36">
        <f>'Cad3'!H33</f>
        <v>600</v>
      </c>
      <c r="E36" s="218">
        <f>'Cad3'!L33</f>
        <v>1247.8459801533068</v>
      </c>
      <c r="F36" t="s">
        <v>136</v>
      </c>
      <c r="G36" t="s">
        <v>64</v>
      </c>
      <c r="H36" s="12">
        <v>16</v>
      </c>
      <c r="I36" s="13">
        <v>0.12</v>
      </c>
      <c r="J36" s="13">
        <v>0.12</v>
      </c>
      <c r="K36" s="13">
        <v>0</v>
      </c>
      <c r="L36" s="13">
        <v>0</v>
      </c>
      <c r="M36" s="13">
        <v>1.2E-2</v>
      </c>
      <c r="N36" s="13">
        <v>1.0800000000000001E-2</v>
      </c>
      <c r="P36" s="169">
        <v>15</v>
      </c>
      <c r="Q36" s="18" t="str">
        <f t="shared" si="1"/>
        <v>-</v>
      </c>
      <c r="R36" s="18" t="str">
        <f t="shared" si="2"/>
        <v>Coco Seco Flocos 5kg</v>
      </c>
    </row>
    <row r="37" spans="1:18" x14ac:dyDescent="0.25">
      <c r="A37" s="2"/>
      <c r="B37" s="2"/>
      <c r="C37" s="18" t="str">
        <f t="shared" si="0"/>
        <v>Coco Seco Flocos 5kg</v>
      </c>
      <c r="D37">
        <f>100</f>
        <v>100</v>
      </c>
      <c r="E37" s="239">
        <v>100</v>
      </c>
      <c r="F37" t="s">
        <v>134</v>
      </c>
      <c r="G37" t="s">
        <v>64</v>
      </c>
      <c r="H37" s="12">
        <v>140</v>
      </c>
      <c r="I37" s="13">
        <v>0.12</v>
      </c>
      <c r="J37" s="13">
        <v>0.12</v>
      </c>
      <c r="K37" s="13">
        <v>0</v>
      </c>
      <c r="L37" s="13">
        <v>0</v>
      </c>
      <c r="M37" s="13">
        <v>1.2E-2</v>
      </c>
      <c r="N37" s="13">
        <v>1.0800000000000001E-2</v>
      </c>
      <c r="Q37" s="18" t="str">
        <f t="shared" si="1"/>
        <v>-</v>
      </c>
      <c r="R37" s="18" t="str">
        <f t="shared" si="2"/>
        <v>Saco Confeitar P (50 Unid)</v>
      </c>
    </row>
    <row r="38" spans="1:18" x14ac:dyDescent="0.25">
      <c r="A38" s="2"/>
      <c r="B38" s="2"/>
      <c r="C38" s="18" t="str">
        <f t="shared" si="0"/>
        <v>Saco Confeitar P (50 Unid)</v>
      </c>
      <c r="D38">
        <v>100</v>
      </c>
      <c r="E38" s="239">
        <v>100</v>
      </c>
      <c r="F38" t="s">
        <v>226</v>
      </c>
      <c r="G38" t="s">
        <v>64</v>
      </c>
      <c r="H38" s="12">
        <v>14.3</v>
      </c>
      <c r="I38" s="13">
        <v>0.18</v>
      </c>
      <c r="J38" s="13">
        <v>0.18</v>
      </c>
      <c r="K38" s="13">
        <v>1.6500000000000001E-2</v>
      </c>
      <c r="L38" s="13">
        <v>7.5999999999999998E-2</v>
      </c>
      <c r="M38" s="13">
        <v>1.2E-2</v>
      </c>
      <c r="N38" s="13">
        <v>1.0800000000000001E-2</v>
      </c>
      <c r="O38" s="14">
        <v>1</v>
      </c>
      <c r="P38" s="169">
        <v>50</v>
      </c>
      <c r="Q38" s="18" t="str">
        <f t="shared" si="1"/>
        <v>-</v>
      </c>
      <c r="R38" s="18" t="str">
        <f t="shared" si="2"/>
        <v>Saco Confeitar M (50 Unid)</v>
      </c>
    </row>
    <row r="39" spans="1:18" x14ac:dyDescent="0.25">
      <c r="A39" s="2"/>
      <c r="B39" s="2"/>
      <c r="C39" s="18" t="str">
        <f t="shared" si="0"/>
        <v>Saco Confeitar M (50 Unid)</v>
      </c>
      <c r="D39">
        <v>100</v>
      </c>
      <c r="E39" s="239">
        <v>100</v>
      </c>
      <c r="F39" t="s">
        <v>227</v>
      </c>
      <c r="G39" t="s">
        <v>64</v>
      </c>
      <c r="H39" s="12">
        <v>15.2</v>
      </c>
      <c r="I39" s="13">
        <v>0.18</v>
      </c>
      <c r="J39" s="13">
        <v>0.18</v>
      </c>
      <c r="K39" s="13">
        <v>1.6500000000000001E-2</v>
      </c>
      <c r="L39" s="13">
        <v>7.5999999999999998E-2</v>
      </c>
      <c r="M39" s="13">
        <v>1.2E-2</v>
      </c>
      <c r="N39" s="13">
        <v>1.0800000000000001E-2</v>
      </c>
      <c r="O39" s="14">
        <v>1</v>
      </c>
      <c r="P39" s="14">
        <v>50</v>
      </c>
      <c r="Q39" s="18" t="str">
        <f t="shared" si="1"/>
        <v>-</v>
      </c>
      <c r="R39" s="18" t="str">
        <f t="shared" si="2"/>
        <v>Saco Confeitar G (50 Unid)</v>
      </c>
    </row>
    <row r="40" spans="1:18" x14ac:dyDescent="0.25">
      <c r="A40" s="2"/>
      <c r="B40" s="2"/>
      <c r="C40" s="18" t="str">
        <f t="shared" si="0"/>
        <v>Saco Confeitar G (50 Unid)</v>
      </c>
      <c r="D40">
        <v>100</v>
      </c>
      <c r="E40" s="239">
        <v>100</v>
      </c>
      <c r="F40" t="s">
        <v>228</v>
      </c>
      <c r="G40" t="s">
        <v>64</v>
      </c>
      <c r="H40" s="12">
        <v>16.5</v>
      </c>
      <c r="I40" s="13">
        <v>0.18</v>
      </c>
      <c r="J40" s="13">
        <v>0.18</v>
      </c>
      <c r="K40" s="13">
        <v>1.6500000000000001E-2</v>
      </c>
      <c r="L40" s="13">
        <v>7.5999999999999998E-2</v>
      </c>
      <c r="M40" s="13">
        <v>1.2E-2</v>
      </c>
      <c r="N40" s="13">
        <v>1.0800000000000001E-2</v>
      </c>
      <c r="O40" s="14">
        <v>1</v>
      </c>
      <c r="P40" s="169">
        <v>50</v>
      </c>
      <c r="Q40" s="18" t="str">
        <f t="shared" si="1"/>
        <v>-</v>
      </c>
      <c r="R40" s="18" t="str">
        <f t="shared" si="2"/>
        <v>Massa folhada 500g</v>
      </c>
    </row>
    <row r="41" spans="1:18" x14ac:dyDescent="0.25">
      <c r="A41" s="2"/>
      <c r="B41" s="2"/>
      <c r="C41" s="18" t="str">
        <f t="shared" si="0"/>
        <v>Massa folhada 500g</v>
      </c>
      <c r="D41">
        <v>100</v>
      </c>
      <c r="E41" s="218">
        <v>100</v>
      </c>
      <c r="F41" t="s">
        <v>232</v>
      </c>
      <c r="G41" t="s">
        <v>64</v>
      </c>
      <c r="H41" s="12">
        <v>12</v>
      </c>
      <c r="I41" s="13">
        <v>1.2500000000000001E-2</v>
      </c>
      <c r="J41" s="13">
        <v>0.12</v>
      </c>
      <c r="K41" s="13">
        <v>6.4999999999999997E-3</v>
      </c>
      <c r="L41" s="13">
        <v>0.03</v>
      </c>
      <c r="M41" s="13">
        <v>1.2E-2</v>
      </c>
      <c r="N41" s="13">
        <v>1.0800000000000001E-2</v>
      </c>
      <c r="O41" s="14"/>
      <c r="P41" s="169">
        <v>15</v>
      </c>
      <c r="Q41" s="18" t="str">
        <f t="shared" si="1"/>
        <v>-</v>
      </c>
      <c r="R41" s="18" t="str">
        <f t="shared" si="2"/>
        <v>Massa folhada 1kg</v>
      </c>
    </row>
    <row r="42" spans="1:18" x14ac:dyDescent="0.25">
      <c r="A42" s="2"/>
      <c r="B42" s="2"/>
      <c r="C42" s="18" t="str">
        <f t="shared" si="0"/>
        <v>Massa folhada 1kg</v>
      </c>
      <c r="D42">
        <f>'Cad3'!H36</f>
        <v>222</v>
      </c>
      <c r="E42" s="218">
        <f>'Cad3'!L36</f>
        <v>461.7030126567235</v>
      </c>
      <c r="F42" t="s">
        <v>201</v>
      </c>
      <c r="G42" t="s">
        <v>64</v>
      </c>
      <c r="H42" s="12">
        <v>19</v>
      </c>
      <c r="I42" s="13">
        <v>1.2500000000000001E-2</v>
      </c>
      <c r="J42" s="13">
        <v>0.12</v>
      </c>
      <c r="K42" s="13">
        <v>6.4999999999999997E-3</v>
      </c>
      <c r="L42" s="13">
        <v>0.03</v>
      </c>
      <c r="M42" s="13">
        <v>1.2E-2</v>
      </c>
      <c r="N42" s="13">
        <v>1.0800000000000001E-2</v>
      </c>
      <c r="O42" s="14"/>
      <c r="P42" s="169">
        <v>15</v>
      </c>
      <c r="Q42" s="18" t="str">
        <f t="shared" si="1"/>
        <v>-</v>
      </c>
      <c r="R42" s="18" t="str">
        <f t="shared" si="2"/>
        <v>Massa folhada 2.2kg</v>
      </c>
    </row>
    <row r="43" spans="1:18" x14ac:dyDescent="0.25">
      <c r="A43" s="2"/>
      <c r="B43" s="2"/>
      <c r="C43" s="18" t="str">
        <f t="shared" si="0"/>
        <v>Massa folhada 2.2kg</v>
      </c>
      <c r="D43">
        <f>'Cad3'!H37</f>
        <v>44</v>
      </c>
      <c r="E43" s="218">
        <f>'Cad3'!L37</f>
        <v>91.5087052112425</v>
      </c>
      <c r="F43" t="s">
        <v>200</v>
      </c>
      <c r="G43" t="s">
        <v>64</v>
      </c>
      <c r="H43" s="12">
        <v>38</v>
      </c>
      <c r="I43" s="13">
        <v>1.2500000000000001E-2</v>
      </c>
      <c r="J43" s="13">
        <v>0.12</v>
      </c>
      <c r="K43" s="13">
        <v>6.4999999999999997E-3</v>
      </c>
      <c r="L43" s="13">
        <v>0.03</v>
      </c>
      <c r="M43" s="13">
        <v>1.2E-2</v>
      </c>
      <c r="N43" s="13">
        <v>1.0800000000000001E-2</v>
      </c>
      <c r="O43" s="14"/>
      <c r="P43" s="169">
        <v>9</v>
      </c>
      <c r="Q43" s="18" t="str">
        <f t="shared" si="1"/>
        <v>-</v>
      </c>
      <c r="R43" s="18" t="str">
        <f t="shared" si="2"/>
        <v>Massa Semi folhada 2kg</v>
      </c>
    </row>
    <row r="44" spans="1:18" ht="16.5" x14ac:dyDescent="0.25">
      <c r="A44" s="2"/>
      <c r="B44" s="5"/>
      <c r="C44" s="18" t="str">
        <f t="shared" si="0"/>
        <v>Massa Semi folhada 2kg</v>
      </c>
      <c r="D44">
        <f>'Cad3'!H38</f>
        <v>62</v>
      </c>
      <c r="E44" s="218">
        <f>'Cad3'!L38</f>
        <v>128.94408461584169</v>
      </c>
      <c r="F44" t="s">
        <v>199</v>
      </c>
      <c r="G44" t="s">
        <v>64</v>
      </c>
      <c r="H44" s="12">
        <v>36.6</v>
      </c>
      <c r="I44" s="13">
        <v>1.2500000000000001E-2</v>
      </c>
      <c r="J44" s="13">
        <v>0.12</v>
      </c>
      <c r="K44" s="13">
        <v>6.4999999999999997E-3</v>
      </c>
      <c r="L44" s="13">
        <v>0.03</v>
      </c>
      <c r="M44" s="13">
        <v>1.2E-2</v>
      </c>
      <c r="N44" s="13">
        <v>1.0800000000000001E-2</v>
      </c>
      <c r="O44" s="14"/>
      <c r="P44" s="169">
        <v>8</v>
      </c>
      <c r="Q44" s="18" t="str">
        <f t="shared" si="1"/>
        <v>-</v>
      </c>
      <c r="R44" s="18" t="str">
        <f t="shared" si="2"/>
        <v>OVOS TP 1L</v>
      </c>
    </row>
    <row r="45" spans="1:18" ht="19.5" x14ac:dyDescent="0.25">
      <c r="A45" s="2"/>
      <c r="B45" s="8"/>
      <c r="C45" s="18" t="str">
        <f t="shared" si="0"/>
        <v>OVOS TP 1L</v>
      </c>
      <c r="D45">
        <f>'Cad3'!H39</f>
        <v>4105</v>
      </c>
      <c r="E45" s="218">
        <f>'Cad3'!L39</f>
        <v>8537.3462475488741</v>
      </c>
      <c r="F45" t="s">
        <v>101</v>
      </c>
      <c r="G45" t="s">
        <v>64</v>
      </c>
      <c r="H45" s="12">
        <v>15.6</v>
      </c>
      <c r="I45" s="13">
        <v>0.12</v>
      </c>
      <c r="J45" s="13">
        <v>7.0000000000000007E-2</v>
      </c>
      <c r="K45" s="13">
        <v>6.4999999999999997E-3</v>
      </c>
      <c r="L45" s="13">
        <v>0.03</v>
      </c>
      <c r="M45" s="13">
        <v>1.2E-2</v>
      </c>
      <c r="N45" s="13">
        <v>1.0800000000000001E-2</v>
      </c>
      <c r="P45" s="169">
        <v>0</v>
      </c>
      <c r="Q45" s="18" t="str">
        <f t="shared" si="1"/>
        <v>-</v>
      </c>
      <c r="R45" s="18" t="str">
        <f t="shared" si="2"/>
        <v>GEMA TP 1L</v>
      </c>
    </row>
    <row r="46" spans="1:18" ht="19.5" x14ac:dyDescent="0.25">
      <c r="A46" s="2"/>
      <c r="B46" s="8"/>
      <c r="C46" s="18" t="str">
        <f t="shared" si="0"/>
        <v>GEMA TP 1L</v>
      </c>
      <c r="D46">
        <f>'Cad3'!H40</f>
        <v>1275</v>
      </c>
      <c r="E46" s="218">
        <f>'Cad3'!L40</f>
        <v>2651.6727078257768</v>
      </c>
      <c r="F46" t="s">
        <v>102</v>
      </c>
      <c r="G46" t="s">
        <v>64</v>
      </c>
      <c r="H46" s="12">
        <v>29.2</v>
      </c>
      <c r="I46" s="13">
        <v>0.12</v>
      </c>
      <c r="J46" s="13">
        <v>7.0000000000000007E-2</v>
      </c>
      <c r="K46" s="13">
        <v>6.4999999999999997E-3</v>
      </c>
      <c r="L46" s="13">
        <v>0.03</v>
      </c>
      <c r="M46" s="13">
        <v>1.2E-2</v>
      </c>
      <c r="N46" s="13">
        <v>1.0800000000000001E-2</v>
      </c>
      <c r="P46" s="169">
        <v>0</v>
      </c>
      <c r="Q46" s="18" t="str">
        <f t="shared" si="1"/>
        <v>-</v>
      </c>
      <c r="R46" s="18" t="str">
        <f t="shared" si="2"/>
        <v>CLARA TP 1L</v>
      </c>
    </row>
    <row r="47" spans="1:18" x14ac:dyDescent="0.25">
      <c r="A47" s="2"/>
      <c r="B47" s="7"/>
      <c r="C47" s="18" t="str">
        <f t="shared" si="0"/>
        <v>CLARA TP 1L</v>
      </c>
      <c r="D47">
        <f>'Cad3'!H41</f>
        <v>230</v>
      </c>
      <c r="E47" s="218">
        <f>'Cad3'!L41</f>
        <v>478.34095905876762</v>
      </c>
      <c r="F47" t="s">
        <v>103</v>
      </c>
      <c r="G47" t="s">
        <v>64</v>
      </c>
      <c r="H47" s="12">
        <v>12.3</v>
      </c>
      <c r="I47" s="13">
        <v>0.12</v>
      </c>
      <c r="J47" s="13">
        <v>7.0000000000000007E-2</v>
      </c>
      <c r="K47" s="13">
        <v>6.4999999999999997E-3</v>
      </c>
      <c r="L47" s="13">
        <v>0.03</v>
      </c>
      <c r="M47" s="13">
        <v>1.2E-2</v>
      </c>
      <c r="N47" s="13">
        <v>1.0800000000000001E-2</v>
      </c>
      <c r="P47" s="169">
        <v>0</v>
      </c>
      <c r="Q47" s="18" t="str">
        <f t="shared" si="1"/>
        <v>-</v>
      </c>
      <c r="R47" s="18" t="str">
        <f t="shared" si="2"/>
        <v>Pão de queijo Tradicional</v>
      </c>
    </row>
    <row r="48" spans="1:18" x14ac:dyDescent="0.25">
      <c r="A48" s="2"/>
      <c r="B48" s="2"/>
      <c r="C48" s="18" t="str">
        <f t="shared" si="0"/>
        <v>Pão de queijo Tradicional</v>
      </c>
      <c r="D48">
        <v>100</v>
      </c>
      <c r="E48" s="218">
        <f>'Cad3'!L42</f>
        <v>60.312555707409828</v>
      </c>
      <c r="F48" t="s">
        <v>99</v>
      </c>
      <c r="G48" t="s">
        <v>64</v>
      </c>
      <c r="H48" s="12">
        <v>15</v>
      </c>
      <c r="I48" s="13">
        <v>1.2500000000000001E-2</v>
      </c>
      <c r="J48" s="13">
        <v>0.12</v>
      </c>
      <c r="K48" s="13">
        <v>6.4999999999999997E-3</v>
      </c>
      <c r="L48" s="13">
        <v>0.03</v>
      </c>
      <c r="M48" s="13">
        <v>1.2E-2</v>
      </c>
      <c r="N48" s="13">
        <v>1.0800000000000001E-2</v>
      </c>
      <c r="P48" s="169">
        <v>12</v>
      </c>
      <c r="Q48" s="18" t="str">
        <f t="shared" si="1"/>
        <v>-</v>
      </c>
      <c r="R48" s="18" t="str">
        <f t="shared" si="2"/>
        <v>Pão de queijo Recheado</v>
      </c>
    </row>
    <row r="49" spans="1:18" x14ac:dyDescent="0.25">
      <c r="A49" s="2"/>
      <c r="B49" s="2"/>
      <c r="C49" s="18" t="str">
        <f t="shared" si="0"/>
        <v>Pão de queijo Recheado</v>
      </c>
      <c r="D49">
        <v>100</v>
      </c>
      <c r="E49" s="12">
        <v>63.92</v>
      </c>
      <c r="F49" t="s">
        <v>100</v>
      </c>
      <c r="G49" t="s">
        <v>64</v>
      </c>
      <c r="H49" s="12">
        <v>21.5</v>
      </c>
      <c r="I49" s="13">
        <v>1.2500000000000001E-2</v>
      </c>
      <c r="J49" s="13">
        <v>0.12</v>
      </c>
      <c r="K49" s="13">
        <v>6.4999999999999997E-3</v>
      </c>
      <c r="L49" s="13">
        <v>0.03</v>
      </c>
      <c r="M49" s="13">
        <v>1.2E-2</v>
      </c>
      <c r="N49" s="13">
        <v>1.0800000000000001E-2</v>
      </c>
      <c r="P49" s="169">
        <v>12</v>
      </c>
      <c r="Q49" s="18" t="str">
        <f t="shared" si="1"/>
        <v>-</v>
      </c>
      <c r="R49" s="18" t="str">
        <f t="shared" si="2"/>
        <v>Abacaxi Congelado 500g</v>
      </c>
    </row>
    <row r="50" spans="1:18" x14ac:dyDescent="0.25">
      <c r="A50" s="2"/>
      <c r="B50" s="2"/>
      <c r="C50" s="18" t="str">
        <f t="shared" si="0"/>
        <v>Abacaxi Congelado 500g</v>
      </c>
      <c r="D50">
        <v>100</v>
      </c>
      <c r="E50" s="12">
        <v>30</v>
      </c>
      <c r="F50" t="s">
        <v>145</v>
      </c>
      <c r="G50" t="s">
        <v>64</v>
      </c>
      <c r="H50" s="12"/>
      <c r="I50" s="13">
        <v>1.2500000000000001E-2</v>
      </c>
      <c r="J50" s="13">
        <v>0.12</v>
      </c>
      <c r="K50" s="13">
        <v>0</v>
      </c>
      <c r="L50" s="13">
        <v>0</v>
      </c>
      <c r="M50" s="13">
        <v>1.2E-2</v>
      </c>
      <c r="N50" s="13">
        <v>1.0800000000000001E-2</v>
      </c>
      <c r="Q50" s="18" t="str">
        <f t="shared" si="1"/>
        <v>-</v>
      </c>
      <c r="R50" s="18" t="str">
        <f t="shared" si="2"/>
        <v>Morango Congelado 500g</v>
      </c>
    </row>
    <row r="51" spans="1:18" x14ac:dyDescent="0.25">
      <c r="A51" s="2"/>
      <c r="B51" s="259"/>
      <c r="C51" s="18" t="str">
        <f t="shared" si="0"/>
        <v>Morango Congelado 500g</v>
      </c>
      <c r="D51">
        <v>100</v>
      </c>
      <c r="E51" s="12">
        <v>30</v>
      </c>
      <c r="F51" t="s">
        <v>144</v>
      </c>
      <c r="G51" t="s">
        <v>64</v>
      </c>
      <c r="H51" s="12"/>
      <c r="I51" s="13">
        <v>1.2500000000000001E-2</v>
      </c>
      <c r="J51" s="13">
        <v>0.12</v>
      </c>
      <c r="K51" s="13">
        <v>0</v>
      </c>
      <c r="L51" s="13">
        <v>0</v>
      </c>
      <c r="M51" s="13">
        <v>1.2E-2</v>
      </c>
      <c r="N51" s="13">
        <v>1.0800000000000001E-2</v>
      </c>
      <c r="Q51" s="18" t="str">
        <f t="shared" si="1"/>
        <v>-</v>
      </c>
      <c r="R51" s="18" t="str">
        <f t="shared" si="2"/>
        <v>-</v>
      </c>
    </row>
    <row r="52" spans="1:18" x14ac:dyDescent="0.25">
      <c r="A52" s="2"/>
      <c r="B52" s="259"/>
      <c r="H52" s="12"/>
      <c r="I52" s="13"/>
      <c r="J52" s="13"/>
      <c r="K52" s="13"/>
      <c r="L52" s="13"/>
      <c r="M52" s="13"/>
      <c r="N52" s="13"/>
      <c r="R52" s="18" t="str">
        <f t="shared" si="2"/>
        <v>-</v>
      </c>
    </row>
    <row r="53" spans="1:18" x14ac:dyDescent="0.25">
      <c r="A53" s="2"/>
      <c r="B53" s="259"/>
      <c r="H53" s="12"/>
      <c r="I53" s="13"/>
      <c r="J53" s="13"/>
      <c r="K53" s="13"/>
      <c r="L53" s="13"/>
      <c r="M53" s="13"/>
      <c r="N53" s="13"/>
      <c r="R53" s="18" t="str">
        <f t="shared" si="2"/>
        <v>-</v>
      </c>
    </row>
    <row r="54" spans="1:18" x14ac:dyDescent="0.25">
      <c r="A54" s="2"/>
      <c r="B54" s="259"/>
      <c r="H54" s="12"/>
      <c r="I54" s="13"/>
      <c r="J54" s="13"/>
      <c r="K54" s="13"/>
      <c r="L54" s="13"/>
      <c r="M54" s="13"/>
      <c r="N54" s="13"/>
      <c r="R54" s="18" t="str">
        <f t="shared" si="2"/>
        <v>-</v>
      </c>
    </row>
    <row r="55" spans="1:18" x14ac:dyDescent="0.25">
      <c r="A55" s="2"/>
      <c r="B55" s="2"/>
      <c r="H55" s="12"/>
      <c r="I55" s="13"/>
      <c r="J55" s="13"/>
      <c r="K55" s="13"/>
      <c r="L55" s="13"/>
      <c r="M55" s="13"/>
      <c r="N55" s="13"/>
      <c r="R55" s="18" t="str">
        <f t="shared" si="2"/>
        <v>-</v>
      </c>
    </row>
    <row r="56" spans="1:18" x14ac:dyDescent="0.25">
      <c r="A56" s="2"/>
      <c r="B56" s="2"/>
      <c r="H56" s="12"/>
      <c r="I56" s="13"/>
      <c r="J56" s="13"/>
      <c r="K56" s="13"/>
      <c r="L56" s="13"/>
      <c r="M56" s="13"/>
      <c r="N56" s="13"/>
      <c r="Q56" s="18" t="str">
        <f t="shared" si="1"/>
        <v>-</v>
      </c>
      <c r="R56" s="18" t="str">
        <f t="shared" si="2"/>
        <v>-</v>
      </c>
    </row>
    <row r="57" spans="1:18" x14ac:dyDescent="0.25">
      <c r="A57" s="2"/>
      <c r="B57" s="2"/>
      <c r="Q57" s="18" t="str">
        <f t="shared" si="1"/>
        <v>-</v>
      </c>
      <c r="R57" s="18" t="str">
        <f t="shared" si="2"/>
        <v>-</v>
      </c>
    </row>
    <row r="58" spans="1:18" x14ac:dyDescent="0.25">
      <c r="A58" s="2"/>
      <c r="B58" s="2"/>
      <c r="Q58" s="18" t="str">
        <f t="shared" si="1"/>
        <v>-</v>
      </c>
      <c r="R58" s="18" t="str">
        <f t="shared" si="2"/>
        <v>-</v>
      </c>
    </row>
    <row r="59" spans="1:18" x14ac:dyDescent="0.25">
      <c r="A59" s="2"/>
      <c r="B59" s="2"/>
      <c r="Q59" s="18" t="str">
        <f t="shared" si="1"/>
        <v>-</v>
      </c>
      <c r="R59" s="18" t="str">
        <f t="shared" si="2"/>
        <v>-</v>
      </c>
    </row>
    <row r="60" spans="1:18" x14ac:dyDescent="0.25">
      <c r="A60" s="2"/>
      <c r="B60" s="2"/>
      <c r="H60" s="12"/>
      <c r="I60" s="13"/>
      <c r="J60" s="13"/>
      <c r="K60" s="13"/>
      <c r="L60" s="13"/>
      <c r="M60" s="13"/>
      <c r="N60" s="13"/>
      <c r="O60" s="14"/>
      <c r="P60" s="169"/>
      <c r="Q60" s="18" t="str">
        <f t="shared" si="1"/>
        <v>-</v>
      </c>
      <c r="R60" s="18" t="str">
        <f t="shared" si="2"/>
        <v>-</v>
      </c>
    </row>
    <row r="61" spans="1:18" x14ac:dyDescent="0.25">
      <c r="A61" s="2"/>
      <c r="B61" s="2"/>
      <c r="H61" s="12"/>
      <c r="I61" s="13"/>
      <c r="J61" s="13"/>
      <c r="K61" s="13"/>
      <c r="L61" s="13"/>
      <c r="M61" s="13"/>
      <c r="N61" s="13"/>
      <c r="O61" s="14"/>
      <c r="P61" s="169"/>
      <c r="Q61" s="18" t="str">
        <f t="shared" si="1"/>
        <v>-</v>
      </c>
      <c r="R61" s="18" t="str">
        <f t="shared" si="2"/>
        <v>-</v>
      </c>
    </row>
    <row r="62" spans="1:18" x14ac:dyDescent="0.25">
      <c r="A62" s="2"/>
      <c r="B62" s="2"/>
      <c r="H62" s="12"/>
      <c r="I62" s="13"/>
      <c r="J62" s="13"/>
      <c r="K62" s="13"/>
      <c r="L62" s="13"/>
      <c r="M62" s="13"/>
      <c r="N62" s="13"/>
      <c r="O62" s="14"/>
      <c r="P62" s="169"/>
      <c r="Q62" s="18" t="str">
        <f t="shared" si="1"/>
        <v>-</v>
      </c>
      <c r="R62" s="18" t="str">
        <f t="shared" si="2"/>
        <v>-</v>
      </c>
    </row>
    <row r="63" spans="1:18" x14ac:dyDescent="0.25">
      <c r="A63" s="2"/>
      <c r="B63" s="2"/>
      <c r="H63" s="12"/>
      <c r="I63" s="13"/>
      <c r="J63" s="13"/>
      <c r="K63" s="13"/>
      <c r="L63" s="13"/>
      <c r="M63" s="13"/>
      <c r="N63" s="13"/>
      <c r="O63" s="14"/>
      <c r="P63" s="169"/>
      <c r="Q63" s="18" t="str">
        <f t="shared" si="1"/>
        <v>-</v>
      </c>
      <c r="R63" s="18" t="str">
        <f t="shared" si="2"/>
        <v>-</v>
      </c>
    </row>
    <row r="64" spans="1:18" x14ac:dyDescent="0.25">
      <c r="A64" s="2"/>
      <c r="B64" s="2"/>
      <c r="H64" s="12"/>
      <c r="I64" s="13"/>
      <c r="J64" s="13"/>
      <c r="K64" s="13"/>
      <c r="L64" s="13"/>
      <c r="M64" s="13"/>
      <c r="N64" s="13"/>
      <c r="O64" s="14"/>
      <c r="P64" s="169"/>
      <c r="Q64" s="18" t="str">
        <f t="shared" si="1"/>
        <v>-</v>
      </c>
      <c r="R64" s="18" t="str">
        <f t="shared" si="2"/>
        <v>-</v>
      </c>
    </row>
    <row r="65" spans="1:18" x14ac:dyDescent="0.25">
      <c r="A65" s="2"/>
      <c r="B65" s="2"/>
      <c r="H65" s="12"/>
      <c r="I65" s="13"/>
      <c r="J65" s="13"/>
      <c r="K65" s="13"/>
      <c r="L65" s="13"/>
      <c r="M65" s="13"/>
      <c r="N65" s="13"/>
      <c r="O65" s="14"/>
      <c r="P65" s="169"/>
      <c r="Q65" s="18" t="str">
        <f t="shared" si="1"/>
        <v>-</v>
      </c>
      <c r="R65" s="18" t="str">
        <f t="shared" si="2"/>
        <v>-</v>
      </c>
    </row>
    <row r="66" spans="1:18" x14ac:dyDescent="0.25">
      <c r="B66" s="2"/>
      <c r="H66" s="12"/>
      <c r="I66" s="13"/>
      <c r="J66" s="13"/>
      <c r="K66" s="13"/>
      <c r="L66" s="13"/>
      <c r="M66" s="13"/>
      <c r="N66" s="13"/>
      <c r="O66" s="14"/>
      <c r="P66" s="169"/>
      <c r="Q66" s="18" t="str">
        <f t="shared" si="1"/>
        <v>-</v>
      </c>
      <c r="R66" s="18" t="str">
        <f t="shared" si="2"/>
        <v>-</v>
      </c>
    </row>
    <row r="67" spans="1:18" x14ac:dyDescent="0.25">
      <c r="B67" s="2"/>
      <c r="H67" s="12"/>
      <c r="I67" s="13"/>
      <c r="J67" s="13"/>
      <c r="K67" s="13"/>
      <c r="L67" s="13"/>
      <c r="M67" s="13"/>
      <c r="N67" s="13"/>
      <c r="O67" s="14"/>
      <c r="P67" s="169"/>
      <c r="Q67" s="18" t="str">
        <f t="shared" si="1"/>
        <v>-</v>
      </c>
      <c r="R67" s="18" t="str">
        <f t="shared" si="2"/>
        <v>-</v>
      </c>
    </row>
    <row r="68" spans="1:18" x14ac:dyDescent="0.25">
      <c r="B68" s="2"/>
      <c r="H68" s="12"/>
      <c r="I68" s="13"/>
      <c r="J68" s="13"/>
      <c r="K68" s="13"/>
      <c r="L68" s="13"/>
      <c r="M68" s="13"/>
      <c r="N68" s="13"/>
      <c r="P68" s="169"/>
      <c r="Q68" s="18" t="str">
        <f t="shared" si="1"/>
        <v>-</v>
      </c>
      <c r="R68" s="18" t="str">
        <f t="shared" si="2"/>
        <v>-</v>
      </c>
    </row>
    <row r="69" spans="1:18" x14ac:dyDescent="0.25">
      <c r="B69" s="2"/>
      <c r="H69" s="12"/>
      <c r="I69" s="13"/>
      <c r="J69" s="13"/>
      <c r="K69" s="13"/>
      <c r="L69" s="13"/>
      <c r="M69" s="13"/>
      <c r="N69" s="13"/>
      <c r="P69" s="169"/>
      <c r="Q69" s="18" t="str">
        <f t="shared" si="1"/>
        <v>-</v>
      </c>
      <c r="R69" s="18" t="str">
        <f t="shared" si="2"/>
        <v>-</v>
      </c>
    </row>
    <row r="70" spans="1:18" x14ac:dyDescent="0.25">
      <c r="B70" s="2"/>
      <c r="H70" s="12"/>
      <c r="I70" s="13"/>
      <c r="J70" s="13"/>
      <c r="K70" s="13"/>
      <c r="L70" s="13"/>
      <c r="M70" s="13"/>
      <c r="N70" s="13"/>
      <c r="P70" s="169"/>
      <c r="Q70" s="18" t="str">
        <f t="shared" si="1"/>
        <v>-</v>
      </c>
      <c r="R70" s="18" t="str">
        <f t="shared" si="2"/>
        <v>-</v>
      </c>
    </row>
    <row r="71" spans="1:18" x14ac:dyDescent="0.25">
      <c r="B71" s="2"/>
      <c r="H71" s="12"/>
      <c r="I71" s="13"/>
      <c r="J71" s="13"/>
      <c r="K71" s="13"/>
      <c r="L71" s="13"/>
      <c r="M71" s="13"/>
      <c r="N71" s="13"/>
      <c r="P71" s="169"/>
      <c r="Q71" s="18" t="str">
        <f t="shared" si="1"/>
        <v>-</v>
      </c>
      <c r="R71" s="18" t="str">
        <f t="shared" si="2"/>
        <v>-</v>
      </c>
    </row>
    <row r="72" spans="1:18" x14ac:dyDescent="0.25">
      <c r="B72" s="2"/>
      <c r="H72" s="12"/>
      <c r="I72" s="13"/>
      <c r="J72" s="13"/>
      <c r="K72" s="13"/>
      <c r="L72" s="13"/>
      <c r="M72" s="13"/>
      <c r="N72" s="13"/>
      <c r="P72" s="169"/>
      <c r="Q72" s="18" t="str">
        <f t="shared" si="1"/>
        <v>-</v>
      </c>
      <c r="R72" s="18" t="str">
        <f t="shared" si="2"/>
        <v>-</v>
      </c>
    </row>
    <row r="73" spans="1:18" x14ac:dyDescent="0.25">
      <c r="B73" s="2"/>
      <c r="H73" s="12"/>
      <c r="I73" s="13"/>
      <c r="J73" s="13"/>
      <c r="K73" s="13"/>
      <c r="L73" s="13"/>
      <c r="M73" s="13"/>
      <c r="N73" s="13"/>
      <c r="P73" s="169"/>
      <c r="Q73" s="18" t="str">
        <f t="shared" si="1"/>
        <v>-</v>
      </c>
      <c r="R73" s="18" t="str">
        <f t="shared" si="2"/>
        <v>-</v>
      </c>
    </row>
    <row r="74" spans="1:18" x14ac:dyDescent="0.25">
      <c r="B74" s="2"/>
      <c r="H74" s="12"/>
      <c r="I74" s="13"/>
      <c r="J74" s="13"/>
      <c r="K74" s="13"/>
      <c r="L74" s="13"/>
      <c r="M74" s="13"/>
      <c r="N74" s="13"/>
      <c r="P74" s="169"/>
      <c r="Q74" s="18" t="str">
        <f t="shared" si="1"/>
        <v>-</v>
      </c>
      <c r="R74" s="18" t="str">
        <f t="shared" si="2"/>
        <v>-</v>
      </c>
    </row>
    <row r="75" spans="1:18" x14ac:dyDescent="0.25">
      <c r="B75" s="2"/>
      <c r="H75" s="12"/>
      <c r="I75" s="13"/>
      <c r="J75" s="13"/>
      <c r="K75" s="13"/>
      <c r="L75" s="13"/>
      <c r="M75" s="13"/>
      <c r="N75" s="13"/>
      <c r="P75" s="169"/>
      <c r="Q75" s="18" t="str">
        <f t="shared" si="1"/>
        <v>-</v>
      </c>
      <c r="R75" s="18" t="str">
        <f t="shared" si="2"/>
        <v>-</v>
      </c>
    </row>
    <row r="76" spans="1:18" x14ac:dyDescent="0.25">
      <c r="B76" s="2"/>
      <c r="Q76" s="18" t="str">
        <f t="shared" si="1"/>
        <v>-</v>
      </c>
      <c r="R76" s="18" t="str">
        <f t="shared" si="2"/>
        <v>-</v>
      </c>
    </row>
    <row r="77" spans="1:18" x14ac:dyDescent="0.25">
      <c r="B77" s="2"/>
      <c r="Q77" s="18" t="str">
        <f t="shared" si="1"/>
        <v>-</v>
      </c>
      <c r="R77" s="18" t="str">
        <f t="shared" si="2"/>
        <v>-</v>
      </c>
    </row>
    <row r="78" spans="1:18" x14ac:dyDescent="0.25">
      <c r="B78" s="2"/>
      <c r="Q78" s="18" t="str">
        <f t="shared" si="1"/>
        <v>-</v>
      </c>
      <c r="R78" s="18" t="str">
        <f t="shared" si="2"/>
        <v>-</v>
      </c>
    </row>
    <row r="79" spans="1:18" x14ac:dyDescent="0.25">
      <c r="B79" s="2"/>
      <c r="Q79" s="18" t="str">
        <f t="shared" si="1"/>
        <v>-</v>
      </c>
      <c r="R79" s="18" t="str">
        <f t="shared" si="2"/>
        <v>-</v>
      </c>
    </row>
    <row r="80" spans="1:18" x14ac:dyDescent="0.25">
      <c r="B80" s="2"/>
      <c r="Q80" s="18" t="str">
        <f t="shared" ref="Q80:Q81" si="3">IF(G80="Produção",F80,"-")</f>
        <v>-</v>
      </c>
      <c r="R80" s="18" t="str">
        <f t="shared" ref="R80:R81" si="4">IF(G81="Tercerizado",F81,"-")</f>
        <v>-</v>
      </c>
    </row>
    <row r="81" spans="2:18" x14ac:dyDescent="0.25">
      <c r="B81" s="2"/>
      <c r="Q81" s="18" t="str">
        <f t="shared" si="3"/>
        <v>-</v>
      </c>
      <c r="R81" s="18" t="str">
        <f t="shared" si="4"/>
        <v>-</v>
      </c>
    </row>
    <row r="82" spans="2:18" x14ac:dyDescent="0.25">
      <c r="B82" s="2"/>
    </row>
    <row r="83" spans="2:18" x14ac:dyDescent="0.25">
      <c r="B83" s="2"/>
    </row>
    <row r="84" spans="2:18" x14ac:dyDescent="0.25">
      <c r="B84" s="2"/>
    </row>
    <row r="85" spans="2:18" x14ac:dyDescent="0.25">
      <c r="B85" s="2"/>
    </row>
    <row r="86" spans="2:18" x14ac:dyDescent="0.25">
      <c r="B86" s="2"/>
    </row>
    <row r="87" spans="2:18" x14ac:dyDescent="0.25">
      <c r="B87" s="2"/>
    </row>
    <row r="88" spans="2:18" x14ac:dyDescent="0.25">
      <c r="B88" s="2"/>
    </row>
    <row r="89" spans="2:18" x14ac:dyDescent="0.25">
      <c r="B89" s="2"/>
    </row>
    <row r="90" spans="2:18" ht="24" x14ac:dyDescent="0.25">
      <c r="B90" s="10"/>
    </row>
    <row r="91" spans="2:18" ht="24" x14ac:dyDescent="0.25">
      <c r="B91" s="10"/>
    </row>
    <row r="92" spans="2:18" ht="24" x14ac:dyDescent="0.25">
      <c r="B92" s="10"/>
    </row>
    <row r="93" spans="2:18" x14ac:dyDescent="0.25">
      <c r="B93" s="2"/>
    </row>
  </sheetData>
  <mergeCells count="4">
    <mergeCell ref="B51:B54"/>
    <mergeCell ref="F12:G12"/>
    <mergeCell ref="J12:N12"/>
    <mergeCell ref="H12:I12"/>
  </mergeCells>
  <dataValidations count="1">
    <dataValidation type="list" allowBlank="1" showInputMessage="1" showErrorMessage="1" sqref="G14:G81" xr:uid="{00000000-0002-0000-0100-000000000000}">
      <formula1>"Produção,Tercerizado"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L92"/>
  <sheetViews>
    <sheetView showGridLines="0" showRowColHeaders="0" zoomScale="85" zoomScaleNormal="85" workbookViewId="0"/>
  </sheetViews>
  <sheetFormatPr defaultRowHeight="15" x14ac:dyDescent="0.25"/>
  <cols>
    <col min="1" max="2" width="20.7109375" style="9" customWidth="1"/>
    <col min="6" max="6" width="32.7109375" customWidth="1"/>
    <col min="7" max="7" width="32.85546875" customWidth="1"/>
    <col min="8" max="8" width="15.7109375" customWidth="1"/>
    <col min="9" max="9" width="18.85546875" style="12" customWidth="1"/>
    <col min="10" max="10" width="9.140625" style="13"/>
    <col min="11" max="11" width="12.140625" customWidth="1"/>
    <col min="12" max="12" width="11.7109375" customWidth="1"/>
  </cols>
  <sheetData>
    <row r="1" spans="1:12" ht="21" x14ac:dyDescent="0.25">
      <c r="A1" s="1"/>
      <c r="B1" s="1"/>
    </row>
    <row r="2" spans="1:12" ht="21" x14ac:dyDescent="0.25">
      <c r="A2" s="1"/>
      <c r="B2" s="1"/>
    </row>
    <row r="3" spans="1:12" ht="21" x14ac:dyDescent="0.25">
      <c r="A3" s="1"/>
      <c r="B3" s="1"/>
    </row>
    <row r="4" spans="1:12" ht="21" x14ac:dyDescent="0.25">
      <c r="A4" s="1"/>
      <c r="B4" s="1"/>
    </row>
    <row r="5" spans="1:12" ht="21" x14ac:dyDescent="0.25">
      <c r="A5" s="1"/>
      <c r="B5" s="1"/>
    </row>
    <row r="6" spans="1:12" ht="21" x14ac:dyDescent="0.25">
      <c r="A6" s="1"/>
      <c r="B6" s="1"/>
    </row>
    <row r="7" spans="1:12" ht="21" x14ac:dyDescent="0.25">
      <c r="A7" s="3"/>
      <c r="B7" s="3"/>
    </row>
    <row r="8" spans="1:12" ht="21" x14ac:dyDescent="0.25">
      <c r="A8" s="3"/>
      <c r="B8" s="3"/>
    </row>
    <row r="9" spans="1:12" ht="21" x14ac:dyDescent="0.25">
      <c r="A9" s="3"/>
      <c r="B9" s="3"/>
    </row>
    <row r="10" spans="1:12" ht="21" x14ac:dyDescent="0.25">
      <c r="A10" s="3"/>
      <c r="B10" s="3"/>
    </row>
    <row r="11" spans="1:12" ht="21" x14ac:dyDescent="0.25">
      <c r="A11" s="3"/>
      <c r="B11" s="3"/>
    </row>
    <row r="12" spans="1:12" ht="21" x14ac:dyDescent="0.25">
      <c r="A12" s="3"/>
      <c r="B12" s="3"/>
      <c r="G12" s="261" t="s">
        <v>63</v>
      </c>
      <c r="H12" s="262"/>
      <c r="I12" s="261" t="s">
        <v>53</v>
      </c>
      <c r="J12" s="262"/>
      <c r="K12" s="261" t="s">
        <v>181</v>
      </c>
      <c r="L12" s="262"/>
    </row>
    <row r="13" spans="1:12" ht="21" x14ac:dyDescent="0.25">
      <c r="A13" s="3"/>
      <c r="B13" s="3"/>
      <c r="F13" s="11" t="s">
        <v>51</v>
      </c>
      <c r="G13" s="11" t="s">
        <v>60</v>
      </c>
      <c r="H13" s="11" t="s">
        <v>61</v>
      </c>
      <c r="I13" s="15" t="s">
        <v>62</v>
      </c>
      <c r="J13" s="16" t="s">
        <v>54</v>
      </c>
      <c r="K13" s="15" t="s">
        <v>180</v>
      </c>
      <c r="L13" s="16" t="s">
        <v>52</v>
      </c>
    </row>
    <row r="14" spans="1:12" ht="21" x14ac:dyDescent="0.25">
      <c r="A14" s="3"/>
      <c r="B14" s="3"/>
      <c r="F14" t="s">
        <v>86</v>
      </c>
      <c r="G14" t="s">
        <v>204</v>
      </c>
      <c r="H14">
        <v>270</v>
      </c>
      <c r="I14" s="12">
        <v>13</v>
      </c>
      <c r="J14" s="13">
        <v>7.0000000000000007E-2</v>
      </c>
      <c r="K14">
        <v>10000</v>
      </c>
      <c r="L14">
        <v>9000</v>
      </c>
    </row>
    <row r="15" spans="1:12" ht="16.5" x14ac:dyDescent="0.25">
      <c r="A15" s="2"/>
      <c r="B15" s="4"/>
      <c r="F15" t="s">
        <v>86</v>
      </c>
      <c r="G15" t="s">
        <v>29</v>
      </c>
      <c r="H15">
        <v>25</v>
      </c>
      <c r="I15" s="12">
        <v>28</v>
      </c>
      <c r="J15" s="13">
        <v>0.12</v>
      </c>
    </row>
    <row r="16" spans="1:12" x14ac:dyDescent="0.25">
      <c r="A16" s="2"/>
      <c r="B16" s="2"/>
      <c r="F16" t="s">
        <v>86</v>
      </c>
      <c r="G16" t="s">
        <v>30</v>
      </c>
      <c r="H16">
        <v>144</v>
      </c>
      <c r="I16" s="12">
        <v>21</v>
      </c>
      <c r="J16" s="13">
        <v>0.18</v>
      </c>
    </row>
    <row r="17" spans="1:12" x14ac:dyDescent="0.25">
      <c r="A17" s="2"/>
      <c r="B17" s="2"/>
      <c r="F17" t="s">
        <v>86</v>
      </c>
      <c r="G17" t="s">
        <v>31</v>
      </c>
      <c r="H17">
        <v>22</v>
      </c>
      <c r="I17" s="12">
        <v>5</v>
      </c>
      <c r="J17" s="13">
        <v>7.0000000000000007E-2</v>
      </c>
    </row>
    <row r="18" spans="1:12" x14ac:dyDescent="0.25">
      <c r="A18" s="2"/>
      <c r="B18" s="2"/>
      <c r="F18" t="s">
        <v>86</v>
      </c>
      <c r="G18" t="s">
        <v>32</v>
      </c>
      <c r="H18">
        <v>7</v>
      </c>
      <c r="I18" s="12">
        <v>35</v>
      </c>
      <c r="J18" s="13">
        <v>0.12</v>
      </c>
    </row>
    <row r="19" spans="1:12" x14ac:dyDescent="0.25">
      <c r="A19" s="2"/>
      <c r="B19" s="2"/>
      <c r="F19" t="s">
        <v>86</v>
      </c>
      <c r="G19" t="s">
        <v>33</v>
      </c>
      <c r="H19">
        <v>470</v>
      </c>
      <c r="I19" s="12">
        <v>0.2</v>
      </c>
      <c r="J19" s="13">
        <v>0</v>
      </c>
    </row>
    <row r="20" spans="1:12" x14ac:dyDescent="0.25">
      <c r="A20" s="2"/>
      <c r="B20" s="2"/>
      <c r="F20" t="s">
        <v>88</v>
      </c>
      <c r="G20" t="s">
        <v>204</v>
      </c>
      <c r="H20">
        <v>420</v>
      </c>
      <c r="I20" s="12">
        <v>13</v>
      </c>
      <c r="J20" s="13">
        <v>7.0000000000000007E-2</v>
      </c>
      <c r="K20">
        <v>10000</v>
      </c>
      <c r="L20">
        <v>9000</v>
      </c>
    </row>
    <row r="21" spans="1:12" x14ac:dyDescent="0.25">
      <c r="A21" s="2"/>
      <c r="B21" s="2"/>
      <c r="F21" t="s">
        <v>88</v>
      </c>
      <c r="G21" t="s">
        <v>65</v>
      </c>
      <c r="H21">
        <v>25</v>
      </c>
      <c r="I21" s="12">
        <v>28</v>
      </c>
      <c r="J21" s="13">
        <v>0.12</v>
      </c>
    </row>
    <row r="22" spans="1:12" x14ac:dyDescent="0.25">
      <c r="A22" s="2"/>
      <c r="B22" s="2"/>
      <c r="F22" t="s">
        <v>88</v>
      </c>
      <c r="G22" t="s">
        <v>31</v>
      </c>
      <c r="H22">
        <v>22</v>
      </c>
      <c r="I22" s="12">
        <v>5</v>
      </c>
      <c r="J22" s="13">
        <v>7.0000000000000007E-2</v>
      </c>
    </row>
    <row r="23" spans="1:12" x14ac:dyDescent="0.25">
      <c r="A23" s="2"/>
      <c r="B23" s="2"/>
      <c r="F23" t="s">
        <v>88</v>
      </c>
      <c r="G23" t="s">
        <v>32</v>
      </c>
      <c r="H23">
        <v>7</v>
      </c>
      <c r="I23" s="12">
        <v>35</v>
      </c>
      <c r="J23" s="13">
        <v>0.12</v>
      </c>
    </row>
    <row r="24" spans="1:12" x14ac:dyDescent="0.25">
      <c r="A24" s="2"/>
      <c r="B24" s="2"/>
      <c r="F24" t="s">
        <v>88</v>
      </c>
      <c r="G24" t="s">
        <v>33</v>
      </c>
      <c r="H24">
        <v>470</v>
      </c>
      <c r="I24" s="12">
        <v>0.2</v>
      </c>
      <c r="J24" s="13">
        <v>0</v>
      </c>
    </row>
    <row r="25" spans="1:12" ht="16.5" x14ac:dyDescent="0.25">
      <c r="A25" s="2"/>
      <c r="B25" s="5"/>
      <c r="F25" t="s">
        <v>87</v>
      </c>
      <c r="G25" t="s">
        <v>204</v>
      </c>
      <c r="H25">
        <v>270</v>
      </c>
      <c r="I25" s="12">
        <v>13</v>
      </c>
      <c r="J25" s="13">
        <v>7.0000000000000007E-2</v>
      </c>
      <c r="K25">
        <v>10000</v>
      </c>
      <c r="L25">
        <v>1000</v>
      </c>
    </row>
    <row r="26" spans="1:12" ht="16.5" x14ac:dyDescent="0.25">
      <c r="A26" s="2"/>
      <c r="B26" s="5"/>
      <c r="F26" t="s">
        <v>87</v>
      </c>
      <c r="G26" t="s">
        <v>29</v>
      </c>
      <c r="H26">
        <v>25</v>
      </c>
      <c r="I26" s="12">
        <v>28</v>
      </c>
      <c r="J26" s="13">
        <v>0.12</v>
      </c>
    </row>
    <row r="27" spans="1:12" ht="16.5" x14ac:dyDescent="0.25">
      <c r="A27" s="2"/>
      <c r="B27" s="4"/>
      <c r="F27" t="s">
        <v>87</v>
      </c>
      <c r="G27" t="s">
        <v>30</v>
      </c>
      <c r="H27">
        <v>144</v>
      </c>
      <c r="I27" s="12">
        <v>21</v>
      </c>
      <c r="J27" s="13">
        <v>0.18</v>
      </c>
    </row>
    <row r="28" spans="1:12" ht="19.5" x14ac:dyDescent="0.25">
      <c r="A28" s="2"/>
      <c r="B28" s="6"/>
      <c r="F28" t="s">
        <v>87</v>
      </c>
      <c r="G28" t="s">
        <v>31</v>
      </c>
      <c r="H28">
        <v>22</v>
      </c>
      <c r="I28" s="12">
        <v>5</v>
      </c>
      <c r="J28" s="13">
        <v>7.0000000000000007E-2</v>
      </c>
    </row>
    <row r="29" spans="1:12" x14ac:dyDescent="0.25">
      <c r="A29" s="2"/>
      <c r="B29" s="7"/>
      <c r="F29" t="s">
        <v>87</v>
      </c>
      <c r="G29" t="s">
        <v>32</v>
      </c>
      <c r="H29">
        <v>7</v>
      </c>
      <c r="I29" s="12">
        <v>35</v>
      </c>
      <c r="J29" s="13">
        <v>0.12</v>
      </c>
    </row>
    <row r="30" spans="1:12" x14ac:dyDescent="0.25">
      <c r="A30" s="2"/>
      <c r="B30" s="2"/>
      <c r="F30" t="s">
        <v>87</v>
      </c>
      <c r="G30" t="s">
        <v>33</v>
      </c>
      <c r="H30">
        <v>470</v>
      </c>
      <c r="I30" s="12">
        <v>0.2</v>
      </c>
      <c r="J30" s="13">
        <v>0</v>
      </c>
    </row>
    <row r="31" spans="1:12" x14ac:dyDescent="0.25">
      <c r="A31" s="2"/>
      <c r="B31" s="2"/>
    </row>
    <row r="32" spans="1:12" x14ac:dyDescent="0.25">
      <c r="A32" s="2"/>
      <c r="B32" s="2"/>
    </row>
    <row r="33" spans="1:12" x14ac:dyDescent="0.25">
      <c r="A33" s="2"/>
      <c r="B33" s="2"/>
      <c r="F33" t="s">
        <v>179</v>
      </c>
      <c r="G33" t="s">
        <v>175</v>
      </c>
      <c r="H33" s="233">
        <v>0.43</v>
      </c>
      <c r="I33" s="12">
        <v>12</v>
      </c>
      <c r="J33" s="13">
        <v>0</v>
      </c>
      <c r="K33">
        <v>10</v>
      </c>
      <c r="L33">
        <v>9</v>
      </c>
    </row>
    <row r="34" spans="1:12" x14ac:dyDescent="0.25">
      <c r="A34" s="2"/>
      <c r="B34" s="2"/>
      <c r="F34" t="s">
        <v>179</v>
      </c>
      <c r="G34" t="s">
        <v>177</v>
      </c>
      <c r="H34">
        <v>3.0000000000000001E-3</v>
      </c>
      <c r="I34" s="12">
        <v>50</v>
      </c>
      <c r="J34" s="13">
        <v>0.18</v>
      </c>
    </row>
    <row r="35" spans="1:12" x14ac:dyDescent="0.25">
      <c r="A35" s="2"/>
      <c r="B35" s="2"/>
      <c r="F35" t="s">
        <v>179</v>
      </c>
      <c r="G35" t="s">
        <v>176</v>
      </c>
      <c r="H35">
        <v>1E-3</v>
      </c>
      <c r="I35" s="12">
        <v>60</v>
      </c>
      <c r="J35" s="13">
        <v>0.04</v>
      </c>
    </row>
    <row r="36" spans="1:12" x14ac:dyDescent="0.25">
      <c r="A36" s="2"/>
      <c r="B36" s="2"/>
      <c r="F36" t="s">
        <v>179</v>
      </c>
      <c r="G36" t="s">
        <v>33</v>
      </c>
      <c r="H36" s="233">
        <v>0.56599999999999995</v>
      </c>
      <c r="I36" s="12">
        <v>0.2</v>
      </c>
      <c r="J36" s="13">
        <v>0</v>
      </c>
    </row>
    <row r="37" spans="1:12" x14ac:dyDescent="0.25">
      <c r="A37" s="2"/>
      <c r="B37" s="2"/>
      <c r="F37" t="s">
        <v>179</v>
      </c>
      <c r="G37" t="s">
        <v>182</v>
      </c>
      <c r="H37" s="233">
        <v>1</v>
      </c>
      <c r="I37" s="12">
        <v>1.5</v>
      </c>
      <c r="J37" s="13">
        <v>0</v>
      </c>
    </row>
    <row r="38" spans="1:12" x14ac:dyDescent="0.25">
      <c r="A38" s="2"/>
      <c r="B38" s="2"/>
      <c r="F38" t="s">
        <v>178</v>
      </c>
      <c r="G38" t="s">
        <v>175</v>
      </c>
      <c r="H38" s="233">
        <f>0.43*5</f>
        <v>2.15</v>
      </c>
      <c r="I38" s="12">
        <v>12</v>
      </c>
      <c r="J38" s="13">
        <v>0</v>
      </c>
      <c r="K38">
        <v>10</v>
      </c>
      <c r="L38">
        <v>1</v>
      </c>
    </row>
    <row r="39" spans="1:12" x14ac:dyDescent="0.25">
      <c r="A39" s="2"/>
      <c r="B39" s="2"/>
      <c r="F39" t="s">
        <v>178</v>
      </c>
      <c r="G39" t="s">
        <v>177</v>
      </c>
      <c r="H39">
        <f>0.003*5</f>
        <v>1.4999999999999999E-2</v>
      </c>
      <c r="I39" s="12">
        <v>50</v>
      </c>
      <c r="J39" s="13">
        <v>0.18</v>
      </c>
    </row>
    <row r="40" spans="1:12" x14ac:dyDescent="0.25">
      <c r="A40" s="2"/>
      <c r="B40" s="2"/>
      <c r="F40" t="s">
        <v>178</v>
      </c>
      <c r="G40" t="s">
        <v>176</v>
      </c>
      <c r="H40">
        <f>0.001*5</f>
        <v>5.0000000000000001E-3</v>
      </c>
      <c r="I40" s="12">
        <v>60</v>
      </c>
      <c r="J40" s="13">
        <v>0.04</v>
      </c>
    </row>
    <row r="41" spans="1:12" x14ac:dyDescent="0.25">
      <c r="A41" s="2"/>
      <c r="B41" s="2"/>
      <c r="F41" t="s">
        <v>178</v>
      </c>
      <c r="G41" t="s">
        <v>33</v>
      </c>
      <c r="H41" s="233">
        <f>0.566*5</f>
        <v>2.8299999999999996</v>
      </c>
      <c r="I41" s="12">
        <v>0.2</v>
      </c>
      <c r="J41" s="13">
        <v>0</v>
      </c>
    </row>
    <row r="42" spans="1:12" x14ac:dyDescent="0.25">
      <c r="A42" s="2"/>
      <c r="B42" s="2"/>
      <c r="F42" t="s">
        <v>178</v>
      </c>
      <c r="G42" t="s">
        <v>183</v>
      </c>
      <c r="H42" s="233">
        <v>1</v>
      </c>
      <c r="I42" s="12">
        <v>7</v>
      </c>
      <c r="J42" s="13">
        <v>0</v>
      </c>
    </row>
    <row r="43" spans="1:12" ht="16.5" x14ac:dyDescent="0.25">
      <c r="A43" s="2"/>
      <c r="B43" s="5"/>
      <c r="F43" t="s">
        <v>184</v>
      </c>
      <c r="G43" t="s">
        <v>204</v>
      </c>
      <c r="H43">
        <v>270</v>
      </c>
      <c r="I43" s="12">
        <v>13</v>
      </c>
      <c r="J43" s="13">
        <v>7.0000000000000007E-2</v>
      </c>
      <c r="K43">
        <v>10000</v>
      </c>
      <c r="L43">
        <v>9000</v>
      </c>
    </row>
    <row r="44" spans="1:12" ht="19.5" x14ac:dyDescent="0.25">
      <c r="A44" s="2"/>
      <c r="B44" s="8"/>
      <c r="F44" t="s">
        <v>184</v>
      </c>
      <c r="G44" t="s">
        <v>29</v>
      </c>
      <c r="H44">
        <v>25</v>
      </c>
      <c r="I44" s="12">
        <v>28</v>
      </c>
      <c r="J44" s="13">
        <v>0.12</v>
      </c>
    </row>
    <row r="45" spans="1:12" ht="19.5" x14ac:dyDescent="0.25">
      <c r="A45" s="2"/>
      <c r="B45" s="8"/>
      <c r="F45" t="s">
        <v>184</v>
      </c>
      <c r="G45" t="s">
        <v>30</v>
      </c>
      <c r="H45">
        <v>144</v>
      </c>
      <c r="I45" s="12">
        <v>21</v>
      </c>
      <c r="J45" s="13">
        <v>0.18</v>
      </c>
    </row>
    <row r="46" spans="1:12" x14ac:dyDescent="0.25">
      <c r="A46" s="2"/>
      <c r="B46" s="7"/>
      <c r="F46" t="s">
        <v>184</v>
      </c>
      <c r="G46" t="s">
        <v>31</v>
      </c>
      <c r="H46">
        <v>22</v>
      </c>
      <c r="I46" s="12">
        <v>5</v>
      </c>
      <c r="J46" s="13">
        <v>7.0000000000000007E-2</v>
      </c>
    </row>
    <row r="47" spans="1:12" x14ac:dyDescent="0.25">
      <c r="A47" s="2"/>
      <c r="B47" s="2"/>
      <c r="F47" t="s">
        <v>184</v>
      </c>
      <c r="G47" t="s">
        <v>32</v>
      </c>
      <c r="H47">
        <v>7</v>
      </c>
      <c r="I47" s="12">
        <v>35</v>
      </c>
      <c r="J47" s="13">
        <v>0.12</v>
      </c>
    </row>
    <row r="48" spans="1:12" x14ac:dyDescent="0.25">
      <c r="A48" s="2"/>
      <c r="B48" s="2"/>
      <c r="F48" t="s">
        <v>184</v>
      </c>
      <c r="G48" t="s">
        <v>33</v>
      </c>
      <c r="H48">
        <v>470</v>
      </c>
      <c r="I48" s="12">
        <v>0.2</v>
      </c>
      <c r="J48" s="13">
        <v>0</v>
      </c>
    </row>
    <row r="49" spans="1:12" x14ac:dyDescent="0.25">
      <c r="A49" s="2"/>
      <c r="B49" s="2"/>
      <c r="F49" t="s">
        <v>186</v>
      </c>
      <c r="G49" t="s">
        <v>204</v>
      </c>
      <c r="H49">
        <v>420</v>
      </c>
      <c r="I49" s="12">
        <v>13</v>
      </c>
      <c r="J49" s="13">
        <v>7.0000000000000007E-2</v>
      </c>
      <c r="K49">
        <v>10000</v>
      </c>
      <c r="L49">
        <v>9000</v>
      </c>
    </row>
    <row r="50" spans="1:12" x14ac:dyDescent="0.25">
      <c r="A50" s="2"/>
      <c r="B50" s="259"/>
      <c r="F50" t="s">
        <v>186</v>
      </c>
      <c r="G50" t="s">
        <v>65</v>
      </c>
      <c r="H50">
        <v>25</v>
      </c>
      <c r="I50" s="12">
        <v>28</v>
      </c>
      <c r="J50" s="13">
        <v>0.12</v>
      </c>
    </row>
    <row r="51" spans="1:12" x14ac:dyDescent="0.25">
      <c r="A51" s="2"/>
      <c r="B51" s="259"/>
      <c r="F51" t="s">
        <v>186</v>
      </c>
      <c r="G51" t="s">
        <v>31</v>
      </c>
      <c r="H51">
        <v>22</v>
      </c>
      <c r="I51" s="12">
        <v>5</v>
      </c>
      <c r="J51" s="13">
        <v>7.0000000000000007E-2</v>
      </c>
    </row>
    <row r="52" spans="1:12" x14ac:dyDescent="0.25">
      <c r="A52" s="2"/>
      <c r="B52" s="259"/>
      <c r="F52" t="s">
        <v>186</v>
      </c>
      <c r="G52" t="s">
        <v>32</v>
      </c>
      <c r="H52">
        <v>7</v>
      </c>
      <c r="I52" s="12">
        <v>35</v>
      </c>
      <c r="J52" s="13">
        <v>0.12</v>
      </c>
    </row>
    <row r="53" spans="1:12" x14ac:dyDescent="0.25">
      <c r="A53" s="2"/>
      <c r="B53" s="259"/>
      <c r="F53" t="s">
        <v>186</v>
      </c>
      <c r="G53" t="s">
        <v>33</v>
      </c>
      <c r="H53">
        <v>470</v>
      </c>
      <c r="I53" s="12">
        <v>0.2</v>
      </c>
      <c r="J53" s="13">
        <v>0</v>
      </c>
    </row>
    <row r="54" spans="1:12" x14ac:dyDescent="0.25">
      <c r="A54" s="2"/>
      <c r="B54" s="2"/>
      <c r="F54" t="s">
        <v>185</v>
      </c>
      <c r="G54" t="s">
        <v>204</v>
      </c>
      <c r="H54">
        <v>270</v>
      </c>
      <c r="I54" s="12">
        <v>13</v>
      </c>
      <c r="J54" s="13">
        <v>7.0000000000000007E-2</v>
      </c>
      <c r="K54">
        <v>10000</v>
      </c>
      <c r="L54">
        <v>1000</v>
      </c>
    </row>
    <row r="55" spans="1:12" x14ac:dyDescent="0.25">
      <c r="A55" s="2"/>
      <c r="B55" s="2"/>
      <c r="F55" t="s">
        <v>185</v>
      </c>
      <c r="G55" t="s">
        <v>29</v>
      </c>
      <c r="H55">
        <v>25</v>
      </c>
      <c r="I55" s="12">
        <v>28</v>
      </c>
      <c r="J55" s="13">
        <v>0.12</v>
      </c>
    </row>
    <row r="56" spans="1:12" x14ac:dyDescent="0.25">
      <c r="A56" s="2"/>
      <c r="B56" s="2"/>
      <c r="F56" t="s">
        <v>185</v>
      </c>
      <c r="G56" t="s">
        <v>30</v>
      </c>
      <c r="H56">
        <v>144</v>
      </c>
      <c r="I56" s="12">
        <v>21</v>
      </c>
      <c r="J56" s="13">
        <v>0.18</v>
      </c>
    </row>
    <row r="57" spans="1:12" x14ac:dyDescent="0.25">
      <c r="A57" s="2"/>
      <c r="B57" s="2"/>
      <c r="F57" t="s">
        <v>185</v>
      </c>
      <c r="G57" t="s">
        <v>31</v>
      </c>
      <c r="H57">
        <v>22</v>
      </c>
      <c r="I57" s="12">
        <v>5</v>
      </c>
      <c r="J57" s="13">
        <v>7.0000000000000007E-2</v>
      </c>
    </row>
    <row r="58" spans="1:12" x14ac:dyDescent="0.25">
      <c r="A58" s="2"/>
      <c r="B58" s="2"/>
      <c r="F58" t="s">
        <v>185</v>
      </c>
      <c r="G58" t="s">
        <v>32</v>
      </c>
      <c r="H58">
        <v>7</v>
      </c>
      <c r="I58" s="12">
        <v>35</v>
      </c>
      <c r="J58" s="13">
        <v>0.12</v>
      </c>
    </row>
    <row r="59" spans="1:12" x14ac:dyDescent="0.25">
      <c r="A59" s="2"/>
      <c r="B59" s="2"/>
      <c r="F59" t="s">
        <v>185</v>
      </c>
      <c r="G59" t="s">
        <v>33</v>
      </c>
      <c r="H59">
        <v>470</v>
      </c>
      <c r="I59" s="12">
        <v>0.2</v>
      </c>
      <c r="J59" s="13">
        <v>0</v>
      </c>
    </row>
    <row r="60" spans="1:12" x14ac:dyDescent="0.25">
      <c r="A60" s="2"/>
      <c r="B60" s="2"/>
    </row>
    <row r="61" spans="1:12" x14ac:dyDescent="0.25">
      <c r="A61" s="2"/>
      <c r="B61" s="2"/>
    </row>
    <row r="62" spans="1:12" x14ac:dyDescent="0.25">
      <c r="A62" s="2"/>
      <c r="B62" s="2"/>
      <c r="F62" t="s">
        <v>189</v>
      </c>
      <c r="G62" t="s">
        <v>175</v>
      </c>
      <c r="H62" s="233">
        <v>0.43</v>
      </c>
      <c r="I62" s="12">
        <v>12</v>
      </c>
      <c r="J62" s="13">
        <v>0</v>
      </c>
      <c r="K62">
        <v>1000</v>
      </c>
      <c r="L62">
        <v>1000</v>
      </c>
    </row>
    <row r="63" spans="1:12" x14ac:dyDescent="0.25">
      <c r="A63" s="2"/>
      <c r="B63" s="2"/>
      <c r="F63" t="s">
        <v>189</v>
      </c>
      <c r="G63" t="s">
        <v>177</v>
      </c>
      <c r="H63">
        <v>3.0000000000000001E-3</v>
      </c>
      <c r="I63" s="12">
        <v>50</v>
      </c>
      <c r="J63" s="13">
        <v>0.18</v>
      </c>
    </row>
    <row r="64" spans="1:12" x14ac:dyDescent="0.25">
      <c r="A64" s="2"/>
      <c r="B64" s="2"/>
      <c r="F64" t="s">
        <v>189</v>
      </c>
      <c r="G64" t="s">
        <v>176</v>
      </c>
      <c r="H64">
        <v>1E-3</v>
      </c>
      <c r="I64" s="12">
        <v>60</v>
      </c>
      <c r="J64" s="13">
        <v>0.04</v>
      </c>
    </row>
    <row r="65" spans="2:12" x14ac:dyDescent="0.25">
      <c r="B65" s="2"/>
      <c r="F65" t="s">
        <v>189</v>
      </c>
      <c r="G65" t="s">
        <v>33</v>
      </c>
      <c r="H65" s="233">
        <v>0.56599999999999995</v>
      </c>
      <c r="I65" s="12">
        <v>0.2</v>
      </c>
      <c r="J65" s="13">
        <v>0</v>
      </c>
    </row>
    <row r="66" spans="2:12" x14ac:dyDescent="0.25">
      <c r="B66" s="2"/>
      <c r="F66" t="s">
        <v>189</v>
      </c>
      <c r="G66" t="s">
        <v>182</v>
      </c>
      <c r="H66" s="233">
        <v>1</v>
      </c>
      <c r="I66" s="12">
        <v>1.5</v>
      </c>
      <c r="J66" s="13">
        <v>0</v>
      </c>
    </row>
    <row r="67" spans="2:12" x14ac:dyDescent="0.25">
      <c r="B67" s="2"/>
      <c r="F67" t="s">
        <v>190</v>
      </c>
      <c r="G67" t="s">
        <v>175</v>
      </c>
      <c r="H67" s="233">
        <f>0.43*5</f>
        <v>2.15</v>
      </c>
      <c r="I67" s="12">
        <v>12</v>
      </c>
      <c r="J67" s="13">
        <v>0</v>
      </c>
      <c r="K67">
        <v>1000</v>
      </c>
      <c r="L67">
        <v>1000</v>
      </c>
    </row>
    <row r="68" spans="2:12" x14ac:dyDescent="0.25">
      <c r="B68" s="2"/>
      <c r="F68" t="s">
        <v>190</v>
      </c>
      <c r="G68" t="s">
        <v>177</v>
      </c>
      <c r="H68">
        <f>0.003*5</f>
        <v>1.4999999999999999E-2</v>
      </c>
      <c r="I68" s="12">
        <v>50</v>
      </c>
      <c r="J68" s="13">
        <v>0.18</v>
      </c>
    </row>
    <row r="69" spans="2:12" x14ac:dyDescent="0.25">
      <c r="B69" s="2"/>
      <c r="F69" t="s">
        <v>190</v>
      </c>
      <c r="G69" t="s">
        <v>176</v>
      </c>
      <c r="H69">
        <f>0.001*5</f>
        <v>5.0000000000000001E-3</v>
      </c>
      <c r="I69" s="12">
        <v>60</v>
      </c>
      <c r="J69" s="13">
        <v>0.04</v>
      </c>
    </row>
    <row r="70" spans="2:12" x14ac:dyDescent="0.25">
      <c r="B70" s="2"/>
      <c r="F70" t="s">
        <v>190</v>
      </c>
      <c r="G70" t="s">
        <v>33</v>
      </c>
      <c r="H70" s="233">
        <f>0.566*5</f>
        <v>2.8299999999999996</v>
      </c>
      <c r="I70" s="12">
        <v>0.2</v>
      </c>
      <c r="J70" s="13">
        <v>0</v>
      </c>
    </row>
    <row r="71" spans="2:12" x14ac:dyDescent="0.25">
      <c r="B71" s="2"/>
      <c r="F71" t="s">
        <v>190</v>
      </c>
      <c r="G71" t="s">
        <v>183</v>
      </c>
      <c r="H71" s="233">
        <v>1</v>
      </c>
      <c r="I71" s="12">
        <v>7</v>
      </c>
      <c r="J71" s="13">
        <v>0</v>
      </c>
    </row>
    <row r="72" spans="2:12" x14ac:dyDescent="0.25">
      <c r="B72" s="2"/>
    </row>
    <row r="73" spans="2:12" x14ac:dyDescent="0.25">
      <c r="B73" s="2"/>
    </row>
    <row r="74" spans="2:12" x14ac:dyDescent="0.25">
      <c r="B74" s="2"/>
    </row>
    <row r="75" spans="2:12" x14ac:dyDescent="0.25">
      <c r="B75" s="2"/>
    </row>
    <row r="76" spans="2:12" x14ac:dyDescent="0.25">
      <c r="B76" s="2"/>
    </row>
    <row r="77" spans="2:12" x14ac:dyDescent="0.25">
      <c r="B77" s="2"/>
    </row>
    <row r="78" spans="2:12" x14ac:dyDescent="0.25">
      <c r="B78" s="2"/>
    </row>
    <row r="79" spans="2:12" x14ac:dyDescent="0.25">
      <c r="B79" s="2"/>
    </row>
    <row r="80" spans="2:1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ht="24" x14ac:dyDescent="0.25">
      <c r="B89" s="10"/>
    </row>
    <row r="90" spans="2:2" ht="24" x14ac:dyDescent="0.25">
      <c r="B90" s="10"/>
    </row>
    <row r="91" spans="2:2" ht="24" x14ac:dyDescent="0.25">
      <c r="B91" s="10"/>
    </row>
    <row r="92" spans="2:2" x14ac:dyDescent="0.25">
      <c r="B92" s="2"/>
    </row>
  </sheetData>
  <mergeCells count="4">
    <mergeCell ref="B50:B53"/>
    <mergeCell ref="I12:J12"/>
    <mergeCell ref="G12:H12"/>
    <mergeCell ref="K12:L1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'Cad1'!$Q$14:$Q$81</xm:f>
          </x14:formula1>
          <xm:sqref>F14:F42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L95"/>
  <sheetViews>
    <sheetView showGridLines="0" zoomScale="85" zoomScaleNormal="85" workbookViewId="0"/>
  </sheetViews>
  <sheetFormatPr defaultRowHeight="15" x14ac:dyDescent="0.25"/>
  <cols>
    <col min="1" max="2" width="20.7109375" style="9" customWidth="1"/>
    <col min="6" max="7" width="20.7109375" customWidth="1"/>
    <col min="8" max="11" width="20.7109375" style="12" customWidth="1"/>
    <col min="12" max="12" width="24.140625" customWidth="1"/>
  </cols>
  <sheetData>
    <row r="1" spans="1:11" ht="21" x14ac:dyDescent="0.25">
      <c r="A1" s="1"/>
      <c r="B1" s="1"/>
    </row>
    <row r="2" spans="1:11" ht="21" x14ac:dyDescent="0.25">
      <c r="A2" s="1"/>
      <c r="B2" s="1"/>
    </row>
    <row r="3" spans="1:11" ht="21" x14ac:dyDescent="0.25">
      <c r="A3" s="1"/>
      <c r="B3" s="1"/>
    </row>
    <row r="4" spans="1:11" ht="21" x14ac:dyDescent="0.25">
      <c r="A4" s="1"/>
      <c r="B4" s="1"/>
    </row>
    <row r="5" spans="1:11" ht="21" x14ac:dyDescent="0.25">
      <c r="A5" s="1"/>
      <c r="B5" s="1"/>
    </row>
    <row r="6" spans="1:11" ht="21" x14ac:dyDescent="0.25">
      <c r="A6" s="1"/>
      <c r="B6" s="1"/>
    </row>
    <row r="7" spans="1:11" ht="21" x14ac:dyDescent="0.25">
      <c r="A7" s="3"/>
      <c r="B7" s="3"/>
    </row>
    <row r="8" spans="1:11" ht="21" x14ac:dyDescent="0.25">
      <c r="A8" s="3"/>
      <c r="B8" s="3"/>
    </row>
    <row r="9" spans="1:11" ht="21" x14ac:dyDescent="0.25">
      <c r="A9" s="3"/>
      <c r="B9" s="3"/>
    </row>
    <row r="10" spans="1:11" ht="21" x14ac:dyDescent="0.25">
      <c r="A10" s="3"/>
      <c r="B10" s="3"/>
    </row>
    <row r="11" spans="1:11" ht="21" x14ac:dyDescent="0.25">
      <c r="A11" s="3"/>
      <c r="B11" s="3"/>
    </row>
    <row r="12" spans="1:11" ht="21" x14ac:dyDescent="0.25">
      <c r="A12" s="3"/>
      <c r="B12" s="3"/>
      <c r="H12" s="263" t="s">
        <v>67</v>
      </c>
      <c r="I12" s="264"/>
      <c r="J12" s="264"/>
      <c r="K12" s="264"/>
    </row>
    <row r="13" spans="1:11" ht="21" x14ac:dyDescent="0.25">
      <c r="A13" s="3"/>
      <c r="B13" s="3"/>
      <c r="F13" s="11" t="s">
        <v>66</v>
      </c>
      <c r="G13" s="11" t="s">
        <v>50</v>
      </c>
      <c r="H13" s="15" t="s">
        <v>68</v>
      </c>
      <c r="I13" s="15" t="s">
        <v>69</v>
      </c>
      <c r="J13" s="15" t="s">
        <v>70</v>
      </c>
      <c r="K13" s="15" t="s">
        <v>71</v>
      </c>
    </row>
    <row r="14" spans="1:11" ht="21" x14ac:dyDescent="0.25">
      <c r="A14" s="3"/>
      <c r="B14" s="3"/>
      <c r="F14" t="s">
        <v>43</v>
      </c>
      <c r="G14" t="s">
        <v>72</v>
      </c>
      <c r="H14" s="12">
        <v>1400</v>
      </c>
      <c r="I14" s="12">
        <v>1500</v>
      </c>
      <c r="J14" s="12">
        <v>1900</v>
      </c>
      <c r="K14" s="12">
        <f>(H14+I14+J14)/3</f>
        <v>1600</v>
      </c>
    </row>
    <row r="15" spans="1:11" ht="16.5" x14ac:dyDescent="0.25">
      <c r="A15" s="2"/>
      <c r="B15" s="4"/>
      <c r="F15" t="s">
        <v>44</v>
      </c>
      <c r="G15" t="s">
        <v>72</v>
      </c>
      <c r="H15" s="12">
        <v>1700</v>
      </c>
      <c r="I15" s="12">
        <v>1600</v>
      </c>
      <c r="J15" s="12">
        <v>1700</v>
      </c>
      <c r="K15" s="12">
        <f t="shared" ref="K15:K17" si="0">(H15+I15+J15)/3</f>
        <v>1666.6666666666667</v>
      </c>
    </row>
    <row r="16" spans="1:11" x14ac:dyDescent="0.25">
      <c r="A16" s="2"/>
      <c r="B16" s="2"/>
      <c r="F16" t="s">
        <v>45</v>
      </c>
      <c r="G16" t="s">
        <v>72</v>
      </c>
      <c r="H16" s="12">
        <v>2800</v>
      </c>
      <c r="I16" s="12">
        <v>3500</v>
      </c>
      <c r="J16" s="12">
        <v>1500</v>
      </c>
      <c r="K16" s="12">
        <f t="shared" si="0"/>
        <v>2600</v>
      </c>
    </row>
    <row r="17" spans="1:12" x14ac:dyDescent="0.25">
      <c r="A17" s="2"/>
      <c r="B17" s="2"/>
      <c r="F17" t="s">
        <v>46</v>
      </c>
      <c r="G17" t="s">
        <v>73</v>
      </c>
      <c r="H17" s="12">
        <v>70000</v>
      </c>
      <c r="I17" s="12">
        <v>70000</v>
      </c>
      <c r="J17" s="12">
        <v>70000</v>
      </c>
      <c r="K17" s="12">
        <f t="shared" si="0"/>
        <v>70000</v>
      </c>
    </row>
    <row r="18" spans="1:12" x14ac:dyDescent="0.25">
      <c r="A18" s="2"/>
      <c r="B18" s="2"/>
      <c r="F18" t="s">
        <v>132</v>
      </c>
      <c r="G18" t="s">
        <v>131</v>
      </c>
      <c r="K18" s="12">
        <v>5</v>
      </c>
    </row>
    <row r="19" spans="1:12" x14ac:dyDescent="0.25">
      <c r="A19" s="2"/>
      <c r="B19" s="2"/>
      <c r="F19" t="s">
        <v>133</v>
      </c>
    </row>
    <row r="20" spans="1:12" x14ac:dyDescent="0.25">
      <c r="A20" s="2"/>
      <c r="B20" s="2"/>
    </row>
    <row r="21" spans="1:12" x14ac:dyDescent="0.25">
      <c r="A21" s="2"/>
      <c r="B21" s="2"/>
    </row>
    <row r="22" spans="1:12" x14ac:dyDescent="0.25">
      <c r="A22" s="2"/>
      <c r="B22" s="2"/>
    </row>
    <row r="23" spans="1:12" x14ac:dyDescent="0.25">
      <c r="A23" s="2"/>
      <c r="B23" s="2"/>
    </row>
    <row r="24" spans="1:12" x14ac:dyDescent="0.25">
      <c r="A24" s="2"/>
      <c r="B24" s="2"/>
      <c r="F24" s="263" t="s">
        <v>205</v>
      </c>
      <c r="G24" s="264"/>
      <c r="H24" s="264"/>
      <c r="I24" s="264"/>
    </row>
    <row r="25" spans="1:12" ht="16.5" x14ac:dyDescent="0.25">
      <c r="A25" s="2"/>
      <c r="B25" s="5"/>
      <c r="F25" s="11" t="s">
        <v>52</v>
      </c>
      <c r="G25" s="11" t="s">
        <v>206</v>
      </c>
      <c r="H25" s="15" t="s">
        <v>207</v>
      </c>
      <c r="I25" s="15" t="s">
        <v>40</v>
      </c>
      <c r="J25" s="11" t="s">
        <v>50</v>
      </c>
      <c r="K25" s="11" t="s">
        <v>210</v>
      </c>
      <c r="L25" s="11" t="s">
        <v>211</v>
      </c>
    </row>
    <row r="26" spans="1:12" ht="16.5" x14ac:dyDescent="0.25">
      <c r="A26" s="2"/>
      <c r="B26" s="5"/>
      <c r="F26" t="s">
        <v>86</v>
      </c>
      <c r="G26">
        <v>56900</v>
      </c>
      <c r="H26" s="204">
        <v>10000</v>
      </c>
      <c r="I26" s="13">
        <f>(H26*100%)/$H$46</f>
        <v>0.29710618575078734</v>
      </c>
      <c r="J26" t="s">
        <v>59</v>
      </c>
      <c r="K26" s="12">
        <f>IF(J26="Produção",$K$14+$K$15+$K$16,0)*90%</f>
        <v>5280</v>
      </c>
      <c r="L26" s="218">
        <f>$K$17*I26</f>
        <v>20797.433002555113</v>
      </c>
    </row>
    <row r="27" spans="1:12" ht="16.5" x14ac:dyDescent="0.25">
      <c r="A27" s="2"/>
      <c r="B27" s="4"/>
      <c r="F27" t="s">
        <v>87</v>
      </c>
      <c r="G27">
        <v>9243</v>
      </c>
      <c r="H27" s="204">
        <v>450</v>
      </c>
      <c r="I27" s="13">
        <f t="shared" ref="I27:I45" si="1">(H27*100%)/$H$46</f>
        <v>1.3369778358785431E-2</v>
      </c>
      <c r="J27" t="s">
        <v>59</v>
      </c>
      <c r="K27" s="12">
        <f>IF(J27="Produção",$K$14+$K$15+$K$16,0)*10%</f>
        <v>586.66666666666674</v>
      </c>
      <c r="L27" s="218">
        <f t="shared" ref="L27:L43" si="2">$K$17*I27</f>
        <v>935.88448511498018</v>
      </c>
    </row>
    <row r="28" spans="1:12" ht="19.5" x14ac:dyDescent="0.25">
      <c r="A28" s="2"/>
      <c r="B28" s="6"/>
      <c r="F28" t="s">
        <v>191</v>
      </c>
      <c r="G28">
        <v>95887</v>
      </c>
      <c r="H28" s="204">
        <f t="shared" ref="H28:H42" si="3">ROUNDDOWN(G28/12,0)</f>
        <v>7990</v>
      </c>
      <c r="I28" s="13">
        <f t="shared" si="1"/>
        <v>0.23738784241487909</v>
      </c>
      <c r="J28" t="s">
        <v>64</v>
      </c>
      <c r="K28" s="12">
        <f t="shared" ref="K28:K43" si="4">IF(J28="Produção",$K$14+$K$15+$K$16,0)*I28</f>
        <v>0</v>
      </c>
      <c r="L28" s="218">
        <f t="shared" si="2"/>
        <v>16617.148969041536</v>
      </c>
    </row>
    <row r="29" spans="1:12" x14ac:dyDescent="0.25">
      <c r="A29" s="2"/>
      <c r="B29" s="7"/>
      <c r="F29" t="s">
        <v>192</v>
      </c>
      <c r="G29">
        <v>35349</v>
      </c>
      <c r="H29" s="204">
        <f t="shared" si="3"/>
        <v>2945</v>
      </c>
      <c r="I29" s="13">
        <f t="shared" si="1"/>
        <v>8.7497771703606869E-2</v>
      </c>
      <c r="J29" t="s">
        <v>64</v>
      </c>
      <c r="K29" s="12">
        <f t="shared" si="4"/>
        <v>0</v>
      </c>
      <c r="L29" s="218">
        <f t="shared" si="2"/>
        <v>6124.8440192524804</v>
      </c>
    </row>
    <row r="30" spans="1:12" x14ac:dyDescent="0.25">
      <c r="A30" s="2"/>
      <c r="B30" s="2"/>
      <c r="F30" t="s">
        <v>202</v>
      </c>
      <c r="G30">
        <v>32265</v>
      </c>
      <c r="H30" s="204">
        <v>2500</v>
      </c>
      <c r="I30" s="13">
        <f t="shared" si="1"/>
        <v>7.4276546437696836E-2</v>
      </c>
      <c r="J30" t="s">
        <v>64</v>
      </c>
      <c r="K30" s="12">
        <f t="shared" si="4"/>
        <v>0</v>
      </c>
      <c r="L30" s="218">
        <f t="shared" si="2"/>
        <v>5199.3582506387784</v>
      </c>
    </row>
    <row r="31" spans="1:12" x14ac:dyDescent="0.25">
      <c r="A31" s="2"/>
      <c r="B31" s="2"/>
      <c r="F31" t="s">
        <v>92</v>
      </c>
      <c r="G31">
        <v>1646</v>
      </c>
      <c r="H31" s="204">
        <f t="shared" si="3"/>
        <v>137</v>
      </c>
      <c r="I31" s="13">
        <f t="shared" si="1"/>
        <v>4.0703547447857868E-3</v>
      </c>
      <c r="J31" t="s">
        <v>64</v>
      </c>
      <c r="K31" s="12">
        <f t="shared" si="4"/>
        <v>0</v>
      </c>
      <c r="L31" s="218">
        <f t="shared" si="2"/>
        <v>284.92483213500509</v>
      </c>
    </row>
    <row r="32" spans="1:12" x14ac:dyDescent="0.25">
      <c r="A32" s="2"/>
      <c r="B32" s="2"/>
      <c r="F32" t="s">
        <v>137</v>
      </c>
      <c r="G32">
        <v>4431</v>
      </c>
      <c r="H32" s="204">
        <f t="shared" si="3"/>
        <v>369</v>
      </c>
      <c r="I32" s="13">
        <f t="shared" si="1"/>
        <v>1.0963218254204052E-2</v>
      </c>
      <c r="J32" t="s">
        <v>64</v>
      </c>
      <c r="K32" s="12">
        <f t="shared" si="4"/>
        <v>0</v>
      </c>
      <c r="L32" s="218">
        <f t="shared" si="2"/>
        <v>767.4252777942836</v>
      </c>
    </row>
    <row r="33" spans="1:12" x14ac:dyDescent="0.25">
      <c r="A33" s="2"/>
      <c r="B33" s="2"/>
      <c r="F33" t="s">
        <v>136</v>
      </c>
      <c r="G33">
        <v>7201</v>
      </c>
      <c r="H33" s="204">
        <f t="shared" si="3"/>
        <v>600</v>
      </c>
      <c r="I33" s="13">
        <f t="shared" si="1"/>
        <v>1.7826371145047239E-2</v>
      </c>
      <c r="J33" t="s">
        <v>64</v>
      </c>
      <c r="K33" s="12">
        <f t="shared" si="4"/>
        <v>0</v>
      </c>
      <c r="L33" s="218">
        <f t="shared" si="2"/>
        <v>1247.8459801533068</v>
      </c>
    </row>
    <row r="34" spans="1:12" x14ac:dyDescent="0.25">
      <c r="A34" s="2"/>
      <c r="B34" s="2"/>
      <c r="F34" t="s">
        <v>203</v>
      </c>
      <c r="G34">
        <v>1711</v>
      </c>
      <c r="H34" s="204">
        <v>1000</v>
      </c>
      <c r="I34" s="13">
        <f t="shared" si="1"/>
        <v>2.9710618575078732E-2</v>
      </c>
      <c r="J34" t="s">
        <v>64</v>
      </c>
      <c r="K34" s="12">
        <f t="shared" si="4"/>
        <v>0</v>
      </c>
      <c r="L34" s="218">
        <f t="shared" si="2"/>
        <v>2079.7433002555113</v>
      </c>
    </row>
    <row r="35" spans="1:12" x14ac:dyDescent="0.25">
      <c r="A35" s="2"/>
      <c r="B35" s="2"/>
      <c r="F35" t="s">
        <v>95</v>
      </c>
      <c r="G35">
        <v>5031</v>
      </c>
      <c r="H35" s="204">
        <v>1400</v>
      </c>
      <c r="I35" s="13">
        <f t="shared" si="1"/>
        <v>4.1594866005110226E-2</v>
      </c>
      <c r="J35" t="s">
        <v>64</v>
      </c>
      <c r="K35" s="12">
        <f t="shared" si="4"/>
        <v>0</v>
      </c>
      <c r="L35" s="218">
        <f t="shared" si="2"/>
        <v>2911.6406203577158</v>
      </c>
    </row>
    <row r="36" spans="1:12" x14ac:dyDescent="0.25">
      <c r="A36" s="2"/>
      <c r="B36" s="2"/>
      <c r="F36" t="s">
        <v>201</v>
      </c>
      <c r="G36">
        <v>2675</v>
      </c>
      <c r="H36" s="204">
        <f t="shared" si="3"/>
        <v>222</v>
      </c>
      <c r="I36" s="13">
        <f t="shared" si="1"/>
        <v>6.5957573236674789E-3</v>
      </c>
      <c r="J36" t="s">
        <v>64</v>
      </c>
      <c r="K36" s="12">
        <f t="shared" si="4"/>
        <v>0</v>
      </c>
      <c r="L36" s="218">
        <f t="shared" si="2"/>
        <v>461.7030126567235</v>
      </c>
    </row>
    <row r="37" spans="1:12" x14ac:dyDescent="0.25">
      <c r="A37" s="2"/>
      <c r="B37" s="2"/>
      <c r="F37" t="s">
        <v>200</v>
      </c>
      <c r="G37">
        <v>529</v>
      </c>
      <c r="H37" s="204">
        <f t="shared" si="3"/>
        <v>44</v>
      </c>
      <c r="I37" s="13">
        <f t="shared" si="1"/>
        <v>1.3072672173034643E-3</v>
      </c>
      <c r="J37" t="s">
        <v>64</v>
      </c>
      <c r="K37" s="12">
        <f t="shared" si="4"/>
        <v>0</v>
      </c>
      <c r="L37" s="218">
        <f t="shared" si="2"/>
        <v>91.5087052112425</v>
      </c>
    </row>
    <row r="38" spans="1:12" x14ac:dyDescent="0.25">
      <c r="A38" s="2"/>
      <c r="B38" s="2"/>
      <c r="F38" t="s">
        <v>199</v>
      </c>
      <c r="G38">
        <v>752</v>
      </c>
      <c r="H38" s="204">
        <f t="shared" si="3"/>
        <v>62</v>
      </c>
      <c r="I38" s="13">
        <f t="shared" si="1"/>
        <v>1.8420583516548814E-3</v>
      </c>
      <c r="J38" t="s">
        <v>64</v>
      </c>
      <c r="K38" s="12">
        <f t="shared" si="4"/>
        <v>0</v>
      </c>
      <c r="L38" s="218">
        <f t="shared" si="2"/>
        <v>128.94408461584169</v>
      </c>
    </row>
    <row r="39" spans="1:12" x14ac:dyDescent="0.25">
      <c r="A39" s="2"/>
      <c r="B39" s="2"/>
      <c r="F39" t="s">
        <v>101</v>
      </c>
      <c r="G39">
        <v>49260</v>
      </c>
      <c r="H39" s="204">
        <f>ROUNDDOWN(G39/12,0)</f>
        <v>4105</v>
      </c>
      <c r="I39" s="13">
        <f t="shared" si="1"/>
        <v>0.12196208925069819</v>
      </c>
      <c r="J39" t="s">
        <v>64</v>
      </c>
      <c r="K39" s="12">
        <f t="shared" si="4"/>
        <v>0</v>
      </c>
      <c r="L39" s="218">
        <f t="shared" si="2"/>
        <v>8537.3462475488741</v>
      </c>
    </row>
    <row r="40" spans="1:12" x14ac:dyDescent="0.25">
      <c r="A40" s="2"/>
      <c r="B40" s="2"/>
      <c r="F40" t="s">
        <v>102</v>
      </c>
      <c r="G40">
        <v>15306</v>
      </c>
      <c r="H40" s="204">
        <f t="shared" si="3"/>
        <v>1275</v>
      </c>
      <c r="I40" s="13">
        <f t="shared" si="1"/>
        <v>3.7881038683225385E-2</v>
      </c>
      <c r="J40" t="s">
        <v>64</v>
      </c>
      <c r="K40" s="12">
        <f t="shared" si="4"/>
        <v>0</v>
      </c>
      <c r="L40" s="218">
        <f t="shared" si="2"/>
        <v>2651.6727078257768</v>
      </c>
    </row>
    <row r="41" spans="1:12" x14ac:dyDescent="0.25">
      <c r="A41" s="2"/>
      <c r="B41" s="2"/>
      <c r="F41" t="s">
        <v>103</v>
      </c>
      <c r="G41">
        <v>2760</v>
      </c>
      <c r="H41" s="204">
        <f t="shared" si="3"/>
        <v>230</v>
      </c>
      <c r="I41" s="13">
        <f t="shared" si="1"/>
        <v>6.8334422722681086E-3</v>
      </c>
      <c r="J41" t="s">
        <v>64</v>
      </c>
      <c r="K41" s="12">
        <f t="shared" si="4"/>
        <v>0</v>
      </c>
      <c r="L41" s="218">
        <f t="shared" si="2"/>
        <v>478.34095905876762</v>
      </c>
    </row>
    <row r="42" spans="1:12" x14ac:dyDescent="0.25">
      <c r="A42" s="2"/>
      <c r="B42" s="2"/>
      <c r="F42" t="s">
        <v>209</v>
      </c>
      <c r="G42">
        <v>350</v>
      </c>
      <c r="H42" s="204">
        <f t="shared" si="3"/>
        <v>29</v>
      </c>
      <c r="I42" s="13">
        <f t="shared" si="1"/>
        <v>8.6160793867728327E-4</v>
      </c>
      <c r="J42" t="s">
        <v>64</v>
      </c>
      <c r="K42" s="12">
        <f t="shared" si="4"/>
        <v>0</v>
      </c>
      <c r="L42" s="218">
        <f t="shared" si="2"/>
        <v>60.312555707409828</v>
      </c>
    </row>
    <row r="43" spans="1:12" x14ac:dyDescent="0.25">
      <c r="A43" s="2"/>
      <c r="B43" s="2"/>
      <c r="F43" t="s">
        <v>94</v>
      </c>
      <c r="G43">
        <v>2875</v>
      </c>
      <c r="H43" s="204">
        <v>300</v>
      </c>
      <c r="I43" s="13">
        <f t="shared" si="1"/>
        <v>8.9131855725236193E-3</v>
      </c>
      <c r="J43" t="s">
        <v>64</v>
      </c>
      <c r="K43" s="12">
        <f t="shared" si="4"/>
        <v>0</v>
      </c>
      <c r="L43" s="218">
        <f t="shared" si="2"/>
        <v>623.92299007665338</v>
      </c>
    </row>
    <row r="44" spans="1:12" x14ac:dyDescent="0.25">
      <c r="A44" s="2"/>
      <c r="B44" s="2"/>
      <c r="F44" t="s">
        <v>179</v>
      </c>
      <c r="H44" s="204">
        <v>5</v>
      </c>
      <c r="I44" s="13">
        <f t="shared" si="1"/>
        <v>1.4855309287539365E-4</v>
      </c>
      <c r="J44" t="s">
        <v>59</v>
      </c>
      <c r="K44" s="12">
        <f t="shared" ref="K44:K45" si="5">IF(J44="Produção",$K$14+$K$15+$K$16,0)*I44</f>
        <v>0.87151147820230945</v>
      </c>
      <c r="L44" s="218">
        <f t="shared" ref="L44:L45" si="6">$K$17*I44</f>
        <v>10.398716501277557</v>
      </c>
    </row>
    <row r="45" spans="1:12" x14ac:dyDescent="0.25">
      <c r="A45" s="2"/>
      <c r="B45" s="2"/>
      <c r="F45" t="s">
        <v>178</v>
      </c>
      <c r="H45" s="204">
        <v>1</v>
      </c>
      <c r="I45" s="13">
        <f t="shared" si="1"/>
        <v>2.9710618575078734E-5</v>
      </c>
      <c r="J45" t="s">
        <v>59</v>
      </c>
      <c r="K45" s="12">
        <f t="shared" si="5"/>
        <v>0.17430229564046193</v>
      </c>
      <c r="L45" s="218">
        <f t="shared" si="6"/>
        <v>2.0797433002555112</v>
      </c>
    </row>
    <row r="46" spans="1:12" ht="16.5" x14ac:dyDescent="0.25">
      <c r="A46" s="2"/>
      <c r="B46" s="5"/>
      <c r="F46" s="11" t="s">
        <v>38</v>
      </c>
      <c r="G46" s="244">
        <f>SUM(G26:G43)</f>
        <v>324171</v>
      </c>
      <c r="H46" s="245">
        <f>SUM(H26:H43)</f>
        <v>33658</v>
      </c>
      <c r="I46" s="246">
        <f>SUM(I26:I43)</f>
        <v>1</v>
      </c>
      <c r="J46" s="247"/>
      <c r="K46" s="248">
        <f>SUM(K26:K43)</f>
        <v>5866.666666666667</v>
      </c>
      <c r="L46" s="249">
        <f>SUM(L26:L43)</f>
        <v>70000</v>
      </c>
    </row>
    <row r="47" spans="1:12" ht="19.5" x14ac:dyDescent="0.25">
      <c r="A47" s="2"/>
      <c r="B47" s="8"/>
      <c r="F47" s="11" t="s">
        <v>208</v>
      </c>
      <c r="G47">
        <f>COUNTA(F26:F42)</f>
        <v>17</v>
      </c>
      <c r="H47" s="11" t="s">
        <v>216</v>
      </c>
      <c r="I47" s="218">
        <f>K46+L46</f>
        <v>75866.666666666672</v>
      </c>
      <c r="J47" s="204"/>
    </row>
    <row r="48" spans="1:12" ht="19.5" x14ac:dyDescent="0.25">
      <c r="A48" s="2"/>
      <c r="B48" s="8"/>
      <c r="H48" s="204"/>
      <c r="I48" s="204"/>
      <c r="J48" s="204"/>
    </row>
    <row r="49" spans="1:10" x14ac:dyDescent="0.25">
      <c r="A49" s="2"/>
      <c r="B49" s="7"/>
      <c r="H49" s="204"/>
      <c r="I49" s="204"/>
      <c r="J49" s="204"/>
    </row>
    <row r="50" spans="1:10" x14ac:dyDescent="0.25">
      <c r="A50" s="2"/>
      <c r="B50" s="2"/>
      <c r="H50" s="204"/>
      <c r="I50" s="204"/>
      <c r="J50" s="204"/>
    </row>
    <row r="51" spans="1:10" x14ac:dyDescent="0.25">
      <c r="A51" s="2"/>
      <c r="B51" s="2"/>
      <c r="H51" s="204"/>
      <c r="I51" s="204"/>
      <c r="J51" s="204"/>
    </row>
    <row r="52" spans="1:10" x14ac:dyDescent="0.25">
      <c r="A52" s="2"/>
      <c r="B52" s="2"/>
      <c r="H52" s="204"/>
      <c r="I52" s="204"/>
      <c r="J52" s="204"/>
    </row>
    <row r="53" spans="1:10" x14ac:dyDescent="0.25">
      <c r="A53" s="2"/>
      <c r="B53" s="259"/>
      <c r="H53" s="204"/>
      <c r="I53" s="204"/>
      <c r="J53" s="204"/>
    </row>
    <row r="54" spans="1:10" x14ac:dyDescent="0.25">
      <c r="A54" s="2"/>
      <c r="B54" s="259"/>
      <c r="H54" s="204"/>
      <c r="I54" s="204"/>
      <c r="J54" s="204"/>
    </row>
    <row r="55" spans="1:10" x14ac:dyDescent="0.25">
      <c r="A55" s="2"/>
      <c r="B55" s="259"/>
      <c r="H55" s="204"/>
      <c r="I55" s="204"/>
      <c r="J55" s="204"/>
    </row>
    <row r="56" spans="1:10" x14ac:dyDescent="0.25">
      <c r="A56" s="2"/>
      <c r="B56" s="259"/>
      <c r="H56" s="204"/>
      <c r="I56" s="204"/>
      <c r="J56" s="204"/>
    </row>
    <row r="57" spans="1:10" x14ac:dyDescent="0.25">
      <c r="A57" s="2"/>
      <c r="B57" s="2"/>
      <c r="H57" s="204"/>
      <c r="I57" s="204"/>
      <c r="J57" s="204"/>
    </row>
    <row r="58" spans="1:10" x14ac:dyDescent="0.25">
      <c r="A58" s="2"/>
      <c r="B58" s="2"/>
      <c r="H58" s="204"/>
      <c r="I58" s="204"/>
      <c r="J58" s="204"/>
    </row>
    <row r="59" spans="1:10" x14ac:dyDescent="0.25">
      <c r="A59" s="2"/>
      <c r="B59" s="2"/>
    </row>
    <row r="60" spans="1:10" x14ac:dyDescent="0.25">
      <c r="A60" s="2"/>
      <c r="B60" s="2"/>
    </row>
    <row r="61" spans="1:10" x14ac:dyDescent="0.25">
      <c r="A61" s="2"/>
      <c r="B61" s="2"/>
    </row>
    <row r="62" spans="1:10" x14ac:dyDescent="0.25">
      <c r="A62" s="2"/>
      <c r="B62" s="2"/>
    </row>
    <row r="63" spans="1:10" x14ac:dyDescent="0.25">
      <c r="A63" s="2"/>
      <c r="B63" s="2"/>
    </row>
    <row r="64" spans="1:10" x14ac:dyDescent="0.25">
      <c r="A64" s="2"/>
      <c r="B64" s="2"/>
    </row>
    <row r="65" spans="1:2" x14ac:dyDescent="0.25">
      <c r="A65" s="2"/>
      <c r="B65" s="2"/>
    </row>
    <row r="66" spans="1:2" x14ac:dyDescent="0.25">
      <c r="A66" s="2"/>
      <c r="B66" s="2"/>
    </row>
    <row r="67" spans="1:2" x14ac:dyDescent="0.25">
      <c r="A67" s="2"/>
      <c r="B67" s="2"/>
    </row>
    <row r="68" spans="1:2" x14ac:dyDescent="0.25">
      <c r="B68" s="2"/>
    </row>
    <row r="69" spans="1:2" x14ac:dyDescent="0.25">
      <c r="B69" s="2"/>
    </row>
    <row r="70" spans="1:2" x14ac:dyDescent="0.25">
      <c r="B70" s="2"/>
    </row>
    <row r="71" spans="1:2" x14ac:dyDescent="0.25">
      <c r="B71" s="2"/>
    </row>
    <row r="72" spans="1:2" x14ac:dyDescent="0.25">
      <c r="B72" s="2"/>
    </row>
    <row r="73" spans="1:2" x14ac:dyDescent="0.25">
      <c r="B73" s="2"/>
    </row>
    <row r="74" spans="1:2" x14ac:dyDescent="0.25">
      <c r="B74" s="2"/>
    </row>
    <row r="75" spans="1:2" x14ac:dyDescent="0.25">
      <c r="B75" s="2"/>
    </row>
    <row r="76" spans="1:2" x14ac:dyDescent="0.25">
      <c r="B76" s="2"/>
    </row>
    <row r="77" spans="1:2" x14ac:dyDescent="0.25">
      <c r="B77" s="2"/>
    </row>
    <row r="78" spans="1:2" x14ac:dyDescent="0.25">
      <c r="B78" s="2"/>
    </row>
    <row r="79" spans="1:2" x14ac:dyDescent="0.25">
      <c r="B79" s="2"/>
    </row>
    <row r="80" spans="1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ht="24" x14ac:dyDescent="0.25">
      <c r="B92" s="10"/>
    </row>
    <row r="93" spans="2:2" ht="24" x14ac:dyDescent="0.25">
      <c r="B93" s="10"/>
    </row>
    <row r="94" spans="2:2" ht="24" x14ac:dyDescent="0.25">
      <c r="B94" s="10"/>
    </row>
    <row r="95" spans="2:2" x14ac:dyDescent="0.25">
      <c r="B95" s="2"/>
    </row>
  </sheetData>
  <mergeCells count="3">
    <mergeCell ref="B53:B56"/>
    <mergeCell ref="H12:K12"/>
    <mergeCell ref="F24:I24"/>
  </mergeCells>
  <phoneticPr fontId="21" type="noConversion"/>
  <dataValidations count="2">
    <dataValidation type="list" allowBlank="1" showInputMessage="1" showErrorMessage="1" sqref="G14:G23 G48:G383" xr:uid="{00000000-0002-0000-0300-000000000000}">
      <formula1>"Operacional,Direto,Caixa"</formula1>
    </dataValidation>
    <dataValidation type="list" allowBlank="1" showInputMessage="1" showErrorMessage="1" sqref="J26:J45" xr:uid="{00000000-0002-0000-0300-000001000000}">
      <formula1>"Produção,Tercerizado"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A1:M92"/>
  <sheetViews>
    <sheetView showGridLines="0" showRowColHeaders="0" zoomScale="85" zoomScaleNormal="85" workbookViewId="0"/>
  </sheetViews>
  <sheetFormatPr defaultRowHeight="15" x14ac:dyDescent="0.25"/>
  <cols>
    <col min="1" max="2" width="20.7109375" style="9" customWidth="1"/>
    <col min="6" max="7" width="20.7109375" customWidth="1"/>
    <col min="8" max="8" width="20.7109375" style="205" customWidth="1"/>
    <col min="9" max="9" width="20.7109375" style="204" customWidth="1"/>
    <col min="10" max="10" width="20.7109375" style="12" customWidth="1"/>
    <col min="11" max="11" width="22.42578125" style="12" bestFit="1" customWidth="1"/>
    <col min="12" max="12" width="26.5703125" style="12" bestFit="1" customWidth="1"/>
  </cols>
  <sheetData>
    <row r="1" spans="1:13" ht="21" x14ac:dyDescent="0.25">
      <c r="A1" s="1"/>
      <c r="B1" s="1"/>
      <c r="H1" s="12"/>
      <c r="I1" s="12"/>
      <c r="L1"/>
    </row>
    <row r="2" spans="1:13" ht="21" x14ac:dyDescent="0.25">
      <c r="A2" s="1"/>
      <c r="B2" s="1"/>
      <c r="H2" s="12"/>
      <c r="I2" s="12"/>
      <c r="L2"/>
    </row>
    <row r="3" spans="1:13" ht="21" x14ac:dyDescent="0.25">
      <c r="A3" s="1"/>
      <c r="B3" s="1"/>
      <c r="H3" s="12"/>
      <c r="I3" s="12"/>
      <c r="L3"/>
    </row>
    <row r="4" spans="1:13" ht="21" x14ac:dyDescent="0.25">
      <c r="A4" s="1"/>
      <c r="B4" s="1"/>
      <c r="H4" s="12"/>
      <c r="I4" s="12"/>
      <c r="L4"/>
    </row>
    <row r="5" spans="1:13" ht="21" x14ac:dyDescent="0.25">
      <c r="A5" s="1"/>
      <c r="B5" s="1"/>
      <c r="H5" s="12"/>
      <c r="I5" s="12"/>
      <c r="L5"/>
    </row>
    <row r="6" spans="1:13" ht="21" x14ac:dyDescent="0.25">
      <c r="A6" s="1"/>
      <c r="B6" s="1"/>
      <c r="H6" s="12"/>
      <c r="I6" s="12"/>
      <c r="L6"/>
    </row>
    <row r="7" spans="1:13" ht="21" x14ac:dyDescent="0.25">
      <c r="A7" s="3"/>
      <c r="B7" s="3"/>
      <c r="H7" s="12"/>
      <c r="I7" s="12"/>
      <c r="L7"/>
    </row>
    <row r="8" spans="1:13" ht="21" x14ac:dyDescent="0.25">
      <c r="A8" s="3"/>
      <c r="B8" s="3"/>
      <c r="H8" s="12"/>
      <c r="I8" s="12"/>
      <c r="L8"/>
    </row>
    <row r="9" spans="1:13" ht="21" x14ac:dyDescent="0.25">
      <c r="A9" s="3"/>
      <c r="B9" s="3"/>
      <c r="H9" s="12"/>
      <c r="I9" s="12"/>
      <c r="L9"/>
    </row>
    <row r="10" spans="1:13" ht="21" x14ac:dyDescent="0.25">
      <c r="A10" s="3"/>
      <c r="B10" s="3"/>
      <c r="H10" s="12"/>
      <c r="I10" s="12"/>
      <c r="L10"/>
    </row>
    <row r="11" spans="1:13" ht="21" x14ac:dyDescent="0.25">
      <c r="A11" s="3"/>
      <c r="B11" s="3"/>
      <c r="H11" s="12"/>
      <c r="I11" s="12"/>
      <c r="L11"/>
    </row>
    <row r="12" spans="1:13" ht="21" x14ac:dyDescent="0.25">
      <c r="A12" s="3"/>
      <c r="B12" s="3"/>
      <c r="H12" s="261" t="s">
        <v>153</v>
      </c>
      <c r="I12" s="262"/>
      <c r="J12" s="261" t="s">
        <v>158</v>
      </c>
      <c r="K12" s="262"/>
      <c r="L12" s="203" t="s">
        <v>159</v>
      </c>
      <c r="M12" s="206"/>
    </row>
    <row r="13" spans="1:13" ht="21" x14ac:dyDescent="0.25">
      <c r="A13" s="3"/>
      <c r="B13" s="3"/>
      <c r="F13" s="11" t="s">
        <v>146</v>
      </c>
      <c r="G13" s="11" t="s">
        <v>151</v>
      </c>
      <c r="H13" s="15" t="s">
        <v>155</v>
      </c>
      <c r="I13" s="15" t="s">
        <v>152</v>
      </c>
      <c r="J13" s="15" t="s">
        <v>154</v>
      </c>
      <c r="K13" s="15" t="s">
        <v>156</v>
      </c>
      <c r="L13" s="15" t="s">
        <v>157</v>
      </c>
    </row>
    <row r="14" spans="1:13" ht="21" x14ac:dyDescent="0.25">
      <c r="A14" s="3"/>
      <c r="B14" s="3"/>
      <c r="F14" t="s">
        <v>147</v>
      </c>
      <c r="G14" t="s">
        <v>173</v>
      </c>
      <c r="H14" s="205">
        <v>8</v>
      </c>
      <c r="I14" s="232">
        <f>(331067-290256)/12</f>
        <v>3400.9166666666665</v>
      </c>
      <c r="J14" s="12">
        <f>1088.33/12</f>
        <v>90.694166666666661</v>
      </c>
      <c r="K14" s="12">
        <f>(174.63*3)+99</f>
        <v>622.89</v>
      </c>
      <c r="L14" s="12">
        <v>10000</v>
      </c>
    </row>
    <row r="15" spans="1:13" ht="16.5" x14ac:dyDescent="0.25">
      <c r="A15" s="2"/>
      <c r="B15" s="4"/>
      <c r="F15" t="s">
        <v>148</v>
      </c>
      <c r="G15" t="s">
        <v>171</v>
      </c>
      <c r="H15" s="205">
        <v>8</v>
      </c>
      <c r="I15" s="232">
        <f>(298290-248852)/12</f>
        <v>4119.833333333333</v>
      </c>
      <c r="J15" s="12">
        <f>1587.01/12</f>
        <v>132.25083333333333</v>
      </c>
      <c r="K15" s="12">
        <f>(195.07*3)+99</f>
        <v>684.21</v>
      </c>
      <c r="L15" s="12">
        <v>10000</v>
      </c>
    </row>
    <row r="16" spans="1:13" x14ac:dyDescent="0.25">
      <c r="A16" s="2"/>
      <c r="B16" s="2"/>
      <c r="F16" t="s">
        <v>149</v>
      </c>
      <c r="G16" t="s">
        <v>172</v>
      </c>
      <c r="H16" s="205">
        <v>8</v>
      </c>
      <c r="I16" s="232">
        <f>(475539-444422)/12</f>
        <v>2593.0833333333335</v>
      </c>
      <c r="J16" s="12">
        <f>865.04/12</f>
        <v>72.086666666666659</v>
      </c>
      <c r="K16" s="12">
        <f>(110.41*3)+99</f>
        <v>430.23</v>
      </c>
      <c r="L16" s="12">
        <v>10000</v>
      </c>
    </row>
    <row r="17" spans="1:12" x14ac:dyDescent="0.25">
      <c r="A17" s="2"/>
      <c r="B17" s="2"/>
      <c r="F17" t="s">
        <v>150</v>
      </c>
      <c r="G17" t="s">
        <v>174</v>
      </c>
      <c r="H17" s="205">
        <v>8</v>
      </c>
      <c r="I17" s="232">
        <f>(320996-276664)/12</f>
        <v>3694.3333333333335</v>
      </c>
      <c r="J17" s="12">
        <f>1982.16/12</f>
        <v>165.18</v>
      </c>
      <c r="K17" s="12">
        <f>(408.14*3)+99</f>
        <v>1323.42</v>
      </c>
      <c r="L17" s="12">
        <v>10000</v>
      </c>
    </row>
    <row r="18" spans="1:12" x14ac:dyDescent="0.25">
      <c r="A18" s="2"/>
      <c r="B18" s="2"/>
    </row>
    <row r="19" spans="1:12" x14ac:dyDescent="0.25">
      <c r="A19" s="2"/>
      <c r="B19" s="2"/>
    </row>
    <row r="20" spans="1:12" x14ac:dyDescent="0.25">
      <c r="A20" s="2"/>
      <c r="B20" s="2"/>
    </row>
    <row r="21" spans="1:12" x14ac:dyDescent="0.25">
      <c r="A21" s="2"/>
      <c r="B21" s="2"/>
    </row>
    <row r="22" spans="1:12" x14ac:dyDescent="0.25">
      <c r="A22" s="2"/>
      <c r="B22" s="2"/>
    </row>
    <row r="23" spans="1:12" x14ac:dyDescent="0.25">
      <c r="A23" s="2"/>
      <c r="B23" s="2"/>
    </row>
    <row r="24" spans="1:12" x14ac:dyDescent="0.25">
      <c r="A24" s="2"/>
      <c r="B24" s="2"/>
    </row>
    <row r="25" spans="1:12" ht="16.5" x14ac:dyDescent="0.25">
      <c r="A25" s="2"/>
      <c r="B25" s="5"/>
    </row>
    <row r="26" spans="1:12" ht="16.5" x14ac:dyDescent="0.25">
      <c r="A26" s="2"/>
      <c r="B26" s="5"/>
    </row>
    <row r="27" spans="1:12" ht="16.5" x14ac:dyDescent="0.25">
      <c r="A27" s="2"/>
      <c r="B27" s="4"/>
    </row>
    <row r="28" spans="1:12" ht="19.5" x14ac:dyDescent="0.25">
      <c r="A28" s="2"/>
      <c r="B28" s="6"/>
    </row>
    <row r="29" spans="1:12" x14ac:dyDescent="0.25">
      <c r="A29" s="2"/>
      <c r="B29" s="7"/>
    </row>
    <row r="30" spans="1:12" x14ac:dyDescent="0.25">
      <c r="A30" s="2"/>
      <c r="B30" s="2"/>
    </row>
    <row r="31" spans="1:12" x14ac:dyDescent="0.25">
      <c r="A31" s="2"/>
      <c r="B31" s="2"/>
    </row>
    <row r="32" spans="1:12" x14ac:dyDescent="0.25">
      <c r="A32" s="2"/>
      <c r="B32" s="2"/>
    </row>
    <row r="33" spans="1:2" x14ac:dyDescent="0.25">
      <c r="A33" s="2"/>
      <c r="B33" s="2"/>
    </row>
    <row r="34" spans="1:2" x14ac:dyDescent="0.25">
      <c r="A34" s="2"/>
      <c r="B34" s="2"/>
    </row>
    <row r="35" spans="1:2" x14ac:dyDescent="0.25">
      <c r="A35" s="2"/>
      <c r="B35" s="2"/>
    </row>
    <row r="36" spans="1:2" x14ac:dyDescent="0.25">
      <c r="A36" s="2"/>
      <c r="B36" s="2"/>
    </row>
    <row r="37" spans="1:2" x14ac:dyDescent="0.25">
      <c r="A37" s="2"/>
      <c r="B37" s="2"/>
    </row>
    <row r="38" spans="1:2" x14ac:dyDescent="0.25">
      <c r="A38" s="2"/>
      <c r="B38" s="2"/>
    </row>
    <row r="39" spans="1:2" x14ac:dyDescent="0.25">
      <c r="A39" s="2"/>
      <c r="B39" s="2"/>
    </row>
    <row r="40" spans="1:2" x14ac:dyDescent="0.25">
      <c r="A40" s="2"/>
      <c r="B40" s="2"/>
    </row>
    <row r="41" spans="1:2" x14ac:dyDescent="0.25">
      <c r="A41" s="2"/>
      <c r="B41" s="2"/>
    </row>
    <row r="42" spans="1:2" x14ac:dyDescent="0.25">
      <c r="A42" s="2"/>
      <c r="B42" s="2"/>
    </row>
    <row r="43" spans="1:2" ht="16.5" x14ac:dyDescent="0.25">
      <c r="A43" s="2"/>
      <c r="B43" s="5"/>
    </row>
    <row r="44" spans="1:2" ht="19.5" x14ac:dyDescent="0.25">
      <c r="A44" s="2"/>
      <c r="B44" s="8"/>
    </row>
    <row r="45" spans="1:2" ht="19.5" x14ac:dyDescent="0.25">
      <c r="A45" s="2"/>
      <c r="B45" s="8"/>
    </row>
    <row r="46" spans="1:2" x14ac:dyDescent="0.25">
      <c r="A46" s="2"/>
      <c r="B46" s="7"/>
    </row>
    <row r="47" spans="1:2" x14ac:dyDescent="0.25">
      <c r="A47" s="2"/>
      <c r="B47" s="2"/>
    </row>
    <row r="48" spans="1:2" x14ac:dyDescent="0.25">
      <c r="A48" s="2"/>
      <c r="B48" s="2"/>
    </row>
    <row r="49" spans="1:2" x14ac:dyDescent="0.25">
      <c r="A49" s="2"/>
      <c r="B49" s="2"/>
    </row>
    <row r="50" spans="1:2" x14ac:dyDescent="0.25">
      <c r="A50" s="2"/>
      <c r="B50" s="259"/>
    </row>
    <row r="51" spans="1:2" x14ac:dyDescent="0.25">
      <c r="A51" s="2"/>
      <c r="B51" s="259"/>
    </row>
    <row r="52" spans="1:2" x14ac:dyDescent="0.25">
      <c r="A52" s="2"/>
      <c r="B52" s="259"/>
    </row>
    <row r="53" spans="1:2" x14ac:dyDescent="0.25">
      <c r="A53" s="2"/>
      <c r="B53" s="259"/>
    </row>
    <row r="54" spans="1:2" x14ac:dyDescent="0.25">
      <c r="A54" s="2"/>
      <c r="B54" s="2"/>
    </row>
    <row r="55" spans="1:2" x14ac:dyDescent="0.25">
      <c r="A55" s="2"/>
      <c r="B55" s="2"/>
    </row>
    <row r="56" spans="1:2" x14ac:dyDescent="0.25">
      <c r="A56" s="2"/>
      <c r="B56" s="2"/>
    </row>
    <row r="57" spans="1:2" x14ac:dyDescent="0.25">
      <c r="A57" s="2"/>
      <c r="B57" s="2"/>
    </row>
    <row r="58" spans="1:2" x14ac:dyDescent="0.25">
      <c r="A58" s="2"/>
      <c r="B58" s="2"/>
    </row>
    <row r="59" spans="1:2" x14ac:dyDescent="0.25">
      <c r="A59" s="2"/>
      <c r="B59" s="2"/>
    </row>
    <row r="60" spans="1:2" x14ac:dyDescent="0.25">
      <c r="A60" s="2"/>
      <c r="B60" s="2"/>
    </row>
    <row r="61" spans="1:2" x14ac:dyDescent="0.25">
      <c r="A61" s="2"/>
      <c r="B61" s="2"/>
    </row>
    <row r="62" spans="1:2" x14ac:dyDescent="0.25">
      <c r="A62" s="2"/>
      <c r="B62" s="2"/>
    </row>
    <row r="63" spans="1:2" x14ac:dyDescent="0.25">
      <c r="A63" s="2"/>
      <c r="B63" s="2"/>
    </row>
    <row r="64" spans="1:2" x14ac:dyDescent="0.25">
      <c r="A64" s="2"/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ht="24" x14ac:dyDescent="0.25">
      <c r="B89" s="10"/>
    </row>
    <row r="90" spans="2:2" ht="24" x14ac:dyDescent="0.25">
      <c r="B90" s="10"/>
    </row>
    <row r="91" spans="2:2" ht="24" x14ac:dyDescent="0.25">
      <c r="B91" s="10"/>
    </row>
    <row r="92" spans="2:2" x14ac:dyDescent="0.25">
      <c r="B92" s="2"/>
    </row>
  </sheetData>
  <mergeCells count="3">
    <mergeCell ref="B50:B53"/>
    <mergeCell ref="H12:I12"/>
    <mergeCell ref="J12:K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X93"/>
  <sheetViews>
    <sheetView showGridLines="0" showRowColHeaders="0" topLeftCell="A5" zoomScale="85" zoomScaleNormal="85" workbookViewId="0">
      <selection activeCell="F49" sqref="F49"/>
    </sheetView>
  </sheetViews>
  <sheetFormatPr defaultRowHeight="15" x14ac:dyDescent="0.25"/>
  <cols>
    <col min="1" max="2" width="20.7109375" style="9" customWidth="1"/>
    <col min="4" max="4" width="12.42578125" bestFit="1" customWidth="1"/>
    <col min="5" max="5" width="27.42578125" customWidth="1"/>
    <col min="6" max="6" width="21.7109375" customWidth="1"/>
    <col min="7" max="7" width="11.7109375" bestFit="1" customWidth="1"/>
    <col min="8" max="8" width="22.42578125" customWidth="1"/>
    <col min="9" max="9" width="16.140625" customWidth="1"/>
    <col min="10" max="10" width="12.42578125" customWidth="1"/>
    <col min="11" max="11" width="26.140625" bestFit="1" customWidth="1"/>
    <col min="12" max="12" width="12.7109375" bestFit="1" customWidth="1"/>
    <col min="15" max="15" width="12.42578125" bestFit="1" customWidth="1"/>
    <col min="16" max="16" width="10.5703125" bestFit="1" customWidth="1"/>
  </cols>
  <sheetData>
    <row r="1" spans="1:24" ht="21" x14ac:dyDescent="0.25">
      <c r="A1" s="29"/>
      <c r="B1" s="29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</row>
    <row r="2" spans="1:24" ht="21" x14ac:dyDescent="0.25">
      <c r="A2" s="29"/>
      <c r="B2" s="29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ht="21" x14ac:dyDescent="0.25">
      <c r="A3" s="29"/>
      <c r="B3" s="29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</row>
    <row r="4" spans="1:24" ht="21" x14ac:dyDescent="0.25">
      <c r="A4" s="29"/>
      <c r="B4" s="29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</row>
    <row r="5" spans="1:24" ht="21" x14ac:dyDescent="0.25">
      <c r="A5" s="29"/>
      <c r="B5" s="29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</row>
    <row r="6" spans="1:24" ht="21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</row>
    <row r="7" spans="1:24" ht="21" x14ac:dyDescent="0.25">
      <c r="A7" s="31"/>
      <c r="B7" s="31"/>
      <c r="C7" s="30"/>
      <c r="D7" s="30"/>
      <c r="E7" s="32" t="s">
        <v>48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</row>
    <row r="8" spans="1:24" ht="21" x14ac:dyDescent="0.25">
      <c r="A8" s="31"/>
      <c r="B8" s="31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</row>
    <row r="9" spans="1:24" ht="21" x14ac:dyDescent="0.25">
      <c r="A9" s="31"/>
      <c r="B9" s="31"/>
      <c r="C9" s="30"/>
      <c r="D9" s="30"/>
      <c r="E9" s="33" t="s">
        <v>143</v>
      </c>
      <c r="F9" s="199">
        <f ca="1">TODAY()</f>
        <v>46063</v>
      </c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</row>
    <row r="10" spans="1:24" ht="21" x14ac:dyDescent="0.25">
      <c r="A10" s="31"/>
      <c r="B10" s="31"/>
      <c r="C10" s="30"/>
      <c r="D10" s="30"/>
      <c r="E10" s="33" t="s">
        <v>74</v>
      </c>
      <c r="F10" s="129" t="s">
        <v>186</v>
      </c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</row>
    <row r="11" spans="1:24" ht="21" x14ac:dyDescent="0.25">
      <c r="A11" s="31"/>
      <c r="B11" s="31"/>
      <c r="C11" s="30"/>
      <c r="D11" s="30"/>
      <c r="E11" s="33" t="s">
        <v>75</v>
      </c>
      <c r="F11" s="234">
        <f>VLOOKUP(F10,'Cad2'!F14:L71,6,0)</f>
        <v>10000</v>
      </c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</row>
    <row r="12" spans="1:24" ht="21" x14ac:dyDescent="0.25">
      <c r="A12" s="31"/>
      <c r="B12" s="31"/>
      <c r="C12" s="30"/>
      <c r="D12" s="30"/>
      <c r="E12" s="33" t="s">
        <v>76</v>
      </c>
      <c r="F12" s="234">
        <f>VLOOKUP(F10,'Cad2'!F14:L71,7,0)</f>
        <v>9000</v>
      </c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</row>
    <row r="13" spans="1:24" ht="21.75" thickBot="1" x14ac:dyDescent="0.3">
      <c r="A13" s="31"/>
      <c r="B13" s="31"/>
      <c r="C13" s="30"/>
      <c r="D13" s="34"/>
      <c r="E13" s="35" t="s">
        <v>77</v>
      </c>
      <c r="F13" s="36">
        <f>VLOOKUP(F10,'Cad1'!F14:O81,10,0)</f>
        <v>960</v>
      </c>
      <c r="G13" s="37"/>
      <c r="H13" s="32"/>
      <c r="I13" s="32"/>
      <c r="J13" s="32"/>
      <c r="K13" s="32"/>
      <c r="L13" s="32"/>
      <c r="M13" s="38"/>
      <c r="N13" s="32"/>
      <c r="O13" s="32"/>
      <c r="P13" s="32"/>
      <c r="Q13" s="38"/>
      <c r="R13" s="30"/>
      <c r="S13" s="30"/>
      <c r="T13" s="30"/>
      <c r="U13" s="30"/>
      <c r="V13" s="30"/>
      <c r="W13" s="30"/>
      <c r="X13" s="30"/>
    </row>
    <row r="14" spans="1:24" ht="21" x14ac:dyDescent="0.25">
      <c r="A14" s="31"/>
      <c r="B14" s="31"/>
      <c r="C14" s="30"/>
      <c r="D14" s="30"/>
      <c r="E14" s="39"/>
      <c r="F14" s="40">
        <f>(F12*100%)/F11</f>
        <v>0.9</v>
      </c>
      <c r="G14" s="32"/>
      <c r="H14" s="32"/>
      <c r="I14" s="32"/>
      <c r="J14" s="32"/>
      <c r="K14" s="32"/>
      <c r="L14" s="32"/>
      <c r="M14" s="38"/>
      <c r="N14" s="32"/>
      <c r="O14" s="32"/>
      <c r="P14" s="32"/>
      <c r="Q14" s="38"/>
      <c r="R14" s="30"/>
      <c r="S14" s="30"/>
      <c r="T14" s="30"/>
      <c r="U14" s="30"/>
      <c r="V14" s="30"/>
      <c r="W14" s="30"/>
      <c r="X14" s="30"/>
    </row>
    <row r="15" spans="1:24" ht="21" x14ac:dyDescent="0.25">
      <c r="A15" s="31"/>
      <c r="B15" s="31"/>
      <c r="C15" s="30"/>
      <c r="D15" s="30"/>
      <c r="E15" s="180"/>
      <c r="F15" s="35"/>
      <c r="G15" s="37"/>
      <c r="H15" s="32"/>
      <c r="I15" s="32"/>
      <c r="J15" s="32"/>
      <c r="K15" s="32"/>
      <c r="L15" s="32"/>
      <c r="M15" s="38"/>
      <c r="N15" s="32"/>
      <c r="O15" s="32"/>
      <c r="P15" s="32"/>
      <c r="Q15" s="38"/>
      <c r="R15" s="30"/>
      <c r="S15" s="30"/>
      <c r="T15" s="30"/>
      <c r="U15" s="30"/>
      <c r="V15" s="30"/>
      <c r="W15" s="30"/>
      <c r="X15" s="30"/>
    </row>
    <row r="16" spans="1:24" ht="21.75" thickBot="1" x14ac:dyDescent="0.3">
      <c r="A16" s="41"/>
      <c r="B16" s="41"/>
      <c r="C16" s="30"/>
      <c r="D16" s="30"/>
      <c r="E16" s="42" t="s">
        <v>78</v>
      </c>
      <c r="F16" s="43"/>
      <c r="G16" s="38"/>
      <c r="H16" s="38"/>
      <c r="I16" s="38"/>
      <c r="J16" s="38"/>
      <c r="K16" s="38"/>
      <c r="L16" s="38"/>
      <c r="M16" s="38"/>
      <c r="N16" s="44"/>
      <c r="O16" s="44"/>
      <c r="P16" s="44"/>
      <c r="Q16" s="38"/>
      <c r="R16" s="30"/>
      <c r="S16" s="30"/>
      <c r="T16" s="30"/>
      <c r="U16" s="30"/>
      <c r="V16" s="30"/>
      <c r="W16" s="30"/>
      <c r="X16" s="30"/>
    </row>
    <row r="17" spans="1:24" ht="21" x14ac:dyDescent="0.25">
      <c r="A17" s="41"/>
      <c r="B17" s="41"/>
      <c r="C17" s="30"/>
      <c r="D17" s="30"/>
      <c r="E17" s="45" t="str" cm="1">
        <f t="array" ref="E17">IF(ROWS('Cad2'!$1:1)&gt;COUNTIF('Cad2'!$S$19:$S$2000,$F$10),"",INDEX('Cad2'!$D$19:$D$2000,SMALL(IF('Cad2'!$S$19:$S$2000=$F$10,ROW('Cad2'!$S$19:$S$2000)-ROW('Cad2'!$S$19)+1,FALSE),ROWS('Cad2'!$1:1))))</f>
        <v/>
      </c>
      <c r="F17" s="46" t="s">
        <v>34</v>
      </c>
      <c r="G17" s="46" t="s">
        <v>35</v>
      </c>
      <c r="H17" s="46" t="s">
        <v>36</v>
      </c>
      <c r="I17" s="46" t="s">
        <v>37</v>
      </c>
      <c r="J17" s="47" t="s">
        <v>39</v>
      </c>
      <c r="K17" s="47" t="s">
        <v>40</v>
      </c>
      <c r="L17" s="47" t="s">
        <v>34</v>
      </c>
      <c r="M17" s="48"/>
      <c r="N17" s="44"/>
      <c r="O17" s="44"/>
      <c r="P17" s="44"/>
      <c r="Q17" s="38"/>
      <c r="R17" s="30"/>
      <c r="S17" s="30"/>
      <c r="T17" s="30"/>
      <c r="U17" s="30"/>
      <c r="V17" s="30"/>
      <c r="W17" s="30"/>
      <c r="X17" s="30"/>
    </row>
    <row r="18" spans="1:24" x14ac:dyDescent="0.25">
      <c r="A18" s="41"/>
      <c r="B18" s="41"/>
      <c r="C18" s="30"/>
      <c r="D18" s="30"/>
      <c r="E18" s="49" t="s">
        <v>0</v>
      </c>
      <c r="F18" s="30"/>
      <c r="G18" s="50"/>
      <c r="H18" s="30"/>
      <c r="I18" s="30"/>
      <c r="J18" s="30"/>
      <c r="K18" s="30"/>
      <c r="L18" s="30"/>
      <c r="M18" s="51"/>
      <c r="N18" s="52"/>
      <c r="O18" s="53"/>
      <c r="P18" s="53"/>
      <c r="Q18" s="38"/>
      <c r="R18" s="30"/>
      <c r="S18" s="30"/>
      <c r="T18" s="30"/>
      <c r="U18" s="30"/>
      <c r="V18" s="30"/>
      <c r="W18" s="30"/>
      <c r="X18" s="30"/>
    </row>
    <row r="19" spans="1:24" x14ac:dyDescent="0.25">
      <c r="A19" s="41"/>
      <c r="B19" s="41"/>
      <c r="C19" s="30"/>
      <c r="D19" s="30"/>
      <c r="E19" s="54" t="str">
        <f t="array" ref="E19">IF(ROWS('Cad2'!$1:1)&gt;COUNTIF('Cad2'!$F$14:$F$200,$F$10),"",INDEX('Cad2'!$G$14:$G$200,SMALL(IF('Cad2'!$F$14:$F$200=$F$10,ROW('Cad2'!$F$14:$F$200)-ROW('Cad2'!$F$14)+1,FALSE),ROWS('Cad2'!$1:1))))</f>
        <v>Maragarina Vegetal Ricca Seara</v>
      </c>
      <c r="F19" s="55" cm="1">
        <f t="array" ref="F19">IF(ROWS('Cad2'!$1:1)&gt;COUNTIF('Cad2'!$F$14:$F$200,$F$10),"",INDEX('Cad2'!$J$14:$J$200,SMALL(IF('Cad2'!$F$14:$F$200=$F$10,ROW('Cad2'!$F$14:$F$200)-ROW('Cad2'!$F$14)+1,FALSE),ROWS('Cad2'!$1:1))))</f>
        <v>7.0000000000000007E-2</v>
      </c>
      <c r="G19" s="56" cm="1">
        <f t="array" ref="G19">IF(ROWS('Cad2'!$1:1)&gt;COUNTIF('Cad2'!$F$14:$F$200,$F$10),"",INDEX('Cad2'!$H$14:$H$200,SMALL(IF('Cad2'!$F$14:$F$200=$F$10,ROW('Cad2'!$F$14:$F$200)-ROW('Cad2'!$F$14)+1,FALSE),ROWS('Cad2'!$1:1))))</f>
        <v>420</v>
      </c>
      <c r="H19" s="57" cm="1">
        <f t="array" ref="H19">IF(ROWS('Cad2'!$1:1)&gt;COUNTIF('Cad2'!$F$14:$F$200,$F$10),"",INDEX('Cad2'!$I$14:$I$200,SMALL(IF('Cad2'!$F$14:$F$200=$F$10,ROW('Cad2'!$F$14:$F$200)-ROW('Cad2'!$F$14)+1,FALSE),ROWS('Cad2'!$1:1))))</f>
        <v>13</v>
      </c>
      <c r="I19" s="50">
        <f>IFERROR(O19,0)</f>
        <v>5460</v>
      </c>
      <c r="J19" s="235">
        <f t="shared" ref="J19:J30" si="0">IFERROR(N19,0)</f>
        <v>0.4375</v>
      </c>
      <c r="K19" s="237">
        <f>(J19*100%)/$J$31</f>
        <v>0.44491525423728817</v>
      </c>
      <c r="L19" s="58">
        <f>IFERROR(P19,0)</f>
        <v>382.20000000000005</v>
      </c>
      <c r="M19" s="48"/>
      <c r="N19" s="53">
        <f>G19/$F$13</f>
        <v>0.4375</v>
      </c>
      <c r="O19" s="59">
        <f>G19*H19</f>
        <v>5460</v>
      </c>
      <c r="P19" s="59">
        <f>I19*F19</f>
        <v>382.20000000000005</v>
      </c>
      <c r="Q19" s="38"/>
      <c r="R19" s="30"/>
      <c r="S19" s="30"/>
      <c r="T19" s="30"/>
      <c r="U19" s="30"/>
      <c r="V19" s="30"/>
      <c r="W19" s="30"/>
      <c r="X19" s="30"/>
    </row>
    <row r="20" spans="1:24" x14ac:dyDescent="0.25">
      <c r="A20" s="41"/>
      <c r="B20" s="41"/>
      <c r="C20" s="30"/>
      <c r="D20" s="34"/>
      <c r="E20" s="56" t="str">
        <f t="array" ref="E20">IF(ROWS('Cad2'!$1:2)&gt;COUNTIF('Cad2'!$F$14:$F$200,$F$10),"",INDEX('Cad2'!$G$14:$G$200,SMALL(IF('Cad2'!$F$14:$F$200=$F$10,ROW('Cad2'!$F$14:$F$200)-ROW('Cad2'!$F$14)+1,FALSE),ROWS('Cad2'!$1:2))))</f>
        <v>Composto Lacteo</v>
      </c>
      <c r="F20" s="55" cm="1">
        <f t="array" ref="F20">IF(ROWS('Cad2'!$1:2)&gt;COUNTIF('Cad2'!$F$14:$F$200,$F$10),"",INDEX('Cad2'!$J$14:$J$200,SMALL(IF('Cad2'!$F$14:$F$200=$F$10,ROW('Cad2'!$F$14:$F$200)-ROW('Cad2'!$F$14)+1,FALSE),ROWS('Cad2'!$1:2))))</f>
        <v>0.12</v>
      </c>
      <c r="G20" s="56" cm="1">
        <f t="array" ref="G20">IF(ROWS('Cad2'!$1:2)&gt;COUNTIF('Cad2'!$F$14:$F$200,$F$10),"",INDEX('Cad2'!$H$14:$H$200,SMALL(IF('Cad2'!$F$14:$F$200=$F$10,ROW('Cad2'!$F$14:$F$200)-ROW('Cad2'!$F$14)+1,FALSE),ROWS('Cad2'!$1:2))))</f>
        <v>25</v>
      </c>
      <c r="H20" s="57" cm="1">
        <f t="array" ref="H20">IF(ROWS('Cad2'!$1:2)&gt;COUNTIF('Cad2'!$F$14:$F$200,$F$10),"",INDEX('Cad2'!$I$14:$I$200,SMALL(IF('Cad2'!$F$14:$F$200=$F$10,ROW('Cad2'!$F$14:$F$200)-ROW('Cad2'!$F$14)+1,FALSE),ROWS('Cad2'!$1:2))))</f>
        <v>28</v>
      </c>
      <c r="I20" s="50">
        <f t="shared" ref="I20:I30" si="1">IFERROR(O20,0)</f>
        <v>700</v>
      </c>
      <c r="J20" s="235">
        <f t="shared" si="0"/>
        <v>2.6041666666666668E-2</v>
      </c>
      <c r="K20" s="237">
        <f t="shared" ref="K20:K30" si="2">(J20*100%)/$J$31</f>
        <v>2.6483050847457629E-2</v>
      </c>
      <c r="L20" s="58">
        <f t="shared" ref="L20:L30" si="3">IFERROR(P20,0)</f>
        <v>84</v>
      </c>
      <c r="M20" s="48"/>
      <c r="N20" s="53">
        <f>G20/$F$13</f>
        <v>2.6041666666666668E-2</v>
      </c>
      <c r="O20" s="59">
        <f t="shared" ref="O20:O30" si="4">G20*H20</f>
        <v>700</v>
      </c>
      <c r="P20" s="59">
        <f t="shared" ref="P20:P30" si="5">I20*F20</f>
        <v>84</v>
      </c>
      <c r="Q20" s="38"/>
      <c r="R20" s="30"/>
      <c r="S20" s="30"/>
      <c r="T20" s="30"/>
      <c r="U20" s="30"/>
      <c r="V20" s="30"/>
      <c r="W20" s="30"/>
      <c r="X20" s="30"/>
    </row>
    <row r="21" spans="1:24" x14ac:dyDescent="0.25">
      <c r="A21" s="41"/>
      <c r="B21" s="41"/>
      <c r="C21" s="30"/>
      <c r="D21" s="30"/>
      <c r="E21" s="54" t="str">
        <f t="array" ref="E21">IF(ROWS('Cad2'!$1:3)&gt;COUNTIF('Cad2'!$F$14:$F$200,$F$10),"",INDEX('Cad2'!$G$14:$G$200,SMALL(IF('Cad2'!$F$14:$F$200=$F$10,ROW('Cad2'!$F$14:$F$200)-ROW('Cad2'!$F$14)+1,FALSE),ROWS('Cad2'!$1:3))))</f>
        <v>Amido de Milho</v>
      </c>
      <c r="F21" s="55" cm="1">
        <f t="array" ref="F21">IF(ROWS('Cad2'!$1:3)&gt;COUNTIF('Cad2'!$F$14:$F$200,$F$10),"",INDEX('Cad2'!$J$14:$J$200,SMALL(IF('Cad2'!$F$14:$F$200=$F$10,ROW('Cad2'!$F$14:$F$200)-ROW('Cad2'!$F$14)+1,FALSE),ROWS('Cad2'!$1:3))))</f>
        <v>7.0000000000000007E-2</v>
      </c>
      <c r="G21" s="56" cm="1">
        <f t="array" ref="G21">IF(ROWS('Cad2'!$1:3)&gt;COUNTIF('Cad2'!$F$14:$F$200,$F$10),"",INDEX('Cad2'!$H$14:$H$200,SMALL(IF('Cad2'!$F$14:$F$200=$F$10,ROW('Cad2'!$F$14:$F$200)-ROW('Cad2'!$F$14)+1,FALSE),ROWS('Cad2'!$1:3))))</f>
        <v>22</v>
      </c>
      <c r="H21" s="57" cm="1">
        <f t="array" ref="H21">IF(ROWS('Cad2'!$1:3)&gt;COUNTIF('Cad2'!$F$14:$F$200,$F$10),"",INDEX('Cad2'!$I$14:$I$200,SMALL(IF('Cad2'!$F$14:$F$200=$F$10,ROW('Cad2'!$F$14:$F$200)-ROW('Cad2'!$F$14)+1,FALSE),ROWS('Cad2'!$1:3))))</f>
        <v>5</v>
      </c>
      <c r="I21" s="50">
        <f t="shared" si="1"/>
        <v>110</v>
      </c>
      <c r="J21" s="235">
        <f t="shared" si="0"/>
        <v>2.2916666666666665E-2</v>
      </c>
      <c r="K21" s="237">
        <f t="shared" si="2"/>
        <v>2.3305084745762712E-2</v>
      </c>
      <c r="L21" s="58">
        <f t="shared" si="3"/>
        <v>7.7000000000000011</v>
      </c>
      <c r="M21" s="48"/>
      <c r="N21" s="53">
        <f>G21/$F$13</f>
        <v>2.2916666666666665E-2</v>
      </c>
      <c r="O21" s="59">
        <f t="shared" si="4"/>
        <v>110</v>
      </c>
      <c r="P21" s="59">
        <f t="shared" si="5"/>
        <v>7.7000000000000011</v>
      </c>
      <c r="Q21" s="38"/>
      <c r="R21" s="30"/>
      <c r="S21" s="30"/>
      <c r="T21" s="30"/>
      <c r="U21" s="30"/>
      <c r="V21" s="30"/>
      <c r="W21" s="30"/>
      <c r="X21" s="30"/>
    </row>
    <row r="22" spans="1:24" x14ac:dyDescent="0.25">
      <c r="A22" s="41"/>
      <c r="B22" s="41"/>
      <c r="C22" s="30"/>
      <c r="D22" s="30"/>
      <c r="E22" s="54" t="str">
        <f t="array" ref="E22">IF(ROWS('Cad2'!$1:4)&gt;COUNTIF('Cad2'!$F$14:$F$200,$F$10),"",INDEX('Cad2'!$G$14:$G$200,SMALL(IF('Cad2'!$F$14:$F$200=$F$10,ROW('Cad2'!$F$14:$F$200)-ROW('Cad2'!$F$14)+1,FALSE),ROWS('Cad2'!$1:4))))</f>
        <v>Embalagem</v>
      </c>
      <c r="F22" s="55" cm="1">
        <f t="array" ref="F22">IF(ROWS('Cad2'!$1:4)&gt;COUNTIF('Cad2'!$F$14:$F$200,$F$10),"",INDEX('Cad2'!$J$14:$J$200,SMALL(IF('Cad2'!$F$14:$F$200=$F$10,ROW('Cad2'!$F$14:$F$200)-ROW('Cad2'!$F$14)+1,FALSE),ROWS('Cad2'!$1:4))))</f>
        <v>0.12</v>
      </c>
      <c r="G22" s="56" cm="1">
        <f t="array" ref="G22">IF(ROWS('Cad2'!$1:4)&gt;COUNTIF('Cad2'!$F$14:$F$200,$F$10),"",INDEX('Cad2'!$H$14:$H$200,SMALL(IF('Cad2'!$F$14:$F$200=$F$10,ROW('Cad2'!$F$14:$F$200)-ROW('Cad2'!$F$14)+1,FALSE),ROWS('Cad2'!$1:4))))</f>
        <v>7</v>
      </c>
      <c r="H22" s="57" cm="1">
        <f t="array" ref="H22">IF(ROWS('Cad2'!$1:4)&gt;COUNTIF('Cad2'!$F$14:$F$200,$F$10),"",INDEX('Cad2'!$I$14:$I$200,SMALL(IF('Cad2'!$F$14:$F$200=$F$10,ROW('Cad2'!$F$14:$F$200)-ROW('Cad2'!$F$14)+1,FALSE),ROWS('Cad2'!$1:4))))</f>
        <v>35</v>
      </c>
      <c r="I22" s="50">
        <f t="shared" si="1"/>
        <v>245</v>
      </c>
      <c r="J22" s="235">
        <f t="shared" si="0"/>
        <v>7.2916666666666668E-3</v>
      </c>
      <c r="K22" s="237">
        <f t="shared" si="2"/>
        <v>7.4152542372881358E-3</v>
      </c>
      <c r="L22" s="58">
        <f t="shared" si="3"/>
        <v>29.4</v>
      </c>
      <c r="M22" s="48"/>
      <c r="N22" s="53">
        <f>G22/$F$13</f>
        <v>7.2916666666666668E-3</v>
      </c>
      <c r="O22" s="59">
        <f>G22*H22</f>
        <v>245</v>
      </c>
      <c r="P22" s="59">
        <f>I22*F22</f>
        <v>29.4</v>
      </c>
      <c r="Q22" s="38"/>
      <c r="R22" s="30"/>
      <c r="S22" s="30"/>
      <c r="T22" s="30"/>
      <c r="U22" s="30"/>
      <c r="V22" s="30"/>
      <c r="W22" s="30"/>
      <c r="X22" s="30"/>
    </row>
    <row r="23" spans="1:24" x14ac:dyDescent="0.25">
      <c r="A23" s="41"/>
      <c r="B23" s="41"/>
      <c r="C23" s="30"/>
      <c r="D23" s="30"/>
      <c r="E23" s="54" t="str">
        <f t="array" ref="E23">IF(ROWS('Cad2'!$1:5)&gt;COUNTIF('Cad2'!$F$14:$F$200,$F$10),"",INDEX('Cad2'!$G$14:$G$200,SMALL(IF('Cad2'!$F$14:$F$200=$F$10,ROW('Cad2'!$F$14:$F$200)-ROW('Cad2'!$F$14)+1,FALSE),ROWS('Cad2'!$1:5))))</f>
        <v>Água</v>
      </c>
      <c r="F23" s="55" cm="1">
        <f t="array" ref="F23">IF(ROWS('Cad2'!$1:5)&gt;COUNTIF('Cad2'!$F$14:$F$200,$F$10),"",INDEX('Cad2'!$J$14:$J$200,SMALL(IF('Cad2'!$F$14:$F$200=$F$10,ROW('Cad2'!$F$14:$F$200)-ROW('Cad2'!$F$14)+1,FALSE),ROWS('Cad2'!$1:5))))</f>
        <v>0</v>
      </c>
      <c r="G23" s="56" cm="1">
        <f t="array" ref="G23">IF(ROWS('Cad2'!$1:5)&gt;COUNTIF('Cad2'!$F$14:$F$200,$F$10),"",INDEX('Cad2'!$H$14:$H$200,SMALL(IF('Cad2'!$F$14:$F$200=$F$10,ROW('Cad2'!$F$14:$F$200)-ROW('Cad2'!$F$14)+1,FALSE),ROWS('Cad2'!$1:5))))</f>
        <v>470</v>
      </c>
      <c r="H23" s="57" cm="1">
        <f t="array" ref="H23">IF(ROWS('Cad2'!$1:5)&gt;COUNTIF('Cad2'!$F$14:$F$200,$F$10),"",INDEX('Cad2'!$I$14:$I$200,SMALL(IF('Cad2'!$F$14:$F$200=$F$10,ROW('Cad2'!$F$14:$F$200)-ROW('Cad2'!$F$14)+1,FALSE),ROWS('Cad2'!$1:5))))</f>
        <v>0.2</v>
      </c>
      <c r="I23" s="50">
        <f t="shared" si="1"/>
        <v>94</v>
      </c>
      <c r="J23" s="235">
        <f t="shared" si="0"/>
        <v>0.48958333333333331</v>
      </c>
      <c r="K23" s="237">
        <f t="shared" si="2"/>
        <v>0.4978813559322034</v>
      </c>
      <c r="L23" s="58">
        <f t="shared" si="3"/>
        <v>0</v>
      </c>
      <c r="M23" s="48"/>
      <c r="N23" s="53">
        <f t="shared" ref="N23:N30" si="6">G23/$F$13</f>
        <v>0.48958333333333331</v>
      </c>
      <c r="O23" s="59">
        <f t="shared" si="4"/>
        <v>94</v>
      </c>
      <c r="P23" s="59">
        <f t="shared" si="5"/>
        <v>0</v>
      </c>
      <c r="Q23" s="38"/>
      <c r="R23" s="30"/>
      <c r="S23" s="30"/>
      <c r="T23" s="30"/>
      <c r="U23" s="30"/>
      <c r="V23" s="30"/>
      <c r="W23" s="30"/>
      <c r="X23" s="30"/>
    </row>
    <row r="24" spans="1:24" x14ac:dyDescent="0.25">
      <c r="A24" s="41"/>
      <c r="B24" s="41"/>
      <c r="C24" s="30"/>
      <c r="D24" s="30"/>
      <c r="E24" s="54" t="str">
        <f t="array" ref="E24">IF(ROWS('Cad2'!$1:6)&gt;COUNTIF('Cad2'!$F$14:$F$200,$F$10),"",INDEX('Cad2'!$G$14:$G$200,SMALL(IF('Cad2'!$F$14:$F$200=$F$10,ROW('Cad2'!$F$14:$F$200)-ROW('Cad2'!$F$14)+1,FALSE),ROWS('Cad2'!$1:6))))</f>
        <v/>
      </c>
      <c r="F24" s="55" t="str" cm="1">
        <f t="array" ref="F24">IF(ROWS('Cad2'!$1:6)&gt;COUNTIF('Cad2'!$F$14:$F$200,$F$10),"",INDEX('Cad2'!$J$14:$J$200,SMALL(IF('Cad2'!$F$14:$F$200=$F$10,ROW('Cad2'!$F$14:$F$200)-ROW('Cad2'!$F$14)+1,FALSE),ROWS('Cad2'!$1:6))))</f>
        <v/>
      </c>
      <c r="G24" s="56" t="str" cm="1">
        <f t="array" ref="G24">IF(ROWS('Cad2'!$1:6)&gt;COUNTIF('Cad2'!$F$14:$F$200,$F$10),"",INDEX('Cad2'!$H$14:$H$200,SMALL(IF('Cad2'!$F$14:$F$200=$F$10,ROW('Cad2'!$F$14:$F$200)-ROW('Cad2'!$F$14)+1,FALSE),ROWS('Cad2'!$1:6))))</f>
        <v/>
      </c>
      <c r="H24" s="57" t="str" cm="1">
        <f t="array" ref="H24">IF(ROWS('Cad2'!$1:6)&gt;COUNTIF('Cad2'!$F$14:$F$200,$F$10),"",INDEX('Cad2'!$I$14:$I$200,SMALL(IF('Cad2'!$F$14:$F$200=$F$10,ROW('Cad2'!$F$14:$F$200)-ROW('Cad2'!$F$14)+1,FALSE),ROWS('Cad2'!$1:6))))</f>
        <v/>
      </c>
      <c r="I24" s="50">
        <f t="shared" si="1"/>
        <v>0</v>
      </c>
      <c r="J24" s="235">
        <f t="shared" si="0"/>
        <v>0</v>
      </c>
      <c r="K24" s="237">
        <f t="shared" si="2"/>
        <v>0</v>
      </c>
      <c r="L24" s="58">
        <f t="shared" si="3"/>
        <v>0</v>
      </c>
      <c r="M24" s="48"/>
      <c r="N24" s="53" t="e">
        <f t="shared" si="6"/>
        <v>#VALUE!</v>
      </c>
      <c r="O24" s="59" t="e">
        <f t="shared" si="4"/>
        <v>#VALUE!</v>
      </c>
      <c r="P24" s="59" t="e">
        <f t="shared" si="5"/>
        <v>#VALUE!</v>
      </c>
      <c r="Q24" s="38"/>
      <c r="R24" s="30"/>
      <c r="S24" s="30"/>
      <c r="T24" s="30"/>
      <c r="U24" s="30"/>
      <c r="V24" s="30"/>
      <c r="W24" s="30"/>
      <c r="X24" s="30"/>
    </row>
    <row r="25" spans="1:24" ht="16.5" x14ac:dyDescent="0.25">
      <c r="A25" s="41"/>
      <c r="B25" s="60"/>
      <c r="C25" s="30"/>
      <c r="D25" s="30"/>
      <c r="E25" s="54" t="str">
        <f t="array" ref="E25">IF(ROWS('Cad2'!$1:7)&gt;COUNTIF('Cad2'!$F$14:$F$200,$F$10),"",INDEX('Cad2'!$G$14:$G$200,SMALL(IF('Cad2'!$F$14:$F$200=$F$10,ROW('Cad2'!$F$14:$F$200)-ROW('Cad2'!$F$14)+1,FALSE),ROWS('Cad2'!$1:7))))</f>
        <v/>
      </c>
      <c r="F25" s="55" t="str" cm="1">
        <f t="array" ref="F25">IF(ROWS('Cad2'!$1:7)&gt;COUNTIF('Cad2'!$F$14:$F$200,$F$10),"",INDEX('Cad2'!$J$14:$J$200,SMALL(IF('Cad2'!$F$14:$F$200=$F$10,ROW('Cad2'!$F$14:$F$200)-ROW('Cad2'!$F$14)+1,FALSE),ROWS('Cad2'!$1:7))))</f>
        <v/>
      </c>
      <c r="G25" s="56" t="str" cm="1">
        <f t="array" ref="G25">IF(ROWS('Cad2'!$1:7)&gt;COUNTIF('Cad2'!$F$14:$F$200,$F$10),"",INDEX('Cad2'!$H$14:$H$200,SMALL(IF('Cad2'!$F$14:$F$200=$F$10,ROW('Cad2'!$F$14:$F$200)-ROW('Cad2'!$F$14)+1,FALSE),ROWS('Cad2'!$1:7))))</f>
        <v/>
      </c>
      <c r="H25" s="57" t="str" cm="1">
        <f t="array" ref="H25">IF(ROWS('Cad2'!$1:7)&gt;COUNTIF('Cad2'!$F$14:$F$200,$F$10),"",INDEX('Cad2'!$I$14:$I$200,SMALL(IF('Cad2'!$F$14:$F$200=$F$10,ROW('Cad2'!$F$14:$F$200)-ROW('Cad2'!$F$14)+1,FALSE),ROWS('Cad2'!$1:7))))</f>
        <v/>
      </c>
      <c r="I25" s="50">
        <f t="shared" si="1"/>
        <v>0</v>
      </c>
      <c r="J25" s="235">
        <f t="shared" si="0"/>
        <v>0</v>
      </c>
      <c r="K25" s="237">
        <f t="shared" si="2"/>
        <v>0</v>
      </c>
      <c r="L25" s="58">
        <f t="shared" si="3"/>
        <v>0</v>
      </c>
      <c r="M25" s="48"/>
      <c r="N25" s="53" t="e">
        <f t="shared" si="6"/>
        <v>#VALUE!</v>
      </c>
      <c r="O25" s="59" t="e">
        <f t="shared" si="4"/>
        <v>#VALUE!</v>
      </c>
      <c r="P25" s="59" t="e">
        <f t="shared" si="5"/>
        <v>#VALUE!</v>
      </c>
      <c r="Q25" s="38"/>
      <c r="R25" s="30"/>
      <c r="S25" s="30"/>
      <c r="T25" s="30"/>
      <c r="U25" s="30"/>
      <c r="V25" s="30"/>
      <c r="W25" s="30"/>
      <c r="X25" s="30"/>
    </row>
    <row r="26" spans="1:24" ht="19.5" x14ac:dyDescent="0.25">
      <c r="A26" s="41"/>
      <c r="B26" s="61"/>
      <c r="C26" s="30"/>
      <c r="D26" s="30"/>
      <c r="E26" s="54" t="str">
        <f t="array" ref="E26">IF(ROWS('Cad2'!$1:8)&gt;COUNTIF('Cad2'!$F$14:$F$200,$F$10),"",INDEX('Cad2'!$G$14:$G$200,SMALL(IF('Cad2'!$F$14:$F$200=$F$10,ROW('Cad2'!$F$14:$F$200)-ROW('Cad2'!$F$14)+1,FALSE),ROWS('Cad2'!$1:8))))</f>
        <v/>
      </c>
      <c r="F26" s="55" t="str" cm="1">
        <f t="array" ref="F26">IF(ROWS('Cad2'!$1:8)&gt;COUNTIF('Cad2'!$F$14:$F$200,$F$10),"",INDEX('Cad2'!$J$14:$J$200,SMALL(IF('Cad2'!$F$14:$F$200=$F$10,ROW('Cad2'!$F$14:$F$200)-ROW('Cad2'!$F$14)+1,FALSE),ROWS('Cad2'!$1:8))))</f>
        <v/>
      </c>
      <c r="G26" s="56" t="str" cm="1">
        <f t="array" ref="G26">IF(ROWS('Cad2'!$1:8)&gt;COUNTIF('Cad2'!$F$14:$F$200,$F$10),"",INDEX('Cad2'!$H$14:$H$200,SMALL(IF('Cad2'!$F$14:$F$200=$F$10,ROW('Cad2'!$F$14:$F$200)-ROW('Cad2'!$F$14)+1,FALSE),ROWS('Cad2'!$1:8))))</f>
        <v/>
      </c>
      <c r="H26" s="57" t="str" cm="1">
        <f t="array" ref="H26">IF(ROWS('Cad2'!$1:8)&gt;COUNTIF('Cad2'!$F$14:$F$200,$F$10),"",INDEX('Cad2'!$I$14:$I$200,SMALL(IF('Cad2'!$F$14:$F$200=$F$10,ROW('Cad2'!$F$14:$F$200)-ROW('Cad2'!$F$14)+1,FALSE),ROWS('Cad2'!$1:8))))</f>
        <v/>
      </c>
      <c r="I26" s="50">
        <f t="shared" si="1"/>
        <v>0</v>
      </c>
      <c r="J26" s="235">
        <f t="shared" si="0"/>
        <v>0</v>
      </c>
      <c r="K26" s="237">
        <f t="shared" si="2"/>
        <v>0</v>
      </c>
      <c r="L26" s="58">
        <f t="shared" si="3"/>
        <v>0</v>
      </c>
      <c r="M26" s="48"/>
      <c r="N26" s="53" t="e">
        <f t="shared" si="6"/>
        <v>#VALUE!</v>
      </c>
      <c r="O26" s="59" t="e">
        <f t="shared" si="4"/>
        <v>#VALUE!</v>
      </c>
      <c r="P26" s="59" t="e">
        <f t="shared" si="5"/>
        <v>#VALUE!</v>
      </c>
      <c r="Q26" s="38"/>
      <c r="R26" s="30"/>
      <c r="S26" s="30"/>
      <c r="T26" s="30"/>
      <c r="U26" s="30"/>
      <c r="V26" s="30"/>
      <c r="W26" s="30"/>
      <c r="X26" s="30"/>
    </row>
    <row r="27" spans="1:24" ht="19.5" x14ac:dyDescent="0.25">
      <c r="A27" s="41"/>
      <c r="B27" s="61"/>
      <c r="C27" s="30"/>
      <c r="D27" s="30"/>
      <c r="E27" s="54" t="str">
        <f t="array" ref="E27">IF(ROWS('Cad2'!$1:9)&gt;COUNTIF('Cad2'!$F$14:$F$200,$F$10),"",INDEX('Cad2'!$G$14:$G$200,SMALL(IF('Cad2'!$F$14:$F$200=$F$10,ROW('Cad2'!$F$14:$F$200)-ROW('Cad2'!$F$14)+1,FALSE),ROWS('Cad2'!$1:9))))</f>
        <v/>
      </c>
      <c r="F27" s="55" t="str" cm="1">
        <f t="array" ref="F27">IF(ROWS('Cad2'!$1:9)&gt;COUNTIF('Cad2'!$F$14:$F$200,$F$10),"",INDEX('Cad2'!$J$14:$J$200,SMALL(IF('Cad2'!$F$14:$F$200=$F$10,ROW('Cad2'!$F$14:$F$200)-ROW('Cad2'!$F$14)+1,FALSE),ROWS('Cad2'!$1:9))))</f>
        <v/>
      </c>
      <c r="G27" s="56" t="str" cm="1">
        <f t="array" ref="G27">IF(ROWS('Cad2'!$1:9)&gt;COUNTIF('Cad2'!$F$14:$F$200,$F$10),"",INDEX('Cad2'!$H$14:$H$200,SMALL(IF('Cad2'!$F$14:$F$200=$F$10,ROW('Cad2'!$F$14:$F$200)-ROW('Cad2'!$F$14)+1,FALSE),ROWS('Cad2'!$1:9))))</f>
        <v/>
      </c>
      <c r="H27" s="57" t="str" cm="1">
        <f t="array" ref="H27">IF(ROWS('Cad2'!$1:9)&gt;COUNTIF('Cad2'!$F$14:$F$200,$F$10),"",INDEX('Cad2'!$I$14:$I$200,SMALL(IF('Cad2'!$F$14:$F$200=$F$10,ROW('Cad2'!$F$14:$F$200)-ROW('Cad2'!$F$14)+1,FALSE),ROWS('Cad2'!$1:9))))</f>
        <v/>
      </c>
      <c r="I27" s="50">
        <f t="shared" si="1"/>
        <v>0</v>
      </c>
      <c r="J27" s="235">
        <f t="shared" si="0"/>
        <v>0</v>
      </c>
      <c r="K27" s="237">
        <f t="shared" si="2"/>
        <v>0</v>
      </c>
      <c r="L27" s="58">
        <f t="shared" si="3"/>
        <v>0</v>
      </c>
      <c r="M27" s="48"/>
      <c r="N27" s="53" t="e">
        <f t="shared" si="6"/>
        <v>#VALUE!</v>
      </c>
      <c r="O27" s="59" t="e">
        <f t="shared" si="4"/>
        <v>#VALUE!</v>
      </c>
      <c r="P27" s="59" t="e">
        <f t="shared" si="5"/>
        <v>#VALUE!</v>
      </c>
      <c r="Q27" s="38"/>
      <c r="R27" s="30"/>
      <c r="S27" s="30"/>
      <c r="T27" s="30"/>
      <c r="U27" s="30"/>
      <c r="V27" s="30"/>
      <c r="W27" s="30"/>
      <c r="X27" s="30"/>
    </row>
    <row r="28" spans="1:24" x14ac:dyDescent="0.25">
      <c r="A28" s="41"/>
      <c r="B28" s="62"/>
      <c r="C28" s="30"/>
      <c r="D28" s="30"/>
      <c r="E28" s="54" t="str">
        <f t="array" ref="E28">IF(ROWS('Cad2'!$1:10)&gt;COUNTIF('Cad2'!$F$14:$F$200,$F$10),"",INDEX('Cad2'!$G$14:$G$200,SMALL(IF('Cad2'!$F$14:$F$200=$F$10,ROW('Cad2'!$F$14:$F$200)-ROW('Cad2'!$F$14)+1,FALSE),ROWS('Cad2'!$1:10))))</f>
        <v/>
      </c>
      <c r="F28" s="55" t="str" cm="1">
        <f t="array" ref="F28">IF(ROWS('Cad2'!$1:10)&gt;COUNTIF('Cad2'!$F$14:$F$200,$F$10),"",INDEX('Cad2'!$J$14:$J$200,SMALL(IF('Cad2'!$F$14:$F$200=$F$10,ROW('Cad2'!$F$14:$F$200)-ROW('Cad2'!$F$14)+1,FALSE),ROWS('Cad2'!$1:10))))</f>
        <v/>
      </c>
      <c r="G28" s="56" t="str" cm="1">
        <f t="array" ref="G28">IF(ROWS('Cad2'!$1:10)&gt;COUNTIF('Cad2'!$F$14:$F$200,$F$10),"",INDEX('Cad2'!$H$14:$H$200,SMALL(IF('Cad2'!$F$14:$F$200=$F$10,ROW('Cad2'!$F$14:$F$200)-ROW('Cad2'!$F$14)+1,FALSE),ROWS('Cad2'!$1:10))))</f>
        <v/>
      </c>
      <c r="H28" s="57" t="str" cm="1">
        <f t="array" ref="H28">IF(ROWS('Cad2'!$1:10)&gt;COUNTIF('Cad2'!$F$14:$F$200,$F$10),"",INDEX('Cad2'!$I$14:$I$200,SMALL(IF('Cad2'!$F$14:$F$200=$F$10,ROW('Cad2'!$F$14:$F$200)-ROW('Cad2'!$F$14)+1,FALSE),ROWS('Cad2'!$1:10))))</f>
        <v/>
      </c>
      <c r="I28" s="50">
        <f t="shared" si="1"/>
        <v>0</v>
      </c>
      <c r="J28" s="235">
        <f t="shared" si="0"/>
        <v>0</v>
      </c>
      <c r="K28" s="237">
        <f t="shared" si="2"/>
        <v>0</v>
      </c>
      <c r="L28" s="58">
        <f t="shared" si="3"/>
        <v>0</v>
      </c>
      <c r="M28" s="48"/>
      <c r="N28" s="53" t="e">
        <f t="shared" si="6"/>
        <v>#VALUE!</v>
      </c>
      <c r="O28" s="59" t="e">
        <f t="shared" si="4"/>
        <v>#VALUE!</v>
      </c>
      <c r="P28" s="59" t="e">
        <f t="shared" si="5"/>
        <v>#VALUE!</v>
      </c>
      <c r="Q28" s="38"/>
      <c r="R28" s="30"/>
      <c r="S28" s="30"/>
      <c r="T28" s="30"/>
      <c r="U28" s="30"/>
      <c r="V28" s="30"/>
      <c r="W28" s="30"/>
      <c r="X28" s="30"/>
    </row>
    <row r="29" spans="1:24" x14ac:dyDescent="0.25">
      <c r="A29" s="41"/>
      <c r="B29" s="41"/>
      <c r="C29" s="30"/>
      <c r="D29" s="30"/>
      <c r="E29" s="54" t="str">
        <f t="array" ref="E29">IF(ROWS('Cad2'!$1:11)&gt;COUNTIF('Cad2'!$F$14:$F$200,$F$10),"",INDEX('Cad2'!$G$14:$G$200,SMALL(IF('Cad2'!$F$14:$F$200=$F$10,ROW('Cad2'!$F$14:$F$200)-ROW('Cad2'!$F$14)+1,FALSE),ROWS('Cad2'!$1:11))))</f>
        <v/>
      </c>
      <c r="F29" s="55" t="str" cm="1">
        <f t="array" ref="F29">IF(ROWS('Cad2'!$1:11)&gt;COUNTIF('Cad2'!$F$14:$F$200,$F$10),"",INDEX('Cad2'!$J$14:$J$200,SMALL(IF('Cad2'!$F$14:$F$200=$F$10,ROW('Cad2'!$F$14:$F$200)-ROW('Cad2'!$F$14)+1,FALSE),ROWS('Cad2'!$1:11))))</f>
        <v/>
      </c>
      <c r="G29" s="56" t="str" cm="1">
        <f t="array" ref="G29">IF(ROWS('Cad2'!$1:11)&gt;COUNTIF('Cad2'!$F$14:$F$200,$F$10),"",INDEX('Cad2'!$H$14:$H$200,SMALL(IF('Cad2'!$F$14:$F$200=$F$10,ROW('Cad2'!$F$14:$F$200)-ROW('Cad2'!$F$14)+1,FALSE),ROWS('Cad2'!$1:11))))</f>
        <v/>
      </c>
      <c r="H29" s="57" t="str" cm="1">
        <f t="array" ref="H29">IF(ROWS('Cad2'!$1:11)&gt;COUNTIF('Cad2'!$F$14:$F$200,$F$10),"",INDEX('Cad2'!$I$14:$I$200,SMALL(IF('Cad2'!$F$14:$F$200=$F$10,ROW('Cad2'!$F$14:$F$200)-ROW('Cad2'!$F$14)+1,FALSE),ROWS('Cad2'!$1:11))))</f>
        <v/>
      </c>
      <c r="I29" s="50">
        <f t="shared" si="1"/>
        <v>0</v>
      </c>
      <c r="J29" s="235">
        <f t="shared" si="0"/>
        <v>0</v>
      </c>
      <c r="K29" s="237">
        <f t="shared" si="2"/>
        <v>0</v>
      </c>
      <c r="L29" s="58">
        <f t="shared" si="3"/>
        <v>0</v>
      </c>
      <c r="M29" s="38"/>
      <c r="N29" s="53" t="e">
        <f t="shared" si="6"/>
        <v>#VALUE!</v>
      </c>
      <c r="O29" s="59" t="e">
        <f t="shared" si="4"/>
        <v>#VALUE!</v>
      </c>
      <c r="P29" s="59" t="e">
        <f t="shared" si="5"/>
        <v>#VALUE!</v>
      </c>
      <c r="Q29" s="38"/>
      <c r="R29" s="30"/>
      <c r="S29" s="30"/>
      <c r="T29" s="30"/>
      <c r="U29" s="30"/>
      <c r="V29" s="30"/>
      <c r="W29" s="30"/>
      <c r="X29" s="30"/>
    </row>
    <row r="30" spans="1:24" ht="15.75" thickBot="1" x14ac:dyDescent="0.3">
      <c r="A30" s="41"/>
      <c r="B30" s="41"/>
      <c r="C30" s="30"/>
      <c r="D30" s="30"/>
      <c r="E30" s="54" t="str">
        <f t="array" ref="E30">IF(ROWS('Cad2'!$1:12)&gt;COUNTIF('Cad2'!$F$14:$F$200,$F$10),"",INDEX('Cad2'!$G$14:$G$200,SMALL(IF('Cad2'!$F$14:$F$200=$F$10,ROW('Cad2'!$F$14:$F$200)-ROW('Cad2'!$F$14)+1,FALSE),ROWS('Cad2'!$1:12))))</f>
        <v/>
      </c>
      <c r="F30" s="55" t="str" cm="1">
        <f t="array" ref="F30">IF(ROWS('Cad2'!$1:12)&gt;COUNTIF('Cad2'!$F$14:$F$200,$F$10),"",INDEX('Cad2'!$J$14:$J$200,SMALL(IF('Cad2'!$F$14:$F$200=$F$10,ROW('Cad2'!$F$14:$F$200)-ROW('Cad2'!$F$14)+1,FALSE),ROWS('Cad2'!$1:12))))</f>
        <v/>
      </c>
      <c r="G30" s="56" t="str" cm="1">
        <f t="array" ref="G30">IF(ROWS('Cad2'!$1:12)&gt;COUNTIF('Cad2'!$F$14:$F$200,$F$10),"",INDEX('Cad2'!$H$14:$H$200,SMALL(IF('Cad2'!$F$14:$F$200=$F$10,ROW('Cad2'!$F$14:$F$200)-ROW('Cad2'!$F$14)+1,FALSE),ROWS('Cad2'!$1:12))))</f>
        <v/>
      </c>
      <c r="H30" s="57" t="str" cm="1">
        <f t="array" ref="H30">IF(ROWS('Cad2'!$1:12)&gt;COUNTIF('Cad2'!$F$14:$F$200,$F$10),"",INDEX('Cad2'!$I$14:$I$200,SMALL(IF('Cad2'!$F$14:$F$200=$F$10,ROW('Cad2'!$F$14:$F$200)-ROW('Cad2'!$F$14)+1,FALSE),ROWS('Cad2'!$1:12))))</f>
        <v/>
      </c>
      <c r="I30" s="50">
        <f t="shared" si="1"/>
        <v>0</v>
      </c>
      <c r="J30" s="236">
        <f t="shared" si="0"/>
        <v>0</v>
      </c>
      <c r="K30" s="237">
        <f t="shared" si="2"/>
        <v>0</v>
      </c>
      <c r="L30" s="63">
        <f t="shared" si="3"/>
        <v>0</v>
      </c>
      <c r="M30" s="64"/>
      <c r="N30" s="53" t="e">
        <f t="shared" si="6"/>
        <v>#VALUE!</v>
      </c>
      <c r="O30" s="59" t="e">
        <f t="shared" si="4"/>
        <v>#VALUE!</v>
      </c>
      <c r="P30" s="59" t="e">
        <f t="shared" si="5"/>
        <v>#VALUE!</v>
      </c>
      <c r="Q30" s="38"/>
      <c r="R30" s="30"/>
      <c r="S30" s="30"/>
      <c r="T30" s="30"/>
      <c r="U30" s="30"/>
      <c r="V30" s="30"/>
      <c r="W30" s="30"/>
      <c r="X30" s="30"/>
    </row>
    <row r="31" spans="1:24" ht="15.75" thickBot="1" x14ac:dyDescent="0.3">
      <c r="A31" s="41"/>
      <c r="B31" s="41"/>
      <c r="C31" s="30"/>
      <c r="D31" s="30"/>
      <c r="E31" s="65" t="s">
        <v>38</v>
      </c>
      <c r="F31" s="66"/>
      <c r="G31" s="67">
        <f>SUM(G19:G30)</f>
        <v>944</v>
      </c>
      <c r="H31" s="68"/>
      <c r="I31" s="69">
        <f>SUM(I19:I30)</f>
        <v>6609</v>
      </c>
      <c r="J31" s="70">
        <f>IF(E23="Frasco 5L",SUM(J19:J30)-1,IF(E23="Frasco 1L",SUM(J19:J30)-1,SUM(J19:J30)))</f>
        <v>0.98333333333333328</v>
      </c>
      <c r="K31" s="71">
        <f>SUM(K19:K30)</f>
        <v>1</v>
      </c>
      <c r="L31" s="72">
        <f>SUM(L19:L30)</f>
        <v>503.3</v>
      </c>
      <c r="M31" s="67"/>
      <c r="N31" s="38"/>
      <c r="O31" s="38"/>
      <c r="P31" s="38"/>
      <c r="Q31" s="38"/>
      <c r="R31" s="30"/>
      <c r="S31" s="30"/>
      <c r="T31" s="30"/>
      <c r="U31" s="30"/>
      <c r="V31" s="30"/>
      <c r="W31" s="30"/>
      <c r="X31" s="30"/>
    </row>
    <row r="32" spans="1:24" ht="16.5" x14ac:dyDescent="0.25">
      <c r="A32" s="41"/>
      <c r="B32" s="252"/>
      <c r="C32" s="30"/>
      <c r="D32" s="30"/>
      <c r="E32" s="73"/>
      <c r="F32" s="74"/>
      <c r="G32" s="74"/>
      <c r="H32" s="74"/>
      <c r="I32" s="74"/>
      <c r="J32" s="74"/>
      <c r="K32" s="74"/>
      <c r="L32" s="74"/>
      <c r="M32" s="38"/>
      <c r="N32" s="38"/>
      <c r="O32" s="38"/>
      <c r="P32" s="38"/>
      <c r="Q32" s="38"/>
      <c r="R32" s="30"/>
      <c r="S32" s="30"/>
      <c r="T32" s="30"/>
      <c r="U32" s="30"/>
      <c r="V32" s="30"/>
      <c r="W32" s="30"/>
      <c r="X32" s="30"/>
    </row>
    <row r="33" spans="1:24" ht="21.75" thickBot="1" x14ac:dyDescent="0.3">
      <c r="A33" s="41"/>
      <c r="B33" s="252"/>
      <c r="C33" s="30"/>
      <c r="D33" s="30"/>
      <c r="E33" s="75" t="s">
        <v>7</v>
      </c>
      <c r="F33" s="76"/>
      <c r="G33" s="76"/>
      <c r="H33" s="77"/>
      <c r="I33" s="77"/>
      <c r="J33" s="77"/>
      <c r="K33" s="77"/>
      <c r="L33" s="76"/>
      <c r="M33" s="64"/>
      <c r="N33" s="38"/>
      <c r="O33" s="38"/>
      <c r="P33" s="38"/>
      <c r="Q33" s="38"/>
      <c r="R33" s="30"/>
      <c r="S33" s="30"/>
      <c r="T33" s="30"/>
      <c r="U33" s="30"/>
      <c r="V33" s="30"/>
      <c r="W33" s="30"/>
      <c r="X33" s="30"/>
    </row>
    <row r="34" spans="1:24" ht="19.5" x14ac:dyDescent="0.25">
      <c r="A34" s="41"/>
      <c r="B34" s="252"/>
      <c r="C34" s="30"/>
      <c r="D34" s="30"/>
      <c r="E34" s="78" t="s">
        <v>72</v>
      </c>
      <c r="F34" s="77"/>
      <c r="G34" s="77"/>
      <c r="H34" s="79" t="s">
        <v>73</v>
      </c>
      <c r="I34" s="80"/>
      <c r="J34" s="80"/>
      <c r="K34" s="81"/>
      <c r="L34" s="77"/>
      <c r="M34" s="48"/>
      <c r="N34" s="38"/>
      <c r="O34" s="38"/>
      <c r="P34" s="38"/>
      <c r="Q34" s="38"/>
      <c r="R34" s="30"/>
      <c r="S34" s="30"/>
      <c r="T34" s="30"/>
      <c r="U34" s="30"/>
      <c r="V34" s="30"/>
      <c r="W34" s="30"/>
      <c r="X34" s="30"/>
    </row>
    <row r="35" spans="1:24" ht="16.5" x14ac:dyDescent="0.25">
      <c r="A35" s="41"/>
      <c r="B35" s="252"/>
      <c r="C35" s="30"/>
      <c r="D35" s="30"/>
      <c r="E35" s="82" t="s">
        <v>80</v>
      </c>
      <c r="F35" s="83"/>
      <c r="G35" s="84"/>
      <c r="H35" s="85" t="s">
        <v>79</v>
      </c>
      <c r="I35" s="83"/>
      <c r="J35" s="84"/>
      <c r="K35" s="85" t="s">
        <v>81</v>
      </c>
      <c r="L35" s="83"/>
      <c r="M35" s="48"/>
      <c r="N35" s="38"/>
      <c r="O35" s="38"/>
      <c r="P35" s="38"/>
      <c r="Q35" s="38"/>
      <c r="R35" s="30"/>
      <c r="S35" s="30"/>
      <c r="T35" s="30"/>
      <c r="U35" s="30"/>
      <c r="V35" s="30"/>
      <c r="W35" s="30"/>
      <c r="X35" s="30"/>
    </row>
    <row r="36" spans="1:24" x14ac:dyDescent="0.25">
      <c r="A36" s="41"/>
      <c r="B36" s="41"/>
      <c r="C36" s="30"/>
      <c r="D36" s="86">
        <f t="array" ref="D36">IF(ROWS('Cad3'!$1:1)&gt;COUNTIF('Cad3'!$G$14:$G$203,$E$34),"",INDEX('Cad3'!$K$14:$K$203,SMALL(IF('Cad3'!$G$14:$G$203=$E$34,ROW('Cad3'!$G$14:$G$203)-ROW('Cad3'!$G$14)+1,FALSE),ROWS('Cad3'!$1:1))))</f>
        <v>1600</v>
      </c>
      <c r="E36" s="87" t="str">
        <f t="array" ref="E36">IF(ROWS('Cad3'!$1:1)&gt;COUNTIF('Cad3'!$G$14:$G$203,$E$34),"",INDEX('Cad3'!$F$14:$F$203,SMALL(IF('Cad3'!$G$14:$G$203=$E$34,ROW('Cad3'!$G$14:$G$203)-ROW('Cad3'!$G$14)+1,FALSE),ROWS('Cad3'!$1:1))))</f>
        <v>Luz</v>
      </c>
      <c r="F36" s="88">
        <f>IF(F10="Desmoldante 1L",0,IF(F10="Desmoldante 5L",0,IFERROR(D36*$F$14,0)))</f>
        <v>1440</v>
      </c>
      <c r="G36" s="242"/>
      <c r="H36" s="87" t="str">
        <f t="array" ref="H36">IF(ROWS('Cad3'!$1:1)&gt;COUNTIF('Cad3'!$G$14:$G$203,$H$34),"",INDEX('Cad3'!$F$14:$F$203,SMALL(IF('Cad3'!$G$14:$G$203=$H$34,ROW('Cad3'!$G$14:$G$203)-ROW('Cad3'!$G$14)+1,FALSE),ROWS('Cad3'!$1:1))))</f>
        <v>Mão Obra Direta</v>
      </c>
      <c r="I36" s="50">
        <f>IFERROR(J43*$F$14,0)</f>
        <v>18717.689702299602</v>
      </c>
      <c r="J36" s="89"/>
      <c r="K36" s="87" t="s">
        <v>80</v>
      </c>
      <c r="L36" s="90">
        <f>F43/$F$12</f>
        <v>0.58666666666666667</v>
      </c>
      <c r="M36" s="48"/>
      <c r="N36" s="38"/>
      <c r="O36" s="38"/>
      <c r="P36" s="38"/>
      <c r="Q36" s="38"/>
      <c r="R36" s="30"/>
      <c r="S36" s="30"/>
      <c r="T36" s="30"/>
      <c r="U36" s="30"/>
      <c r="V36" s="30"/>
      <c r="W36" s="30"/>
      <c r="X36" s="30"/>
    </row>
    <row r="37" spans="1:24" x14ac:dyDescent="0.25">
      <c r="A37" s="41"/>
      <c r="B37" s="41"/>
      <c r="C37" s="30"/>
      <c r="D37" s="86">
        <f t="array" ref="D37">IF(ROWS('Cad3'!$1:2)&gt;COUNTIF('Cad3'!$G$14:$G$203,$E$34),"",INDEX('Cad3'!$K$14:$K$203,SMALL(IF('Cad3'!$G$14:$G$203=$E$34,ROW('Cad3'!$G$14:$G$203)-ROW('Cad3'!$G$14)+1,FALSE),ROWS('Cad3'!$1:2))))</f>
        <v>1666.6666666666667</v>
      </c>
      <c r="E37" s="91" t="str">
        <f t="array" ref="E37">IF(ROWS('Cad3'!$1:2)&gt;COUNTIF('Cad3'!$G$14:$G$203,$E$34),"",INDEX('Cad3'!$F$14:$F$203,SMALL(IF('Cad3'!$G$14:$G$203=$E$34,ROW('Cad3'!$G$14:$G$203)-ROW('Cad3'!$G$14)+1,FALSE),ROWS('Cad3'!$1:2))))</f>
        <v>Gás</v>
      </c>
      <c r="F37" s="88">
        <f>IF(F10="Desmoldante 5L",0,IF(F10="Desmoldante 1L",0,IF(F10="Desmoldante 5L (Simples Nacional)",0,IF(F10="Desmoldante 1L (Simples Nacional)",0,IFERROR(D37*$F$14,0)))))</f>
        <v>1500</v>
      </c>
      <c r="G37" s="242" t="str">
        <f t="array" ref="G37">IF(ROWS('Cad3'!$1:2)&gt;COUNTIF('Cad3'!$G$14:$G$203,$H$34),"",INDEX('Cad3'!$K$14:$K$203,SMALL(IF('Cad3'!$G$14:$G$203=$H$34,ROW('Cad3'!$G$14:$G$203)-ROW('Cad3'!$G$14)+1,FALSE),ROWS('Cad3'!$1:2))))</f>
        <v/>
      </c>
      <c r="H37" s="91" t="str">
        <f t="array" ref="H37">IF(ROWS('Cad3'!$1:2)&gt;COUNTIF('Cad3'!$G$14:$G$203,$H$34),"",INDEX('Cad3'!$F$14:$F$203,SMALL(IF('Cad3'!$G$14:$G$203=$H$34,ROW('Cad3'!$G$14:$G$203)-ROW('Cad3'!$G$14)+1,FALSE),ROWS('Cad3'!$1:2))))</f>
        <v/>
      </c>
      <c r="I37" s="50"/>
      <c r="J37" s="89" t="s">
        <v>131</v>
      </c>
      <c r="K37" s="91" t="s">
        <v>79</v>
      </c>
      <c r="L37" s="90">
        <f>I43/F12</f>
        <v>2.0797433002555112</v>
      </c>
      <c r="M37" s="48"/>
      <c r="N37" s="38"/>
      <c r="O37" s="38"/>
      <c r="P37" s="38"/>
      <c r="Q37" s="38"/>
      <c r="R37" s="30"/>
      <c r="S37" s="30"/>
      <c r="T37" s="30"/>
      <c r="U37" s="30"/>
      <c r="V37" s="30"/>
      <c r="W37" s="30"/>
      <c r="X37" s="30"/>
    </row>
    <row r="38" spans="1:24" x14ac:dyDescent="0.25">
      <c r="A38" s="41"/>
      <c r="B38" s="41"/>
      <c r="C38" s="30"/>
      <c r="D38" s="86">
        <f t="array" ref="D38">IF(ROWS('Cad3'!$1:3)&gt;COUNTIF('Cad3'!$G$14:$G$203,$E$34),"",INDEX('Cad3'!$K$14:$K$203,SMALL(IF('Cad3'!$G$14:$G$203=$E$34,ROW('Cad3'!$G$14:$G$203)-ROW('Cad3'!$G$14)+1,FALSE),ROWS('Cad3'!$1:3))))</f>
        <v>2600</v>
      </c>
      <c r="E38" s="91" t="str">
        <f t="array" ref="E38">IF(ROWS('Cad3'!$1:3)&gt;COUNTIF('Cad3'!$G$14:$G$203,$E$34),"",INDEX('Cad3'!$F$14:$F$203,SMALL(IF('Cad3'!$G$14:$G$203=$E$34,ROW('Cad3'!$G$14:$G$203)-ROW('Cad3'!$G$14)+1,FALSE),ROWS('Cad3'!$1:3))))</f>
        <v>Manutenção Produção</v>
      </c>
      <c r="F38" s="88">
        <f>IF(F10="Desmoldante 5L",0,IF(F10="Desmoldante 1L",0,IF(F10="Desmoldante 5L (Simples Nacional)",0,IF(F10="Desmoldante 1L (Simples Nacional)",0,IFERROR(D38*$F$14,0)))))</f>
        <v>2340</v>
      </c>
      <c r="G38" s="242" t="str">
        <f t="array" ref="G38">IF(ROWS('Cad3'!$1:3)&gt;COUNTIF('Cad3'!$G$14:$G$203,$H$34),"",INDEX('Cad3'!$K$14:$K$203,SMALL(IF('Cad3'!$G$14:$G$203=$H$34,ROW('Cad3'!$G$14:$G$203)-ROW('Cad3'!$G$14)+1,FALSE),ROWS('Cad3'!$1:3))))</f>
        <v/>
      </c>
      <c r="H38" s="91" t="str">
        <f t="array" ref="H38">IF(ROWS('Cad3'!$1:3)&gt;COUNTIF('Cad3'!$G$14:$G$203,$H$34),"",INDEX('Cad3'!$F$14:$F$203,SMALL(IF('Cad3'!$G$14:$G$203=$H$34,ROW('Cad3'!$G$14:$G$203)-ROW('Cad3'!$G$14)+1,FALSE),ROWS('Cad3'!$1:3))))</f>
        <v/>
      </c>
      <c r="I38" s="50"/>
      <c r="J38" s="89">
        <f t="array" ref="J38">VLOOKUP(J37,'Cad3'!G14:K103,5,0)</f>
        <v>5</v>
      </c>
      <c r="K38" s="91" t="s">
        <v>82</v>
      </c>
      <c r="L38" s="90">
        <f>I31/F13</f>
        <v>6.8843750000000004</v>
      </c>
      <c r="M38" s="48"/>
      <c r="N38" s="38"/>
      <c r="O38" s="38"/>
      <c r="P38" s="38"/>
      <c r="Q38" s="38"/>
      <c r="R38" s="30"/>
      <c r="S38" s="30"/>
      <c r="T38" s="30"/>
      <c r="U38" s="30"/>
      <c r="V38" s="30"/>
      <c r="W38" s="30"/>
      <c r="X38" s="30"/>
    </row>
    <row r="39" spans="1:24" x14ac:dyDescent="0.25">
      <c r="A39" s="41"/>
      <c r="B39" s="41"/>
      <c r="C39" s="30"/>
      <c r="D39" s="240" t="str">
        <f t="array" ref="D39">IF(ROWS('Cad3'!$1:4)&gt;COUNTIF('Cad3'!$G$14:$G$203,$E$34),"",INDEX('Cad3'!$K$14:$K$203,SMALL(IF('Cad3'!$G$14:$G$203=$E$34,ROW('Cad3'!$G$14:$G$203)-ROW('Cad3'!$G$14)+1,FALSE),ROWS('Cad3'!$1:4))))</f>
        <v/>
      </c>
      <c r="E39" s="91" t="str">
        <f t="array" ref="E39">IF(ROWS('Cad3'!$1:4)&gt;COUNTIF('Cad3'!$G$14:$G$203,$E$34),"",INDEX('Cad3'!$F$14:$F$203,SMALL(IF('Cad3'!$G$14:$G$203=$E$34,ROW('Cad3'!$G$14:$G$203)-ROW('Cad3'!$G$14)+1,FALSE),ROWS('Cad3'!$1:4))))</f>
        <v/>
      </c>
      <c r="F39" s="88">
        <f t="shared" ref="F39:F42" si="7">IFERROR(D39*$F$14,0)</f>
        <v>0</v>
      </c>
      <c r="G39" s="242" t="str">
        <f t="array" ref="G39">IF(ROWS('Cad3'!$1:4)&gt;COUNTIF('Cad3'!$G$14:$G$203,$H$34),"",INDEX('Cad3'!$K$14:$K$203,SMALL(IF('Cad3'!$G$14:$G$203=$H$34,ROW('Cad3'!$G$14:$G$203)-ROW('Cad3'!$G$14)+1,FALSE),ROWS('Cad3'!$1:4))))</f>
        <v/>
      </c>
      <c r="H39" s="91" t="str">
        <f t="array" ref="H39">IF(ROWS('Cad3'!$1:4)&gt;COUNTIF('Cad3'!$G$14:$G$203,$H$34),"",INDEX('Cad3'!$F$14:$F$203,SMALL(IF('Cad3'!$G$14:$G$203=$H$34,ROW('Cad3'!$G$14:$G$203)-ROW('Cad3'!$G$14)+1,FALSE),ROWS('Cad3'!$1:4))))</f>
        <v/>
      </c>
      <c r="I39" s="50"/>
      <c r="J39" s="172">
        <f>VLOOKUP(F10,'Cad1'!F14:P101,11,0)</f>
        <v>20</v>
      </c>
      <c r="K39" s="91" t="s">
        <v>130</v>
      </c>
      <c r="L39" s="170">
        <f>IF(F10="Desmoldante 5L",0,IFERROR(J38/J39,""))</f>
        <v>0.25</v>
      </c>
      <c r="M39" s="48"/>
      <c r="N39" s="38"/>
      <c r="O39" s="38"/>
      <c r="P39" s="38"/>
      <c r="Q39" s="38"/>
      <c r="R39" s="30"/>
      <c r="S39" s="30"/>
      <c r="T39" s="30"/>
      <c r="U39" s="30"/>
      <c r="V39" s="30"/>
      <c r="W39" s="30"/>
      <c r="X39" s="30"/>
    </row>
    <row r="40" spans="1:24" x14ac:dyDescent="0.25">
      <c r="A40" s="41"/>
      <c r="B40" s="41"/>
      <c r="C40" s="30"/>
      <c r="D40" s="240" t="str">
        <f t="array" ref="D40">IF(ROWS('Cad3'!$1:5)&gt;COUNTIF('Cad3'!$G$14:$G$203,$E$34),"",INDEX('Cad3'!$K$14:$K$203,SMALL(IF('Cad3'!$G$14:$G$203=$E$34,ROW('Cad3'!$G$14:$G$203)-ROW('Cad3'!$G$14)+1,FALSE),ROWS('Cad3'!$1:5))))</f>
        <v/>
      </c>
      <c r="E40" s="91" t="str">
        <f t="array" ref="E40">IF(ROWS('Cad3'!$1:5)&gt;COUNTIF('Cad3'!$G$14:$G$203,$E$34),"",INDEX('Cad3'!$F$14:$F$203,SMALL(IF('Cad3'!$G$14:$G$203=$E$34,ROW('Cad3'!$G$14:$G$203)-ROW('Cad3'!$G$14)+1,FALSE),ROWS('Cad3'!$1:5))))</f>
        <v/>
      </c>
      <c r="F40" s="88">
        <f t="shared" si="7"/>
        <v>0</v>
      </c>
      <c r="G40" s="242" t="str">
        <f t="array" ref="G40">IF(ROWS('Cad3'!$1:5)&gt;COUNTIF('Cad3'!$G$14:$G$203,$H$34),"",INDEX('Cad3'!$K$14:$K$203,SMALL(IF('Cad3'!$G$14:$G$203=$H$34,ROW('Cad3'!$G$14:$G$203)-ROW('Cad3'!$G$14)+1,FALSE),ROWS('Cad3'!$1:5))))</f>
        <v/>
      </c>
      <c r="H40" s="91" t="str">
        <f t="array" ref="H40">IF(ROWS('Cad3'!$1:5)&gt;COUNTIF('Cad3'!$G$14:$G$203,$H$34),"",INDEX('Cad3'!$F$14:$F$203,SMALL(IF('Cad3'!$G$14:$G$203=$H$34,ROW('Cad3'!$G$14:$G$203)-ROW('Cad3'!$G$14)+1,FALSE),ROWS('Cad3'!$1:5))))</f>
        <v/>
      </c>
      <c r="I40" s="50"/>
      <c r="J40" s="89"/>
      <c r="K40" s="91" t="s">
        <v>83</v>
      </c>
      <c r="L40" s="92">
        <f>IF(F50="RMC",0,L31/F13)</f>
        <v>0.52427083333333335</v>
      </c>
      <c r="M40" s="48"/>
      <c r="N40" s="38"/>
      <c r="O40" s="38"/>
      <c r="P40" s="38"/>
      <c r="Q40" s="38"/>
      <c r="R40" s="30"/>
      <c r="S40" s="30"/>
      <c r="T40" s="30"/>
      <c r="U40" s="30"/>
      <c r="V40" s="30"/>
      <c r="W40" s="30"/>
      <c r="X40" s="30"/>
    </row>
    <row r="41" spans="1:24" ht="15.75" x14ac:dyDescent="0.25">
      <c r="A41" s="41"/>
      <c r="B41" s="41"/>
      <c r="C41" s="30"/>
      <c r="D41" s="240" t="str">
        <f t="array" ref="D41">IF(ROWS('Cad3'!$1:6)&gt;COUNTIF('Cad3'!$G$14:$G$203,$E$34),"",INDEX('Cad3'!$K$14:$K$203,SMALL(IF('Cad3'!$G$14:$G$203=$E$34,ROW('Cad3'!$G$14:$G$203)-ROW('Cad3'!$G$14)+1,FALSE),ROWS('Cad3'!$1:6))))</f>
        <v/>
      </c>
      <c r="E41" s="91" t="str">
        <f t="array" ref="E41">IF(ROWS('Cad3'!$1:6)&gt;COUNTIF('Cad3'!$G$14:$G$203,$E$34),"",INDEX('Cad3'!$F$14:$F$203,SMALL(IF('Cad3'!$G$14:$G$203=$E$34,ROW('Cad3'!$G$14:$G$203)-ROW('Cad3'!$G$14)+1,FALSE),ROWS('Cad3'!$1:6))))</f>
        <v/>
      </c>
      <c r="F41" s="88">
        <f t="shared" si="7"/>
        <v>0</v>
      </c>
      <c r="G41" s="242" t="str">
        <f t="array" ref="G41">IF(ROWS('Cad3'!$1:6)&gt;COUNTIF('Cad3'!$G$14:$G$203,$H$34),"",INDEX('Cad3'!$K$14:$K$203,SMALL(IF('Cad3'!$G$14:$G$203=$H$34,ROW('Cad3'!$G$14:$G$203)-ROW('Cad3'!$G$14)+1,FALSE),ROWS('Cad3'!$1:6))))</f>
        <v/>
      </c>
      <c r="H41" s="91" t="str">
        <f t="array" ref="H41">IF(ROWS('Cad3'!$1:6)&gt;COUNTIF('Cad3'!$G$14:$G$203,$H$34),"",INDEX('Cad3'!$F$14:$F$203,SMALL(IF('Cad3'!$G$14:$G$203=$H$34,ROW('Cad3'!$G$14:$G$203)-ROW('Cad3'!$G$14)+1,FALSE),ROWS('Cad3'!$1:6))))</f>
        <v/>
      </c>
      <c r="I41" s="50"/>
      <c r="J41" s="89">
        <f>VLOOKUP(F10,'Cad1'!C14:E51,3,0)</f>
        <v>26077.433002555113</v>
      </c>
      <c r="K41" s="94" t="s">
        <v>84</v>
      </c>
      <c r="L41" s="95">
        <f>IF(F50="S/NF",(L38+L36+L37+L39),(L38+L36+L37+L39)-L40)</f>
        <v>9.2765141335888455</v>
      </c>
      <c r="M41" s="48"/>
      <c r="N41" s="38"/>
      <c r="O41" s="38"/>
      <c r="P41" s="38"/>
      <c r="Q41" s="38"/>
      <c r="R41" s="30"/>
      <c r="S41" s="30"/>
      <c r="T41" s="30"/>
      <c r="U41" s="30"/>
      <c r="V41" s="30"/>
      <c r="W41" s="30"/>
      <c r="X41" s="30"/>
    </row>
    <row r="42" spans="1:24" x14ac:dyDescent="0.25">
      <c r="A42" s="41"/>
      <c r="B42" s="41"/>
      <c r="C42" s="30"/>
      <c r="D42" s="241" t="str">
        <f t="array" ref="D42">IF(ROWS('Cad3'!$1:7)&gt;COUNTIF('Cad3'!$G$14:$G$203,$E$34),"",INDEX('Cad3'!$K$14:$K$203,SMALL(IF('Cad3'!$G$14:$G$203=$E$34,ROW('Cad3'!$G$14:$G$203)-ROW('Cad3'!$G$14)+1,FALSE),ROWS('Cad3'!$1:7))))</f>
        <v/>
      </c>
      <c r="E42" s="38" t="str">
        <f t="array" ref="E42">IF(ROWS('Cad3'!$1:7)&gt;COUNTIF('Cad3'!$G$14:$G$203,$E$34),"",INDEX('Cad3'!$F$14:$F$203,SMALL(IF('Cad3'!$G$14:$G$203=$E$34,ROW('Cad3'!$G$14:$G$203)-ROW('Cad3'!$G$14)+1,FALSE),ROWS('Cad3'!$1:7))))</f>
        <v/>
      </c>
      <c r="F42" s="88">
        <f t="shared" si="7"/>
        <v>0</v>
      </c>
      <c r="G42" s="242" t="str">
        <f t="array" ref="G42">IF(ROWS('Cad3'!$1:7)&gt;COUNTIF('Cad3'!$G$14:$G$203,$H$34),"",INDEX('Cad3'!$K$14:$K$203,SMALL(IF('Cad3'!$G$14:$G$203=$H$34,ROW('Cad3'!$G$14:$G$203)-ROW('Cad3'!$G$14)+1,FALSE),ROWS('Cad3'!$1:7))))</f>
        <v/>
      </c>
      <c r="H42" s="96" t="str">
        <f t="array" ref="H42">IF(ROWS('Cad3'!$1:7)&gt;COUNTIF('Cad3'!$G$14:$G$203,$H$34),"",INDEX('Cad3'!$F$14:$F$203,SMALL(IF('Cad3'!$G$14:$G$203=$H$34,ROW('Cad3'!$G$14:$G$203)-ROW('Cad3'!$G$14)+1,FALSE),ROWS('Cad3'!$1:7))))</f>
        <v/>
      </c>
      <c r="I42" s="50"/>
      <c r="J42" s="89"/>
      <c r="K42" s="97"/>
      <c r="L42" s="90"/>
      <c r="M42" s="48"/>
      <c r="N42" s="38"/>
      <c r="O42" s="38"/>
      <c r="P42" s="38"/>
      <c r="Q42" s="38"/>
      <c r="R42" s="30"/>
      <c r="S42" s="30"/>
      <c r="T42" s="30"/>
      <c r="U42" s="30"/>
      <c r="V42" s="30"/>
      <c r="W42" s="30"/>
      <c r="X42" s="30"/>
    </row>
    <row r="43" spans="1:24" x14ac:dyDescent="0.25">
      <c r="A43" s="41"/>
      <c r="B43" s="41"/>
      <c r="C43" s="30"/>
      <c r="D43" s="30"/>
      <c r="E43" s="97" t="s">
        <v>38</v>
      </c>
      <c r="F43" s="98">
        <f>SUM(F36:F42)</f>
        <v>5280</v>
      </c>
      <c r="G43" s="243"/>
      <c r="H43" s="97" t="s">
        <v>38</v>
      </c>
      <c r="I43" s="98">
        <f>SUM(I36:I42)</f>
        <v>18717.689702299602</v>
      </c>
      <c r="J43" s="89">
        <f>J41-F43</f>
        <v>20797.433002555113</v>
      </c>
      <c r="K43" s="90"/>
      <c r="L43" s="90"/>
      <c r="M43" s="48"/>
      <c r="N43" s="38"/>
      <c r="O43" s="38"/>
      <c r="P43" s="38"/>
      <c r="Q43" s="38"/>
      <c r="R43" s="30"/>
      <c r="S43" s="30"/>
      <c r="T43" s="30"/>
      <c r="U43" s="30"/>
      <c r="V43" s="30"/>
      <c r="W43" s="30"/>
      <c r="X43" s="30"/>
    </row>
    <row r="44" spans="1:24" x14ac:dyDescent="0.25">
      <c r="A44" s="41"/>
      <c r="B44" s="41"/>
      <c r="C44" s="30"/>
      <c r="D44" s="30"/>
      <c r="E44" s="38"/>
      <c r="F44" s="38"/>
      <c r="G44" s="38"/>
      <c r="H44" s="38"/>
      <c r="I44" s="90"/>
      <c r="J44" s="89"/>
      <c r="K44" s="90"/>
      <c r="L44" s="90"/>
      <c r="M44" s="48"/>
      <c r="N44" s="38"/>
      <c r="O44" s="38"/>
      <c r="P44" s="38"/>
      <c r="Q44" s="38"/>
      <c r="R44" s="30"/>
      <c r="S44" s="30"/>
      <c r="T44" s="30"/>
      <c r="U44" s="30"/>
      <c r="V44" s="30"/>
      <c r="W44" s="30"/>
      <c r="X44" s="30"/>
    </row>
    <row r="45" spans="1:24" x14ac:dyDescent="0.25">
      <c r="A45" s="41"/>
      <c r="B45" s="41"/>
      <c r="C45" s="30"/>
      <c r="D45" s="30"/>
      <c r="E45" s="38"/>
      <c r="F45" s="90"/>
      <c r="G45" s="90"/>
      <c r="H45" s="90"/>
      <c r="I45" s="90"/>
      <c r="J45" s="242"/>
      <c r="K45" s="90"/>
      <c r="L45" s="90"/>
      <c r="M45" s="48"/>
      <c r="N45" s="38"/>
      <c r="O45" s="38"/>
      <c r="P45" s="38"/>
      <c r="Q45" s="38"/>
      <c r="R45" s="30"/>
      <c r="S45" s="30"/>
      <c r="T45" s="30"/>
      <c r="U45" s="30"/>
      <c r="V45" s="30"/>
      <c r="W45" s="30"/>
      <c r="X45" s="30"/>
    </row>
    <row r="46" spans="1:24" x14ac:dyDescent="0.25">
      <c r="A46" s="41"/>
      <c r="B46" s="41"/>
      <c r="C46" s="30"/>
      <c r="D46" s="30"/>
      <c r="E46" s="38"/>
      <c r="F46" s="90"/>
      <c r="G46" s="90"/>
      <c r="H46" s="90"/>
      <c r="I46" s="90"/>
      <c r="J46" s="90"/>
      <c r="K46" s="90"/>
      <c r="L46" s="90"/>
      <c r="M46" s="48"/>
      <c r="N46" s="38"/>
      <c r="O46" s="38"/>
      <c r="P46" s="38"/>
      <c r="Q46" s="38"/>
      <c r="R46" s="30"/>
      <c r="S46" s="30"/>
      <c r="T46" s="30"/>
      <c r="U46" s="30"/>
      <c r="V46" s="30"/>
      <c r="W46" s="30"/>
      <c r="X46" s="30"/>
    </row>
    <row r="47" spans="1:24" x14ac:dyDescent="0.25">
      <c r="A47" s="99"/>
      <c r="B47" s="41"/>
      <c r="C47" s="30"/>
      <c r="D47" s="30"/>
      <c r="E47" s="38"/>
      <c r="F47" s="38"/>
      <c r="G47" s="38"/>
      <c r="H47" s="38"/>
      <c r="I47" s="38"/>
      <c r="J47" s="38"/>
      <c r="K47" s="38"/>
      <c r="L47" s="38"/>
      <c r="M47" s="48"/>
      <c r="N47" s="38"/>
      <c r="O47" s="38"/>
      <c r="P47" s="38"/>
      <c r="Q47" s="38"/>
      <c r="R47" s="30"/>
      <c r="S47" s="30"/>
      <c r="T47" s="30"/>
      <c r="U47" s="30"/>
      <c r="V47" s="30"/>
      <c r="W47" s="30"/>
      <c r="X47" s="30"/>
    </row>
    <row r="48" spans="1:24" ht="17.25" thickBot="1" x14ac:dyDescent="0.3">
      <c r="A48" s="99"/>
      <c r="B48" s="41"/>
      <c r="C48" s="30"/>
      <c r="D48" s="30"/>
      <c r="E48" s="136" t="s">
        <v>14</v>
      </c>
      <c r="F48" s="136"/>
      <c r="G48" s="136"/>
      <c r="H48" s="100"/>
      <c r="I48" s="100"/>
      <c r="J48" s="100"/>
      <c r="K48" s="100"/>
      <c r="L48" s="100"/>
      <c r="M48" s="101"/>
      <c r="N48" s="38"/>
      <c r="O48" s="38"/>
      <c r="P48" s="38"/>
      <c r="Q48" s="102"/>
      <c r="R48" s="30"/>
      <c r="S48" s="30"/>
      <c r="T48" s="30"/>
      <c r="U48" s="30"/>
      <c r="V48" s="30"/>
      <c r="W48" s="30"/>
      <c r="X48" s="30"/>
    </row>
    <row r="49" spans="1:24" ht="24" x14ac:dyDescent="0.25">
      <c r="A49" s="99"/>
      <c r="B49" s="41"/>
      <c r="C49" s="30"/>
      <c r="D49" s="34"/>
      <c r="E49" s="56" t="s">
        <v>4</v>
      </c>
      <c r="F49" s="103">
        <f>L41</f>
        <v>9.2765141335888455</v>
      </c>
      <c r="G49" s="38"/>
      <c r="H49" s="104"/>
      <c r="I49" s="38"/>
      <c r="J49" s="38"/>
      <c r="K49" s="38"/>
      <c r="L49" s="105"/>
      <c r="M49" s="38"/>
      <c r="N49" s="38"/>
      <c r="O49" s="38"/>
      <c r="P49" s="106"/>
      <c r="Q49" s="106"/>
      <c r="R49" s="30"/>
      <c r="S49" s="30"/>
      <c r="T49" s="30"/>
      <c r="U49" s="30"/>
      <c r="V49" s="30"/>
      <c r="W49" s="30"/>
      <c r="X49" s="30"/>
    </row>
    <row r="50" spans="1:24" ht="15" customHeight="1" x14ac:dyDescent="0.25">
      <c r="A50" s="99"/>
      <c r="B50" s="41"/>
      <c r="C50" s="30"/>
      <c r="D50" s="34"/>
      <c r="E50" s="56" t="s">
        <v>124</v>
      </c>
      <c r="F50" s="130" t="s">
        <v>117</v>
      </c>
      <c r="G50" s="163" t="s">
        <v>217</v>
      </c>
      <c r="H50" s="38"/>
      <c r="I50" s="38"/>
      <c r="J50" s="38"/>
      <c r="K50" s="38"/>
      <c r="L50" s="105"/>
      <c r="M50" s="38"/>
      <c r="N50" s="38"/>
      <c r="O50" s="38"/>
      <c r="P50" s="106"/>
      <c r="Q50" s="106"/>
      <c r="R50" s="30"/>
      <c r="S50" s="30"/>
      <c r="T50" s="30"/>
      <c r="U50" s="30"/>
      <c r="V50" s="30"/>
      <c r="W50" s="30"/>
      <c r="X50" s="30"/>
    </row>
    <row r="51" spans="1:24" x14ac:dyDescent="0.25">
      <c r="A51" s="99"/>
      <c r="B51" s="41"/>
      <c r="C51" s="30"/>
      <c r="D51" s="34"/>
      <c r="E51" s="56" t="s">
        <v>112</v>
      </c>
      <c r="F51" s="130" t="s">
        <v>122</v>
      </c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0"/>
      <c r="S51" s="30"/>
      <c r="T51" s="30"/>
      <c r="U51" s="30"/>
      <c r="V51" s="30"/>
      <c r="W51" s="30"/>
      <c r="X51" s="30"/>
    </row>
    <row r="52" spans="1:24" ht="24" x14ac:dyDescent="0.25">
      <c r="A52" s="99"/>
      <c r="B52" s="41"/>
      <c r="C52" s="30"/>
      <c r="D52" s="34"/>
      <c r="E52" s="56" t="s">
        <v>5</v>
      </c>
      <c r="F52" s="131">
        <v>0.16900000000000001</v>
      </c>
      <c r="G52" s="38"/>
      <c r="H52" s="30"/>
      <c r="I52" s="38"/>
      <c r="J52" s="38"/>
      <c r="K52" s="38"/>
      <c r="L52" s="107"/>
      <c r="M52" s="38"/>
      <c r="N52" s="38"/>
      <c r="O52" s="106"/>
      <c r="P52" s="106"/>
      <c r="Q52" s="106"/>
      <c r="R52" s="30"/>
      <c r="S52" s="30"/>
      <c r="T52" s="30"/>
      <c r="U52" s="30"/>
      <c r="V52" s="30"/>
      <c r="W52" s="30"/>
      <c r="X52" s="30"/>
    </row>
    <row r="53" spans="1:24" ht="24" x14ac:dyDescent="0.25">
      <c r="A53" s="99"/>
      <c r="B53" s="41"/>
      <c r="C53" s="30"/>
      <c r="D53" s="34"/>
      <c r="E53" s="56" t="s">
        <v>41</v>
      </c>
      <c r="F53" s="132">
        <v>2.2999999999999998</v>
      </c>
      <c r="G53" s="38"/>
      <c r="H53" s="30"/>
      <c r="I53" s="38"/>
      <c r="J53" s="38"/>
      <c r="K53" s="38"/>
      <c r="L53" s="107"/>
      <c r="M53" s="38"/>
      <c r="N53" s="38"/>
      <c r="O53" s="106"/>
      <c r="P53" s="106"/>
      <c r="Q53" s="106"/>
      <c r="R53" s="30"/>
      <c r="S53" s="30"/>
      <c r="T53" s="30"/>
      <c r="U53" s="30"/>
      <c r="V53" s="30"/>
      <c r="W53" s="30"/>
      <c r="X53" s="30"/>
    </row>
    <row r="54" spans="1:24" x14ac:dyDescent="0.25">
      <c r="A54" s="99"/>
      <c r="B54" s="41"/>
      <c r="C54" s="30"/>
      <c r="D54" s="34"/>
      <c r="E54" s="56" t="s">
        <v>17</v>
      </c>
      <c r="F54" s="131"/>
      <c r="G54" s="38"/>
      <c r="H54" s="30"/>
      <c r="I54" s="38"/>
      <c r="J54" s="38"/>
      <c r="K54" s="38"/>
      <c r="L54" s="38"/>
      <c r="M54" s="38"/>
      <c r="N54" s="38"/>
      <c r="O54" s="30"/>
      <c r="P54" s="30"/>
      <c r="Q54" s="30"/>
      <c r="R54" s="30"/>
      <c r="S54" s="30"/>
      <c r="T54" s="30"/>
      <c r="U54" s="30"/>
      <c r="V54" s="30"/>
      <c r="W54" s="30"/>
      <c r="X54" s="30"/>
    </row>
    <row r="55" spans="1:24" ht="19.5" x14ac:dyDescent="0.25">
      <c r="A55" s="99"/>
      <c r="B55" s="41"/>
      <c r="C55" s="30"/>
      <c r="D55" s="34"/>
      <c r="E55" s="56" t="s">
        <v>18</v>
      </c>
      <c r="F55" s="131"/>
      <c r="G55" s="38"/>
      <c r="H55" s="30"/>
      <c r="I55" s="38"/>
      <c r="J55" s="38"/>
      <c r="K55" s="38"/>
      <c r="L55" s="108"/>
      <c r="M55" s="38"/>
      <c r="N55" s="38"/>
      <c r="O55" s="30"/>
      <c r="P55" s="30"/>
      <c r="Q55" s="30"/>
      <c r="R55" s="30"/>
      <c r="S55" s="30"/>
      <c r="T55" s="30"/>
      <c r="U55" s="30"/>
      <c r="V55" s="30"/>
      <c r="W55" s="30"/>
      <c r="X55" s="30"/>
    </row>
    <row r="56" spans="1:24" x14ac:dyDescent="0.25">
      <c r="A56" s="99"/>
      <c r="B56" s="41"/>
      <c r="C56" s="30"/>
      <c r="D56" s="34"/>
      <c r="E56" s="56" t="s">
        <v>6</v>
      </c>
      <c r="F56" s="109">
        <v>0.18</v>
      </c>
      <c r="G56" s="200">
        <v>0.12</v>
      </c>
      <c r="H56" s="30"/>
      <c r="I56" s="38"/>
      <c r="J56" s="38"/>
      <c r="K56" s="38"/>
      <c r="L56" s="38"/>
      <c r="M56" s="38"/>
      <c r="N56" s="38"/>
      <c r="O56" s="30"/>
      <c r="P56" s="30"/>
      <c r="Q56" s="30"/>
      <c r="R56" s="30"/>
      <c r="S56" s="30"/>
      <c r="T56" s="30"/>
      <c r="U56" s="30"/>
      <c r="V56" s="30"/>
      <c r="W56" s="30"/>
      <c r="X56" s="30"/>
    </row>
    <row r="57" spans="1:24" x14ac:dyDescent="0.25">
      <c r="A57" s="99"/>
      <c r="B57" s="41"/>
      <c r="C57" s="30"/>
      <c r="D57" s="34"/>
      <c r="E57" s="56" t="s">
        <v>22</v>
      </c>
      <c r="F57" s="109">
        <f>IF(G50="Fora",G57,IF(F50="RMC",0,IF(F50="S/NF",0,VLOOKUP($F$10,'Cad1'!F14:N81,6,0))))</f>
        <v>6.4999999999999997E-3</v>
      </c>
      <c r="G57" s="200">
        <v>6.4999999999999997E-3</v>
      </c>
      <c r="H57" s="30"/>
      <c r="I57" s="38"/>
      <c r="J57" s="38"/>
      <c r="K57" s="38"/>
      <c r="L57" s="38"/>
      <c r="M57" s="38"/>
      <c r="N57" s="38"/>
      <c r="O57" s="30"/>
      <c r="P57" s="30"/>
      <c r="Q57" s="30"/>
      <c r="R57" s="30"/>
      <c r="S57" s="30"/>
      <c r="T57" s="30"/>
      <c r="U57" s="30"/>
      <c r="V57" s="30"/>
      <c r="W57" s="30"/>
      <c r="X57" s="30"/>
    </row>
    <row r="58" spans="1:24" x14ac:dyDescent="0.25">
      <c r="A58" s="99"/>
      <c r="B58" s="41"/>
      <c r="C58" s="30"/>
      <c r="D58" s="34"/>
      <c r="E58" s="56" t="s">
        <v>23</v>
      </c>
      <c r="F58" s="109">
        <f>IF(G50="Fora",G58,IF(F50="RMC",0,IF(F50="S/NF",0,VLOOKUP($F$10,'Cad1'!F14:N81,7,0))))</f>
        <v>0.03</v>
      </c>
      <c r="G58" s="200">
        <v>0.03</v>
      </c>
      <c r="H58" s="30"/>
      <c r="I58" s="38"/>
      <c r="J58" s="38"/>
      <c r="K58" s="38"/>
      <c r="L58" s="38"/>
      <c r="M58" s="38"/>
      <c r="N58" s="38"/>
      <c r="O58" s="30"/>
      <c r="P58" s="30"/>
      <c r="Q58" s="30"/>
      <c r="R58" s="30"/>
      <c r="S58" s="30"/>
      <c r="T58" s="30"/>
      <c r="U58" s="30"/>
      <c r="V58" s="30"/>
      <c r="W58" s="30"/>
      <c r="X58" s="30"/>
    </row>
    <row r="59" spans="1:24" x14ac:dyDescent="0.25">
      <c r="A59" s="99"/>
      <c r="B59" s="41"/>
      <c r="C59" s="30"/>
      <c r="D59" s="34"/>
      <c r="E59" s="56" t="s">
        <v>24</v>
      </c>
      <c r="F59" s="109">
        <f>IF(G50="Fora",G59,IF(F50="RMC",0,IF(F50="S/NF",0,VLOOKUP($F$10,'Cad1'!F14:N81,8,0))))</f>
        <v>1.2E-2</v>
      </c>
      <c r="G59" s="200">
        <v>1.2E-2</v>
      </c>
      <c r="H59" s="30"/>
      <c r="I59" s="38"/>
      <c r="J59" s="38"/>
      <c r="K59" s="38"/>
      <c r="L59" s="38"/>
      <c r="M59" s="38"/>
      <c r="N59" s="38"/>
      <c r="O59" s="30"/>
      <c r="P59" s="30"/>
      <c r="Q59" s="30"/>
      <c r="R59" s="30"/>
      <c r="S59" s="30"/>
      <c r="T59" s="30"/>
      <c r="U59" s="30"/>
      <c r="V59" s="30"/>
      <c r="W59" s="30"/>
      <c r="X59" s="30"/>
    </row>
    <row r="60" spans="1:24" x14ac:dyDescent="0.25">
      <c r="A60" s="99"/>
      <c r="B60" s="41"/>
      <c r="C60" s="30"/>
      <c r="D60" s="34"/>
      <c r="E60" s="56" t="s">
        <v>25</v>
      </c>
      <c r="F60" s="109">
        <f>IF(G50="Fora",G60,IF(F50="RMC",0,IF(F50="S/NF",0,VLOOKUP($F$10,'Cad1'!F14:N81,9,0))))</f>
        <v>1.0800000000000001E-2</v>
      </c>
      <c r="G60" s="200">
        <v>1.0800000000000001E-2</v>
      </c>
      <c r="H60" s="30"/>
      <c r="I60" s="38"/>
      <c r="J60" s="38"/>
      <c r="K60" s="38"/>
      <c r="L60" s="38"/>
      <c r="M60" s="38"/>
      <c r="N60" s="38"/>
      <c r="O60" s="30"/>
      <c r="P60" s="30"/>
      <c r="Q60" s="30"/>
      <c r="R60" s="30"/>
      <c r="S60" s="30"/>
      <c r="T60" s="30"/>
      <c r="U60" s="30"/>
      <c r="V60" s="30"/>
      <c r="W60" s="30"/>
      <c r="X60" s="30"/>
    </row>
    <row r="61" spans="1:24" ht="34.5" x14ac:dyDescent="0.45">
      <c r="A61" s="99"/>
      <c r="B61" s="41"/>
      <c r="C61" s="30"/>
      <c r="D61" s="34"/>
      <c r="E61" s="56" t="s">
        <v>15</v>
      </c>
      <c r="F61" s="110">
        <f>ROUND(F49/(1-(F52+F56+F54+F55+F57+F58+F59+F60)),1)</f>
        <v>15.7</v>
      </c>
      <c r="G61" s="38"/>
      <c r="H61" s="30"/>
      <c r="I61" s="38"/>
      <c r="J61" s="38"/>
      <c r="K61" s="265">
        <f>F69</f>
        <v>18</v>
      </c>
      <c r="L61" s="111"/>
      <c r="M61" s="38"/>
      <c r="N61" s="38"/>
      <c r="O61" s="30"/>
      <c r="P61" s="30"/>
      <c r="Q61" s="30"/>
      <c r="R61" s="30"/>
      <c r="S61" s="30"/>
      <c r="T61" s="30"/>
      <c r="U61" s="30"/>
      <c r="V61" s="30"/>
      <c r="W61" s="30"/>
      <c r="X61" s="30"/>
    </row>
    <row r="62" spans="1:24" ht="34.5" x14ac:dyDescent="0.45">
      <c r="A62" s="99"/>
      <c r="B62" s="41"/>
      <c r="C62" s="30"/>
      <c r="D62" s="34"/>
      <c r="E62" s="38" t="s">
        <v>26</v>
      </c>
      <c r="F62" s="112">
        <f>SUM(F56:F60)</f>
        <v>0.23930000000000001</v>
      </c>
      <c r="G62" s="38"/>
      <c r="H62" s="30"/>
      <c r="I62" s="113"/>
      <c r="J62" s="113"/>
      <c r="K62" s="265"/>
      <c r="L62" s="111"/>
      <c r="M62" s="38"/>
      <c r="N62" s="38"/>
      <c r="O62" s="30"/>
      <c r="P62" s="30"/>
      <c r="Q62" s="30"/>
      <c r="R62" s="30"/>
      <c r="S62" s="30"/>
      <c r="T62" s="30"/>
      <c r="U62" s="30"/>
      <c r="V62" s="30"/>
      <c r="W62" s="30"/>
      <c r="X62" s="30"/>
    </row>
    <row r="63" spans="1:24" ht="34.5" x14ac:dyDescent="0.45">
      <c r="A63" s="99"/>
      <c r="B63" s="41"/>
      <c r="C63" s="30"/>
      <c r="D63" s="34"/>
      <c r="E63" s="38" t="s">
        <v>47</v>
      </c>
      <c r="F63" s="114">
        <f>F56*F69</f>
        <v>3.2399999999999998</v>
      </c>
      <c r="G63" s="38"/>
      <c r="H63" s="147"/>
      <c r="I63" s="113"/>
      <c r="J63" s="113"/>
      <c r="K63" s="115"/>
      <c r="L63" s="111"/>
      <c r="M63" s="38"/>
      <c r="N63" s="38"/>
      <c r="O63" s="30"/>
      <c r="P63" s="30"/>
      <c r="Q63" s="30"/>
      <c r="R63" s="30"/>
      <c r="S63" s="30"/>
      <c r="T63" s="30"/>
      <c r="U63" s="30"/>
      <c r="V63" s="30"/>
      <c r="W63" s="30"/>
      <c r="X63" s="30"/>
    </row>
    <row r="64" spans="1:24" ht="17.25" thickBot="1" x14ac:dyDescent="0.3">
      <c r="A64" s="99"/>
      <c r="B64" s="41"/>
      <c r="C64" s="30"/>
      <c r="D64" s="34"/>
      <c r="E64" s="116" t="s">
        <v>42</v>
      </c>
      <c r="F64" s="117">
        <f>L40-F63</f>
        <v>-2.7157291666666663</v>
      </c>
      <c r="G64" s="74" t="str">
        <f>IF(F64&lt;0,"A PAGAR","CREDOR")</f>
        <v>A PAGAR</v>
      </c>
      <c r="H64" s="30"/>
      <c r="I64" s="38"/>
      <c r="J64" s="64"/>
      <c r="K64" s="38"/>
      <c r="L64" s="38"/>
      <c r="M64" s="38"/>
      <c r="N64" s="38"/>
      <c r="O64" s="30"/>
      <c r="P64" s="30"/>
      <c r="Q64" s="30"/>
      <c r="R64" s="30"/>
      <c r="S64" s="30"/>
      <c r="T64" s="30"/>
      <c r="U64" s="30"/>
      <c r="V64" s="30"/>
      <c r="W64" s="30"/>
      <c r="X64" s="30"/>
    </row>
    <row r="65" spans="1:24" x14ac:dyDescent="0.25">
      <c r="A65" s="99"/>
      <c r="B65" s="41"/>
      <c r="C65" s="30"/>
      <c r="D65" s="34"/>
      <c r="E65" s="38"/>
      <c r="F65" s="38"/>
      <c r="G65" s="38"/>
      <c r="H65" s="30"/>
      <c r="I65" s="118">
        <f>(F70*100%)/F69</f>
        <v>-0.23930000000000001</v>
      </c>
      <c r="J65" s="38"/>
      <c r="K65" s="271" t="s">
        <v>4</v>
      </c>
      <c r="L65" s="268">
        <f>IF(I67&lt;0,I67*(-1),I67)</f>
        <v>0.51536189631049145</v>
      </c>
      <c r="M65" s="38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</row>
    <row r="66" spans="1:24" ht="17.25" thickBot="1" x14ac:dyDescent="0.3">
      <c r="A66" s="99"/>
      <c r="B66" s="41"/>
      <c r="C66" s="30"/>
      <c r="D66" s="34"/>
      <c r="E66" s="119" t="s">
        <v>8</v>
      </c>
      <c r="F66" s="100"/>
      <c r="G66" s="100"/>
      <c r="H66" s="30"/>
      <c r="I66" s="118"/>
      <c r="J66" s="38"/>
      <c r="K66" s="267"/>
      <c r="L66" s="272"/>
      <c r="M66" s="38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</row>
    <row r="67" spans="1:24" ht="17.25" customHeight="1" x14ac:dyDescent="0.25">
      <c r="A67" s="99"/>
      <c r="B67" s="41"/>
      <c r="C67" s="30"/>
      <c r="D67" s="30"/>
      <c r="E67" s="38"/>
      <c r="F67" s="53">
        <f>IF(F54="",F61+F53,F61)</f>
        <v>18</v>
      </c>
      <c r="G67" s="120"/>
      <c r="H67" s="30"/>
      <c r="I67" s="118">
        <f>(F72*100%)/F69</f>
        <v>-0.51536189631049145</v>
      </c>
      <c r="J67" s="38"/>
      <c r="K67" s="266" t="s">
        <v>16</v>
      </c>
      <c r="L67" s="268">
        <f>IF(I65&lt;0,I65*(-1),I65)</f>
        <v>0.23930000000000001</v>
      </c>
      <c r="M67" s="38"/>
      <c r="N67" s="38"/>
      <c r="O67" s="30"/>
      <c r="P67" s="30"/>
      <c r="Q67" s="30"/>
      <c r="R67" s="30"/>
      <c r="S67" s="30"/>
      <c r="T67" s="30"/>
      <c r="U67" s="30"/>
      <c r="V67" s="30"/>
      <c r="W67" s="30"/>
      <c r="X67" s="30"/>
    </row>
    <row r="68" spans="1:24" ht="17.25" customHeight="1" thickBot="1" x14ac:dyDescent="0.3">
      <c r="A68" s="99"/>
      <c r="B68" s="41"/>
      <c r="C68" s="30"/>
      <c r="D68" s="30"/>
      <c r="E68" s="53" t="s">
        <v>0</v>
      </c>
      <c r="F68" s="53" t="s">
        <v>1</v>
      </c>
      <c r="G68" s="121"/>
      <c r="H68" s="30"/>
      <c r="I68" s="118"/>
      <c r="J68" s="38"/>
      <c r="K68" s="267"/>
      <c r="L68" s="269"/>
      <c r="M68" s="38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</row>
    <row r="69" spans="1:24" ht="17.25" customHeight="1" x14ac:dyDescent="0.25">
      <c r="A69" s="99"/>
      <c r="B69" s="122"/>
      <c r="C69" s="30"/>
      <c r="D69" s="30"/>
      <c r="E69" s="56" t="s">
        <v>2</v>
      </c>
      <c r="F69" s="123">
        <f>ROUND(F67,1)</f>
        <v>18</v>
      </c>
      <c r="G69" s="121"/>
      <c r="H69" s="30"/>
      <c r="I69" s="118">
        <f>(F76*100%)/F69</f>
        <v>0.11756032591173075</v>
      </c>
      <c r="J69" s="38"/>
      <c r="K69" s="266" t="s">
        <v>28</v>
      </c>
      <c r="L69" s="268">
        <f>IF(I73&lt;0,I73*(-1),I73)</f>
        <v>0</v>
      </c>
      <c r="M69" s="38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</row>
    <row r="70" spans="1:24" ht="17.25" customHeight="1" thickBot="1" x14ac:dyDescent="0.3">
      <c r="A70" s="99"/>
      <c r="B70" s="122"/>
      <c r="C70" s="30"/>
      <c r="D70" s="30"/>
      <c r="E70" s="56" t="s">
        <v>10</v>
      </c>
      <c r="F70" s="123">
        <f>-F69*(F62)</f>
        <v>-4.3074000000000003</v>
      </c>
      <c r="G70" s="121"/>
      <c r="H70" s="30"/>
      <c r="I70" s="118"/>
      <c r="J70" s="38"/>
      <c r="K70" s="270"/>
      <c r="L70" s="269"/>
      <c r="M70" s="38"/>
      <c r="N70" s="38"/>
      <c r="O70" s="30"/>
      <c r="P70" s="30"/>
      <c r="Q70" s="30"/>
      <c r="R70" s="30"/>
      <c r="S70" s="30"/>
      <c r="T70" s="30"/>
      <c r="U70" s="30"/>
      <c r="V70" s="30"/>
      <c r="W70" s="30"/>
      <c r="X70" s="30"/>
    </row>
    <row r="71" spans="1:24" ht="17.25" customHeight="1" x14ac:dyDescent="0.25">
      <c r="A71" s="99"/>
      <c r="B71" s="122"/>
      <c r="C71" s="30"/>
      <c r="D71" s="30"/>
      <c r="E71" s="38" t="s">
        <v>9</v>
      </c>
      <c r="F71" s="182">
        <f>F69+F70</f>
        <v>13.692599999999999</v>
      </c>
      <c r="G71" s="121"/>
      <c r="H71" s="30"/>
      <c r="I71" s="118">
        <f>(F74*100%)/F69</f>
        <v>0.12777777777777777</v>
      </c>
      <c r="J71" s="38"/>
      <c r="K71" s="267" t="s">
        <v>27</v>
      </c>
      <c r="L71" s="268">
        <f>IF(I71&lt;0,I71*(-1),I71)</f>
        <v>0.12777777777777777</v>
      </c>
      <c r="M71" s="38"/>
      <c r="N71" s="38"/>
      <c r="O71" s="30"/>
      <c r="P71" s="30"/>
      <c r="Q71" s="30"/>
      <c r="R71" s="30"/>
      <c r="S71" s="30"/>
      <c r="T71" s="30"/>
      <c r="U71" s="30"/>
      <c r="V71" s="30"/>
      <c r="W71" s="30"/>
      <c r="X71" s="30"/>
    </row>
    <row r="72" spans="1:24" ht="17.25" customHeight="1" thickBot="1" x14ac:dyDescent="0.3">
      <c r="A72" s="99"/>
      <c r="B72" s="41"/>
      <c r="C72" s="30"/>
      <c r="D72" s="30"/>
      <c r="E72" s="38" t="s">
        <v>11</v>
      </c>
      <c r="F72" s="123">
        <f>-(F49)</f>
        <v>-9.2765141335888455</v>
      </c>
      <c r="G72" s="121"/>
      <c r="H72" s="30"/>
      <c r="I72" s="118"/>
      <c r="J72" s="38"/>
      <c r="K72" s="267"/>
      <c r="L72" s="269"/>
      <c r="M72" s="38"/>
      <c r="N72" s="38"/>
      <c r="O72" s="30"/>
      <c r="P72" s="30"/>
      <c r="Q72" s="30"/>
      <c r="R72" s="30"/>
      <c r="S72" s="30"/>
      <c r="T72" s="30"/>
      <c r="U72" s="30"/>
      <c r="V72" s="30"/>
      <c r="W72" s="30"/>
      <c r="X72" s="30"/>
    </row>
    <row r="73" spans="1:24" ht="17.25" customHeight="1" x14ac:dyDescent="0.25">
      <c r="A73" s="99"/>
      <c r="B73" s="99"/>
      <c r="C73" s="30"/>
      <c r="D73" s="30"/>
      <c r="E73" s="56" t="s">
        <v>12</v>
      </c>
      <c r="F73" s="124">
        <f>F71+F72</f>
        <v>4.4160858664111533</v>
      </c>
      <c r="G73" s="121"/>
      <c r="H73" s="30"/>
      <c r="I73" s="118">
        <f>(F75*100%)/F69</f>
        <v>0</v>
      </c>
      <c r="J73" s="38"/>
      <c r="K73" s="266" t="s">
        <v>3</v>
      </c>
      <c r="L73" s="268">
        <f>IF(I69&lt;0,I69*(-1),I69)</f>
        <v>0.11756032591173075</v>
      </c>
      <c r="M73" s="38"/>
      <c r="N73" s="38"/>
      <c r="O73" s="30"/>
      <c r="P73" s="30"/>
      <c r="Q73" s="30"/>
      <c r="R73" s="30"/>
      <c r="S73" s="30"/>
      <c r="T73" s="30"/>
      <c r="U73" s="30"/>
      <c r="V73" s="30"/>
      <c r="W73" s="30"/>
      <c r="X73" s="30"/>
    </row>
    <row r="74" spans="1:24" ht="17.25" customHeight="1" thickBot="1" x14ac:dyDescent="0.3">
      <c r="A74" s="99"/>
      <c r="B74" s="99"/>
      <c r="C74" s="30"/>
      <c r="D74" s="30"/>
      <c r="E74" s="38" t="s">
        <v>19</v>
      </c>
      <c r="F74" s="124">
        <f>IF(F54="",F53,F69*F54)</f>
        <v>2.2999999999999998</v>
      </c>
      <c r="G74" s="121"/>
      <c r="H74" s="30"/>
      <c r="I74" s="125"/>
      <c r="J74" s="38"/>
      <c r="K74" s="267"/>
      <c r="L74" s="269"/>
      <c r="M74" s="38"/>
      <c r="N74" s="38"/>
      <c r="O74" s="30"/>
      <c r="P74" s="30"/>
      <c r="Q74" s="30"/>
      <c r="R74" s="30"/>
      <c r="S74" s="30"/>
      <c r="T74" s="30"/>
      <c r="U74" s="30"/>
      <c r="V74" s="30"/>
      <c r="W74" s="30"/>
      <c r="X74" s="30"/>
    </row>
    <row r="75" spans="1:24" ht="24" x14ac:dyDescent="0.25">
      <c r="A75" s="99"/>
      <c r="B75" s="99"/>
      <c r="C75" s="30"/>
      <c r="D75" s="30"/>
      <c r="E75" s="38" t="s">
        <v>20</v>
      </c>
      <c r="F75" s="124">
        <f>(F69*F55)</f>
        <v>0</v>
      </c>
      <c r="G75" s="121"/>
      <c r="H75" s="30"/>
      <c r="I75" s="106"/>
      <c r="J75" s="106"/>
      <c r="K75" s="126"/>
      <c r="L75" s="38"/>
      <c r="M75" s="38"/>
      <c r="N75" s="38"/>
      <c r="O75" s="30"/>
      <c r="P75" s="30"/>
      <c r="Q75" s="30"/>
      <c r="R75" s="30"/>
      <c r="S75" s="30"/>
      <c r="T75" s="30"/>
      <c r="U75" s="30"/>
      <c r="V75" s="30"/>
      <c r="W75" s="30"/>
      <c r="X75" s="30"/>
    </row>
    <row r="76" spans="1:24" x14ac:dyDescent="0.25">
      <c r="A76" s="99"/>
      <c r="B76" s="99"/>
      <c r="C76" s="30"/>
      <c r="D76" s="30"/>
      <c r="E76" s="56" t="s">
        <v>21</v>
      </c>
      <c r="F76" s="124">
        <f>F73-F74-F75</f>
        <v>2.1160858664111535</v>
      </c>
      <c r="H76" s="30"/>
      <c r="I76" s="30"/>
      <c r="J76" s="30"/>
      <c r="K76" s="30"/>
      <c r="L76" s="30"/>
      <c r="M76" s="38"/>
      <c r="N76" s="38"/>
      <c r="O76" s="30"/>
      <c r="P76" s="30"/>
      <c r="Q76" s="30"/>
      <c r="R76" s="30"/>
      <c r="S76" s="30"/>
      <c r="T76" s="30"/>
      <c r="U76" s="30"/>
      <c r="V76" s="30"/>
      <c r="W76" s="30"/>
      <c r="X76" s="30"/>
    </row>
    <row r="77" spans="1:24" x14ac:dyDescent="0.25">
      <c r="A77" s="99"/>
      <c r="B77" s="99"/>
      <c r="C77" s="30"/>
      <c r="D77" s="30"/>
      <c r="E77" s="38" t="s">
        <v>13</v>
      </c>
      <c r="F77" s="127">
        <f>IF(F54="",IF(F53=0,G77,G78),G77)</f>
        <v>0.15454229776749145</v>
      </c>
      <c r="G77" s="183">
        <f>IFERROR(F76/F69,"-")</f>
        <v>0.11756032591173075</v>
      </c>
      <c r="H77" s="30"/>
      <c r="I77" s="30"/>
      <c r="J77" s="30"/>
      <c r="K77" s="30"/>
      <c r="L77" s="30"/>
      <c r="M77" s="38"/>
      <c r="N77" s="38"/>
      <c r="O77" s="30"/>
      <c r="P77" s="30"/>
      <c r="Q77" s="30"/>
      <c r="R77" s="30"/>
      <c r="S77" s="30"/>
      <c r="T77" s="30"/>
      <c r="U77" s="30"/>
      <c r="V77" s="30"/>
      <c r="W77" s="30"/>
      <c r="X77" s="30"/>
    </row>
    <row r="78" spans="1:24" ht="24" x14ac:dyDescent="0.25">
      <c r="A78" s="99"/>
      <c r="B78" s="99"/>
      <c r="C78" s="30"/>
      <c r="D78" s="30"/>
      <c r="E78" s="106"/>
      <c r="G78" s="184">
        <f>IFERROR((F76/F71),"")</f>
        <v>0.15454229776749145</v>
      </c>
      <c r="H78" s="30"/>
      <c r="I78" s="30"/>
      <c r="J78" s="30"/>
      <c r="K78" s="30"/>
      <c r="L78" s="30"/>
      <c r="M78" s="38"/>
      <c r="N78" s="38"/>
      <c r="O78" s="30"/>
      <c r="P78" s="30"/>
      <c r="Q78" s="30"/>
      <c r="R78" s="30"/>
      <c r="S78" s="30"/>
      <c r="T78" s="30"/>
      <c r="U78" s="30"/>
      <c r="V78" s="30"/>
      <c r="W78" s="30"/>
      <c r="X78" s="30"/>
    </row>
    <row r="79" spans="1:24" ht="24" x14ac:dyDescent="0.25">
      <c r="A79" s="99"/>
      <c r="B79" s="99"/>
      <c r="C79" s="30"/>
      <c r="D79" s="164"/>
      <c r="E79" s="187"/>
      <c r="F79" s="188"/>
      <c r="G79" s="189"/>
      <c r="H79" s="164"/>
      <c r="I79" s="164"/>
      <c r="J79" s="164"/>
      <c r="K79" s="164"/>
      <c r="L79" s="164"/>
      <c r="M79" s="189"/>
      <c r="N79" s="189"/>
      <c r="O79" s="164"/>
      <c r="P79" s="164"/>
      <c r="Q79" s="164"/>
      <c r="R79" s="164"/>
      <c r="S79" s="164"/>
      <c r="T79" s="174"/>
      <c r="U79" s="174"/>
      <c r="V79" s="30"/>
      <c r="W79" s="30"/>
      <c r="X79" s="30"/>
    </row>
    <row r="80" spans="1:24" x14ac:dyDescent="0.25">
      <c r="A80" s="99"/>
      <c r="B80" s="99"/>
      <c r="C80" s="30"/>
      <c r="D80" s="190" t="s">
        <v>106</v>
      </c>
      <c r="E80" s="190" t="s">
        <v>105</v>
      </c>
      <c r="F80" s="190" t="s">
        <v>104</v>
      </c>
      <c r="G80" s="190" t="s">
        <v>107</v>
      </c>
      <c r="H80" s="190" t="s">
        <v>108</v>
      </c>
      <c r="I80" s="190" t="s">
        <v>109</v>
      </c>
      <c r="J80" s="190" t="s">
        <v>110</v>
      </c>
      <c r="K80" s="190" t="s">
        <v>111</v>
      </c>
      <c r="L80" s="190" t="s">
        <v>114</v>
      </c>
      <c r="M80" s="191" t="s">
        <v>123</v>
      </c>
      <c r="N80" s="190" t="s">
        <v>125</v>
      </c>
      <c r="O80" s="190" t="s">
        <v>126</v>
      </c>
      <c r="P80" s="190" t="s">
        <v>140</v>
      </c>
      <c r="Q80" s="190"/>
      <c r="R80" s="164"/>
      <c r="S80" s="164"/>
      <c r="T80" s="174"/>
      <c r="U80" s="174"/>
      <c r="V80" s="30"/>
      <c r="W80" s="30"/>
      <c r="X80" s="30"/>
    </row>
    <row r="81" spans="1:24" x14ac:dyDescent="0.25">
      <c r="A81" s="99"/>
      <c r="B81" s="99"/>
      <c r="C81" s="30"/>
      <c r="D81" s="192">
        <f ca="1">F9</f>
        <v>46063</v>
      </c>
      <c r="E81" s="190" t="str">
        <f>F10</f>
        <v>Creme Molho - LITRO (Simples Nacional)</v>
      </c>
      <c r="F81" s="193">
        <f>F49</f>
        <v>9.2765141335888455</v>
      </c>
      <c r="G81" s="193">
        <f>K61</f>
        <v>18</v>
      </c>
      <c r="H81" s="194">
        <f>F77</f>
        <v>0.15454229776749145</v>
      </c>
      <c r="I81" s="195">
        <f>F75</f>
        <v>0</v>
      </c>
      <c r="J81" s="196">
        <f>L40</f>
        <v>0.52427083333333335</v>
      </c>
      <c r="K81" s="196">
        <f>F69*F56</f>
        <v>3.2399999999999998</v>
      </c>
      <c r="L81" s="190" t="str">
        <f>F51</f>
        <v>MÁXIMO</v>
      </c>
      <c r="M81" s="191" t="str">
        <f>F50</f>
        <v>ROMICA</v>
      </c>
      <c r="N81" s="197">
        <f>F74</f>
        <v>2.2999999999999998</v>
      </c>
      <c r="O81" s="196">
        <f>F69*F62</f>
        <v>4.3074000000000003</v>
      </c>
      <c r="P81" s="198">
        <f>F61</f>
        <v>15.7</v>
      </c>
      <c r="Q81" s="190"/>
      <c r="R81" s="164"/>
      <c r="S81" s="164"/>
      <c r="T81" s="174"/>
      <c r="U81" s="174"/>
      <c r="V81" s="30"/>
      <c r="W81" s="30"/>
      <c r="X81" s="30"/>
    </row>
    <row r="82" spans="1:24" x14ac:dyDescent="0.25">
      <c r="A82" s="99"/>
      <c r="B82" s="99"/>
      <c r="C82" s="30"/>
      <c r="D82" s="190"/>
      <c r="E82" s="190"/>
      <c r="F82" s="190"/>
      <c r="G82" s="190"/>
      <c r="H82" s="190"/>
      <c r="I82" s="190"/>
      <c r="J82" s="190"/>
      <c r="K82" s="190"/>
      <c r="L82" s="190"/>
      <c r="M82" s="191"/>
      <c r="N82" s="191"/>
      <c r="O82" s="190"/>
      <c r="P82" s="190"/>
      <c r="Q82" s="190"/>
      <c r="R82" s="164"/>
      <c r="S82" s="164"/>
      <c r="T82" s="174"/>
      <c r="U82" s="174"/>
      <c r="V82" s="30"/>
      <c r="W82" s="30"/>
      <c r="X82" s="30"/>
    </row>
    <row r="83" spans="1:24" x14ac:dyDescent="0.25">
      <c r="A83" s="99"/>
      <c r="B83" s="99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8"/>
      <c r="N83" s="38"/>
      <c r="O83" s="30"/>
      <c r="P83" s="30"/>
      <c r="Q83" s="30"/>
      <c r="R83" s="30"/>
      <c r="S83" s="30"/>
      <c r="T83" s="174"/>
      <c r="U83" s="174"/>
      <c r="V83" s="30"/>
      <c r="W83" s="30"/>
      <c r="X83" s="30"/>
    </row>
    <row r="84" spans="1:24" x14ac:dyDescent="0.25">
      <c r="A84" s="99"/>
      <c r="B84" s="99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8"/>
      <c r="N84" s="38"/>
      <c r="O84" s="30"/>
      <c r="P84" s="30"/>
      <c r="Q84" s="30"/>
      <c r="R84" s="30"/>
      <c r="S84" s="30"/>
      <c r="T84" s="174"/>
      <c r="U84" s="174"/>
      <c r="V84" s="30"/>
      <c r="W84" s="30"/>
      <c r="X84" s="30"/>
    </row>
    <row r="85" spans="1:24" x14ac:dyDescent="0.25">
      <c r="A85" s="99"/>
      <c r="B85" s="99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8"/>
      <c r="N85" s="38"/>
      <c r="O85" s="30"/>
      <c r="P85" s="30"/>
      <c r="Q85" s="30"/>
      <c r="R85" s="30"/>
      <c r="S85" s="30"/>
      <c r="T85" s="174"/>
      <c r="U85" s="174"/>
      <c r="V85" s="30"/>
      <c r="W85" s="30"/>
      <c r="X85" s="30"/>
    </row>
    <row r="86" spans="1:24" x14ac:dyDescent="0.25">
      <c r="A86" s="99"/>
      <c r="B86" s="99"/>
      <c r="C86" s="174"/>
      <c r="D86" s="174"/>
      <c r="E86" s="174"/>
      <c r="F86" s="174"/>
      <c r="G86" s="174"/>
      <c r="H86" s="174"/>
      <c r="I86" s="174"/>
      <c r="J86" s="174"/>
      <c r="K86" s="174"/>
      <c r="L86" s="56"/>
      <c r="M86" s="56"/>
      <c r="N86" s="174"/>
      <c r="O86" s="174"/>
      <c r="P86" s="174"/>
      <c r="Q86" s="174"/>
      <c r="R86" s="174"/>
      <c r="S86" s="174"/>
      <c r="T86" s="174"/>
      <c r="U86" s="174"/>
      <c r="V86" s="30"/>
      <c r="W86" s="30"/>
      <c r="X86" s="30"/>
    </row>
    <row r="87" spans="1:24" x14ac:dyDescent="0.25">
      <c r="A87" s="99"/>
      <c r="B87" s="99"/>
      <c r="C87" s="174"/>
      <c r="D87" s="174"/>
      <c r="E87" s="174"/>
      <c r="F87" s="174"/>
      <c r="G87" s="174"/>
      <c r="H87" s="174"/>
      <c r="I87" s="174"/>
      <c r="J87" s="174"/>
      <c r="K87" s="174"/>
      <c r="L87" s="56"/>
      <c r="M87" s="56"/>
      <c r="N87" s="174"/>
      <c r="O87" s="174"/>
      <c r="P87" s="174"/>
      <c r="Q87" s="174"/>
      <c r="R87" s="174"/>
      <c r="S87" s="174"/>
      <c r="T87" s="174"/>
      <c r="U87" s="174"/>
      <c r="V87" s="30"/>
      <c r="W87" s="30"/>
      <c r="X87" s="30"/>
    </row>
    <row r="88" spans="1:24" x14ac:dyDescent="0.25">
      <c r="A88" s="99"/>
      <c r="B88" s="99"/>
      <c r="C88" s="174"/>
      <c r="D88" s="174"/>
      <c r="E88" s="174"/>
      <c r="F88" s="174"/>
      <c r="G88" s="174"/>
      <c r="H88" s="174"/>
      <c r="I88" s="174"/>
      <c r="J88" s="174"/>
      <c r="K88" s="174"/>
      <c r="L88" s="56"/>
      <c r="M88" s="56"/>
      <c r="N88" s="174"/>
      <c r="O88" s="174"/>
      <c r="P88" s="174"/>
      <c r="Q88" s="174"/>
      <c r="R88" s="174"/>
      <c r="S88" s="174"/>
      <c r="T88" s="174"/>
      <c r="U88" s="174"/>
      <c r="V88" s="30"/>
      <c r="W88" s="30"/>
      <c r="X88" s="30"/>
    </row>
    <row r="89" spans="1:24" x14ac:dyDescent="0.25">
      <c r="A89" s="99"/>
      <c r="B89" s="99"/>
      <c r="C89" s="174"/>
      <c r="D89" s="174"/>
      <c r="E89" s="174"/>
      <c r="F89" s="174"/>
      <c r="G89" s="174"/>
      <c r="H89" s="174"/>
      <c r="I89" s="174"/>
      <c r="J89" s="174"/>
      <c r="K89" s="174"/>
      <c r="L89" s="56"/>
      <c r="M89" s="56"/>
      <c r="N89" s="174"/>
      <c r="O89" s="174"/>
      <c r="P89" s="174"/>
      <c r="Q89" s="174"/>
      <c r="R89" s="174"/>
      <c r="S89" s="174"/>
      <c r="T89" s="174"/>
      <c r="U89" s="174"/>
      <c r="V89" s="30"/>
      <c r="W89" s="30"/>
      <c r="X89" s="30"/>
    </row>
    <row r="90" spans="1:24" x14ac:dyDescent="0.25">
      <c r="A90" s="99"/>
      <c r="B90" s="99"/>
      <c r="C90" s="174"/>
      <c r="D90" s="174"/>
      <c r="E90" s="174"/>
      <c r="F90" s="174"/>
      <c r="G90" s="174"/>
      <c r="H90" s="174"/>
      <c r="I90" s="174"/>
      <c r="J90" s="174"/>
      <c r="K90" s="174"/>
      <c r="L90" s="56"/>
      <c r="M90" s="56"/>
      <c r="N90" s="174"/>
      <c r="O90" s="174"/>
      <c r="P90" s="174"/>
      <c r="Q90" s="174"/>
      <c r="R90" s="174"/>
      <c r="S90" s="174"/>
      <c r="T90" s="174"/>
      <c r="U90" s="174"/>
      <c r="V90" s="30"/>
      <c r="W90" s="30"/>
      <c r="X90" s="30"/>
    </row>
    <row r="91" spans="1:24" x14ac:dyDescent="0.25">
      <c r="A91" s="99"/>
      <c r="B91" s="99"/>
      <c r="C91" s="174"/>
      <c r="D91" s="174"/>
      <c r="E91" s="174"/>
      <c r="F91" s="174"/>
      <c r="G91" s="174"/>
      <c r="H91" s="174"/>
      <c r="I91" s="174"/>
      <c r="J91" s="174"/>
      <c r="K91" s="174"/>
      <c r="L91" s="56"/>
      <c r="M91" s="56"/>
      <c r="N91" s="174"/>
      <c r="O91" s="174"/>
      <c r="P91" s="174"/>
      <c r="Q91" s="174"/>
      <c r="R91" s="174"/>
      <c r="S91" s="174"/>
      <c r="T91" s="174"/>
      <c r="U91" s="174"/>
      <c r="V91" s="30"/>
      <c r="W91" s="30"/>
      <c r="X91" s="30"/>
    </row>
    <row r="92" spans="1:24" x14ac:dyDescent="0.25">
      <c r="A92" s="99"/>
      <c r="B92" s="99"/>
      <c r="C92" s="174"/>
      <c r="D92" s="174"/>
      <c r="E92" s="174"/>
      <c r="F92" s="174"/>
      <c r="G92" s="174"/>
      <c r="H92" s="174"/>
      <c r="I92" s="174"/>
      <c r="J92" s="174"/>
      <c r="K92" s="174"/>
      <c r="L92" s="174"/>
      <c r="M92" s="174"/>
      <c r="N92" s="174"/>
      <c r="O92" s="174"/>
      <c r="P92" s="174"/>
      <c r="Q92" s="174"/>
      <c r="R92" s="174"/>
      <c r="S92" s="174"/>
      <c r="T92" s="174"/>
      <c r="U92" s="174"/>
      <c r="V92" s="30"/>
      <c r="W92" s="30"/>
      <c r="X92" s="30"/>
    </row>
    <row r="93" spans="1:24" x14ac:dyDescent="0.25"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</row>
  </sheetData>
  <mergeCells count="12">
    <mergeCell ref="L73:L74"/>
    <mergeCell ref="K65:K66"/>
    <mergeCell ref="L65:L66"/>
    <mergeCell ref="K73:K74"/>
    <mergeCell ref="L69:L70"/>
    <mergeCell ref="K71:K72"/>
    <mergeCell ref="L71:L72"/>
    <mergeCell ref="B32:B35"/>
    <mergeCell ref="K61:K62"/>
    <mergeCell ref="K67:K68"/>
    <mergeCell ref="L67:L68"/>
    <mergeCell ref="K69:K70"/>
  </mergeCells>
  <dataValidations count="4">
    <dataValidation type="list" allowBlank="1" showInputMessage="1" showErrorMessage="1" sqref="F50" xr:uid="{00000000-0002-0000-0500-000000000000}">
      <formula1>"S/NF,ROMICA,RMC"</formula1>
    </dataValidation>
    <dataValidation type="list" allowBlank="1" showInputMessage="1" showErrorMessage="1" sqref="F51" xr:uid="{00000000-0002-0000-0500-000001000000}">
      <formula1>"VOLUME,MÍNIMO,MÉDIO,MÁXIMO"</formula1>
    </dataValidation>
    <dataValidation type="list" allowBlank="1" showInputMessage="1" showErrorMessage="1" sqref="G49:G50" xr:uid="{00000000-0002-0000-0500-000002000000}">
      <formula1>"Dentro,Fora"</formula1>
    </dataValidation>
    <dataValidation type="list" allowBlank="1" showInputMessage="1" showErrorMessage="1" sqref="F15" xr:uid="{00000000-0002-0000-0500-000003000000}">
      <formula1>"Simples,Normal"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4000000}">
          <x14:formula1>
            <xm:f>'Cad1'!$Q$14:$Q$81</xm:f>
          </x14:formula1>
          <xm:sqref>F10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X94"/>
  <sheetViews>
    <sheetView showGridLines="0" showRowColHeaders="0" zoomScale="85" zoomScaleNormal="85" workbookViewId="0"/>
  </sheetViews>
  <sheetFormatPr defaultRowHeight="15" x14ac:dyDescent="0.25"/>
  <cols>
    <col min="1" max="2" width="20.7109375" style="9" customWidth="1"/>
    <col min="4" max="4" width="10.85546875" bestFit="1" customWidth="1"/>
    <col min="5" max="5" width="28" customWidth="1"/>
    <col min="6" max="6" width="19.28515625" customWidth="1"/>
    <col min="7" max="7" width="11.7109375" bestFit="1" customWidth="1"/>
    <col min="8" max="8" width="17.5703125" bestFit="1" customWidth="1"/>
    <col min="9" max="9" width="15.42578125" customWidth="1"/>
    <col min="10" max="10" width="21.140625" customWidth="1"/>
    <col min="11" max="11" width="18.42578125" customWidth="1"/>
  </cols>
  <sheetData>
    <row r="1" spans="1:24" ht="21" x14ac:dyDescent="0.25">
      <c r="A1" s="29"/>
      <c r="B1" s="29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</row>
    <row r="2" spans="1:24" ht="21" x14ac:dyDescent="0.25">
      <c r="A2" s="29"/>
      <c r="B2" s="29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ht="21" x14ac:dyDescent="0.25">
      <c r="A3" s="29"/>
      <c r="B3" s="29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</row>
    <row r="4" spans="1:24" ht="21" x14ac:dyDescent="0.25">
      <c r="A4" s="29"/>
      <c r="B4" s="29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</row>
    <row r="5" spans="1:24" ht="21" x14ac:dyDescent="0.25">
      <c r="A5" s="29"/>
      <c r="B5" s="29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</row>
    <row r="6" spans="1:24" ht="21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</row>
    <row r="7" spans="1:24" ht="21" x14ac:dyDescent="0.25">
      <c r="A7" s="31"/>
      <c r="B7" s="31"/>
      <c r="C7" s="30"/>
      <c r="D7" s="30"/>
      <c r="E7" s="32" t="s">
        <v>48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</row>
    <row r="8" spans="1:24" ht="21" x14ac:dyDescent="0.25">
      <c r="A8" s="31"/>
      <c r="B8" s="31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</row>
    <row r="9" spans="1:24" ht="21" x14ac:dyDescent="0.25">
      <c r="A9" s="31"/>
      <c r="B9" s="31"/>
      <c r="C9" s="30"/>
      <c r="D9" s="30"/>
      <c r="E9" s="33" t="s">
        <v>143</v>
      </c>
      <c r="F9" s="199">
        <f ca="1">TODAY()</f>
        <v>46063</v>
      </c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</row>
    <row r="10" spans="1:24" ht="21.75" thickBot="1" x14ac:dyDescent="0.3">
      <c r="A10" s="31"/>
      <c r="B10" s="31"/>
      <c r="C10" s="30"/>
      <c r="D10" s="30"/>
      <c r="E10" s="33" t="s">
        <v>74</v>
      </c>
      <c r="F10" s="129" t="s">
        <v>100</v>
      </c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</row>
    <row r="11" spans="1:24" ht="21" x14ac:dyDescent="0.25">
      <c r="A11" s="31"/>
      <c r="B11" s="31"/>
      <c r="C11" s="30"/>
      <c r="D11" s="30"/>
      <c r="E11" s="33" t="s">
        <v>215</v>
      </c>
      <c r="F11" s="234">
        <f>VLOOKUP(F10,'Cad1'!C14:E52,2,0)</f>
        <v>100</v>
      </c>
      <c r="G11" s="133"/>
      <c r="H11" s="39"/>
      <c r="I11" s="39"/>
      <c r="J11" s="39"/>
      <c r="K11" s="134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</row>
    <row r="12" spans="1:24" ht="21.75" thickBot="1" x14ac:dyDescent="0.3">
      <c r="A12" s="31"/>
      <c r="B12" s="31"/>
      <c r="C12" s="30"/>
      <c r="D12" s="30"/>
      <c r="E12" s="135" t="s">
        <v>7</v>
      </c>
      <c r="F12" s="136"/>
      <c r="G12" s="64"/>
      <c r="H12" s="137"/>
      <c r="I12" s="137"/>
      <c r="J12" s="137"/>
      <c r="K12" s="138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</row>
    <row r="13" spans="1:24" ht="21" x14ac:dyDescent="0.25">
      <c r="A13" s="31"/>
      <c r="B13" s="31"/>
      <c r="C13" s="30"/>
      <c r="D13" s="34"/>
      <c r="E13" s="139" t="s">
        <v>73</v>
      </c>
      <c r="F13" s="30"/>
      <c r="G13" s="39"/>
      <c r="H13" s="39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</row>
    <row r="14" spans="1:24" ht="21" x14ac:dyDescent="0.25">
      <c r="A14" s="31"/>
      <c r="B14" s="31"/>
      <c r="C14" s="30"/>
      <c r="D14" s="34"/>
      <c r="E14" s="140" t="s">
        <v>214</v>
      </c>
      <c r="F14" s="83"/>
      <c r="G14" s="128" t="s">
        <v>131</v>
      </c>
      <c r="H14" s="85" t="s">
        <v>81</v>
      </c>
      <c r="I14" s="83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</row>
    <row r="15" spans="1:24" ht="16.5" x14ac:dyDescent="0.25">
      <c r="A15" s="41"/>
      <c r="B15" s="141"/>
      <c r="C15" s="30"/>
      <c r="D15" s="142">
        <f t="array" ref="D15">IF(ROWS('Cad3'!$1:1)&gt;COUNTIF('Cad3'!$G$14:$G$203,$E$13),"",INDEX('Cad3'!$K$14:$K$203,SMALL(IF('Cad3'!$G$14:$G$203=$E$13,ROW('Cad3'!$G$14:$G$203)-ROW('Cad3'!$G$14)+1,FALSE),ROWS('Cad3'!$1:1))))</f>
        <v>70000</v>
      </c>
      <c r="E15" s="97"/>
      <c r="F15" s="50">
        <f>VLOOKUP(F10,'Cad1'!C14:E52,3,0)</f>
        <v>63.92</v>
      </c>
      <c r="H15" s="87" t="s">
        <v>214</v>
      </c>
      <c r="I15" s="173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</row>
    <row r="16" spans="1:24" x14ac:dyDescent="0.25">
      <c r="A16" s="41"/>
      <c r="B16" s="41"/>
      <c r="C16" s="30"/>
      <c r="D16" s="142" t="str">
        <f t="array" ref="D16">IF(ROWS('Cad3'!$1:2)&gt;COUNTIF('Cad3'!$G$14:$G$203,$E$13),"",INDEX('Cad3'!$K$14:$K$203,SMALL(IF('Cad3'!$G$14:$G$203=$E$13,ROW('Cad3'!$G$14:$G$203)-ROW('Cad3'!$G$14)+1,FALSE),ROWS('Cad3'!$1:2))))</f>
        <v/>
      </c>
      <c r="E16" s="38" t="str">
        <f t="array" ref="E16">IF(ROWS('Cad3'!$1:2)&gt;COUNTIF('Cad3'!$G$14:$G$203,$E$13),"",INDEX('Cad3'!$F$14:$F$203,SMALL(IF('Cad3'!$G$14:$G$203=$E$13,ROW('Cad3'!$G$14:$G$203)-ROW('Cad3'!$G$14)+1,FALSE),ROWS('Cad3'!$1:2))))</f>
        <v/>
      </c>
      <c r="F16" s="50" t="str">
        <f>IFERROR(D16,0)</f>
        <v/>
      </c>
      <c r="G16" s="89">
        <f>VLOOKUP(G14,'Cad3'!G14:K103,5,0)</f>
        <v>5</v>
      </c>
      <c r="H16" s="91" t="s">
        <v>85</v>
      </c>
      <c r="I16" s="90">
        <f>VLOOKUP(F10,'Cad1'!F14:I81,3,0)</f>
        <v>21.5</v>
      </c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</row>
    <row r="17" spans="1:24" x14ac:dyDescent="0.25">
      <c r="A17" s="41"/>
      <c r="B17" s="41"/>
      <c r="C17" s="30"/>
      <c r="D17" s="142" t="str">
        <f t="array" ref="D17">IF(ROWS('Cad3'!$1:3)&gt;COUNTIF('Cad3'!$G$14:$G$203,$E$13),"",INDEX('Cad3'!$K$14:$K$203,SMALL(IF('Cad3'!$G$14:$G$203=$E$13,ROW('Cad3'!$G$14:$G$203)-ROW('Cad3'!$G$14)+1,FALSE),ROWS('Cad3'!$1:3))))</f>
        <v/>
      </c>
      <c r="E17" s="38" t="str">
        <f t="array" ref="E17">IF(ROWS('Cad3'!$1:3)&gt;COUNTIF('Cad3'!$G$14:$G$203,$E$13),"",INDEX('Cad3'!$F$14:$F$203,SMALL(IF('Cad3'!$G$14:$G$203=$E$13,ROW('Cad3'!$G$14:$G$203)-ROW('Cad3'!$G$14)+1,FALSE),ROWS('Cad3'!$1:3))))</f>
        <v/>
      </c>
      <c r="F17" s="143" t="str">
        <f t="shared" ref="F17:F21" si="0">IFERROR(D17,0)</f>
        <v/>
      </c>
      <c r="G17" s="172">
        <f>VLOOKUP(F10,'Cad1'!F14:P101,11,0)</f>
        <v>12</v>
      </c>
      <c r="H17" s="91" t="s">
        <v>130</v>
      </c>
      <c r="I17" s="171"/>
      <c r="J17" s="144">
        <f>VLOOKUP(F10,'Cad1'!F14:J81,4,0)</f>
        <v>1.2500000000000001E-2</v>
      </c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</row>
    <row r="18" spans="1:24" x14ac:dyDescent="0.25">
      <c r="A18" s="41"/>
      <c r="B18" s="41"/>
      <c r="C18" s="30"/>
      <c r="D18" s="142" t="str">
        <f t="array" ref="D18">IF(ROWS('Cad3'!$1:4)&gt;COUNTIF('Cad3'!$G$14:$G$203,$E$13),"",INDEX('Cad3'!$K$14:$K$203,SMALL(IF('Cad3'!$G$14:$G$203=$E$13,ROW('Cad3'!$G$14:$G$203)-ROW('Cad3'!$G$14)+1,FALSE),ROWS('Cad3'!$1:4))))</f>
        <v/>
      </c>
      <c r="E18" s="38" t="str">
        <f t="array" ref="E18">IF(ROWS('Cad3'!$1:4)&gt;COUNTIF('Cad3'!$G$14:$G$203,$E$13),"",INDEX('Cad3'!$F$14:$F$203,SMALL(IF('Cad3'!$G$14:$G$203=$E$13,ROW('Cad3'!$G$14:$G$203)-ROW('Cad3'!$G$14)+1,FALSE),ROWS('Cad3'!$1:4))))</f>
        <v/>
      </c>
      <c r="F18" s="143" t="str">
        <f t="shared" si="0"/>
        <v/>
      </c>
      <c r="G18" s="30"/>
      <c r="H18" s="91" t="s">
        <v>83</v>
      </c>
      <c r="I18" s="90">
        <f>IF(F27="RMC",0,I16*J17)</f>
        <v>0.26874999999999999</v>
      </c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</row>
    <row r="19" spans="1:24" x14ac:dyDescent="0.25">
      <c r="A19" s="41"/>
      <c r="B19" s="41"/>
      <c r="C19" s="30"/>
      <c r="D19" s="142" t="str">
        <f t="array" ref="D19">IF(ROWS('Cad3'!$1:5)&gt;COUNTIF('Cad3'!$G$14:$G$203,$E$13),"",INDEX('Cad3'!$K$14:$K$203,SMALL(IF('Cad3'!$G$14:$G$203=$E$13,ROW('Cad3'!$G$14:$G$203)-ROW('Cad3'!$G$14)+1,FALSE),ROWS('Cad3'!$1:5))))</f>
        <v/>
      </c>
      <c r="E19" s="38" t="str">
        <f t="array" ref="E19">IF(ROWS('Cad3'!$1:5)&gt;COUNTIF('Cad3'!$G$14:$G$203,$E$13),"",INDEX('Cad3'!$F$14:$F$203,SMALL(IF('Cad3'!$G$14:$G$203=$E$13,ROW('Cad3'!$G$14:$G$203)-ROW('Cad3'!$G$14)+1,FALSE),ROWS('Cad3'!$1:5))))</f>
        <v/>
      </c>
      <c r="F19" s="50" t="str">
        <f t="shared" si="0"/>
        <v/>
      </c>
      <c r="G19" s="128">
        <f>'Cad1'!E12</f>
        <v>17</v>
      </c>
      <c r="H19" s="93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</row>
    <row r="20" spans="1:24" ht="15.75" x14ac:dyDescent="0.25">
      <c r="A20" s="41"/>
      <c r="B20" s="41"/>
      <c r="C20" s="30"/>
      <c r="D20" s="142" t="str">
        <f t="array" ref="D20">IF(ROWS('Cad3'!$1:6)&gt;COUNTIF('Cad3'!$G$14:$G$203,$E$13),"",INDEX('Cad3'!$K$14:$K$203,SMALL(IF('Cad3'!$G$14:$G$203=$E$13,ROW('Cad3'!$G$14:$G$203)-ROW('Cad3'!$G$14)+1,FALSE),ROWS('Cad3'!$1:6))))</f>
        <v/>
      </c>
      <c r="E20" s="38" t="str">
        <f t="array" ref="E20">IF(ROWS('Cad3'!$1:6)&gt;COUNTIF('Cad3'!$G$14:$G$203,$E$13),"",INDEX('Cad3'!$F$14:$F$203,SMALL(IF('Cad3'!$G$14:$G$203=$E$13,ROW('Cad3'!$G$14:$G$203)-ROW('Cad3'!$G$14)+1,FALSE),ROWS('Cad3'!$1:6))))</f>
        <v/>
      </c>
      <c r="F20" s="143" t="str">
        <f t="shared" si="0"/>
        <v/>
      </c>
      <c r="G20" s="128">
        <f>D15/G19</f>
        <v>4117.6470588235297</v>
      </c>
      <c r="H20" s="94" t="s">
        <v>84</v>
      </c>
      <c r="I20" s="95">
        <f>IF(F27="S/NF",(I15+I16+I17),(I15+I16+I17)-I18)</f>
        <v>21.231249999999999</v>
      </c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</row>
    <row r="21" spans="1:24" x14ac:dyDescent="0.25">
      <c r="A21" s="41"/>
      <c r="B21" s="41"/>
      <c r="C21" s="30"/>
      <c r="D21" s="142" t="str">
        <f t="array" ref="D21">IF(ROWS('Cad3'!$1:7)&gt;COUNTIF('Cad3'!$G$14:$G$203,$E$13),"",INDEX('Cad3'!$K$14:$K$203,SMALL(IF('Cad3'!$G$14:$G$203=$E$13,ROW('Cad3'!$G$14:$G$203)-ROW('Cad3'!$G$14)+1,FALSE),ROWS('Cad3'!$1:7))))</f>
        <v/>
      </c>
      <c r="E21" s="83" t="str">
        <f t="array" ref="E21">IF(ROWS('Cad3'!$1:7)&gt;COUNTIF('Cad3'!$G$14:$G$203,$E$13),"",INDEX('Cad3'!$F$14:$F$203,SMALL(IF('Cad3'!$G$14:$G$203=$E$13,ROW('Cad3'!$G$14:$G$203)-ROW('Cad3'!$G$14)+1,FALSE),ROWS('Cad3'!$1:7))))</f>
        <v/>
      </c>
      <c r="F21" s="145" t="str">
        <f t="shared" si="0"/>
        <v/>
      </c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</row>
    <row r="22" spans="1:24" x14ac:dyDescent="0.25">
      <c r="A22" s="41"/>
      <c r="B22" s="41"/>
      <c r="C22" s="30"/>
      <c r="D22" s="34"/>
      <c r="E22" s="38" t="s">
        <v>38</v>
      </c>
      <c r="F22" s="98">
        <f>SUM(F15:F21)</f>
        <v>63.92</v>
      </c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</row>
    <row r="23" spans="1:24" x14ac:dyDescent="0.25">
      <c r="A23" s="41"/>
      <c r="B23" s="41"/>
      <c r="C23" s="30"/>
      <c r="D23" s="34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</row>
    <row r="24" spans="1:24" x14ac:dyDescent="0.25">
      <c r="A24" s="41"/>
      <c r="B24" s="41"/>
      <c r="C24" s="30"/>
      <c r="D24" s="34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</row>
    <row r="25" spans="1:24" ht="21.75" thickBot="1" x14ac:dyDescent="0.4">
      <c r="A25" s="41"/>
      <c r="B25" s="41"/>
      <c r="C25" s="30"/>
      <c r="D25" s="30"/>
      <c r="E25" s="146" t="s">
        <v>14</v>
      </c>
      <c r="F25" s="137"/>
      <c r="G25" s="137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</row>
    <row r="26" spans="1:24" ht="16.5" x14ac:dyDescent="0.25">
      <c r="A26" s="41"/>
      <c r="B26" s="60"/>
      <c r="C26" s="30"/>
      <c r="D26" s="30"/>
      <c r="E26" s="30" t="s">
        <v>4</v>
      </c>
      <c r="F26" s="147">
        <f>I20</f>
        <v>21.231249999999999</v>
      </c>
      <c r="G26" s="134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</row>
    <row r="27" spans="1:24" ht="16.5" x14ac:dyDescent="0.25">
      <c r="A27" s="41"/>
      <c r="B27" s="60"/>
      <c r="C27" s="30"/>
      <c r="D27" s="30"/>
      <c r="E27" s="56" t="s">
        <v>124</v>
      </c>
      <c r="F27" s="130" t="s">
        <v>117</v>
      </c>
      <c r="G27" s="163" t="s">
        <v>217</v>
      </c>
      <c r="H27" s="161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</row>
    <row r="28" spans="1:24" ht="16.5" x14ac:dyDescent="0.25">
      <c r="A28" s="41"/>
      <c r="B28" s="60"/>
      <c r="C28" s="30"/>
      <c r="D28" s="30"/>
      <c r="E28" s="56" t="s">
        <v>112</v>
      </c>
      <c r="F28" s="130" t="s">
        <v>121</v>
      </c>
      <c r="G28" s="34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</row>
    <row r="29" spans="1:24" ht="16.5" x14ac:dyDescent="0.25">
      <c r="A29" s="41"/>
      <c r="B29" s="141"/>
      <c r="C29" s="30"/>
      <c r="D29" s="30"/>
      <c r="E29" s="30" t="s">
        <v>5</v>
      </c>
      <c r="F29" s="158">
        <v>0.126</v>
      </c>
      <c r="G29" s="34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</row>
    <row r="30" spans="1:24" ht="19.5" x14ac:dyDescent="0.25">
      <c r="A30" s="41"/>
      <c r="B30" s="148"/>
      <c r="C30" s="30"/>
      <c r="D30" s="30"/>
      <c r="E30" s="30" t="s">
        <v>41</v>
      </c>
      <c r="F30" s="159"/>
      <c r="G30" s="34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</row>
    <row r="31" spans="1:24" x14ac:dyDescent="0.25">
      <c r="A31" s="41"/>
      <c r="B31" s="62"/>
      <c r="C31" s="30"/>
      <c r="D31" s="30"/>
      <c r="E31" s="30" t="s">
        <v>17</v>
      </c>
      <c r="F31" s="158">
        <v>0.05</v>
      </c>
      <c r="G31" s="34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</row>
    <row r="32" spans="1:24" x14ac:dyDescent="0.25">
      <c r="A32" s="41"/>
      <c r="B32" s="41"/>
      <c r="C32" s="30"/>
      <c r="D32" s="30"/>
      <c r="E32" s="30" t="s">
        <v>18</v>
      </c>
      <c r="F32" s="158">
        <v>0.1</v>
      </c>
      <c r="G32" s="34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</row>
    <row r="33" spans="1:24" x14ac:dyDescent="0.25">
      <c r="A33" s="41"/>
      <c r="B33" s="41"/>
      <c r="C33" s="30"/>
      <c r="D33" s="30"/>
      <c r="E33" s="30" t="s">
        <v>6</v>
      </c>
      <c r="F33" s="149">
        <v>0.12</v>
      </c>
      <c r="G33" s="201">
        <v>0.12</v>
      </c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</row>
    <row r="34" spans="1:24" x14ac:dyDescent="0.25">
      <c r="A34" s="41"/>
      <c r="B34" s="41"/>
      <c r="C34" s="30"/>
      <c r="D34" s="30"/>
      <c r="E34" s="30" t="s">
        <v>22</v>
      </c>
      <c r="F34" s="149">
        <f>IF(G27="Fora",G34,IF(F27="RMC",0,IF(F27="S/NF",0,VLOOKUP(F10,'Cad1'!F14:N81,6,0))))</f>
        <v>6.4999999999999997E-3</v>
      </c>
      <c r="G34" s="201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</row>
    <row r="35" spans="1:24" x14ac:dyDescent="0.25">
      <c r="A35" s="41"/>
      <c r="B35" s="41"/>
      <c r="C35" s="30"/>
      <c r="D35" s="30"/>
      <c r="E35" s="30" t="s">
        <v>23</v>
      </c>
      <c r="F35" s="149">
        <f>IF(G27="Fora",G35,IF(F27="RMC",0,IF(F27="S/NF",0,VLOOKUP(F10,'Cad1'!F14:N81,7,0))))</f>
        <v>0.03</v>
      </c>
      <c r="G35" s="201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</row>
    <row r="36" spans="1:24" x14ac:dyDescent="0.25">
      <c r="A36" s="41"/>
      <c r="B36" s="41"/>
      <c r="C36" s="30"/>
      <c r="D36" s="30"/>
      <c r="E36" s="30" t="s">
        <v>24</v>
      </c>
      <c r="F36" s="149">
        <f>IF(G27="Fora",G36,IF(F27="RMC",0,IF(F27="S/NF",0,VLOOKUP(F10,'Cad1'!F14:N81,8,0))))</f>
        <v>1.2E-2</v>
      </c>
      <c r="G36" s="201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</row>
    <row r="37" spans="1:24" x14ac:dyDescent="0.25">
      <c r="A37" s="41"/>
      <c r="B37" s="41"/>
      <c r="C37" s="30"/>
      <c r="D37" s="30"/>
      <c r="E37" s="30" t="s">
        <v>25</v>
      </c>
      <c r="F37" s="149">
        <f>IF(G27="Fora",G37,IF(F27="RMC",0,IF(F27="S/NF",0,VLOOKUP(F10,'Cad1'!F14:N81,9,0))))</f>
        <v>1.0800000000000001E-2</v>
      </c>
      <c r="G37" s="201"/>
      <c r="H37" s="30"/>
      <c r="I37" s="30"/>
      <c r="J37" s="273">
        <f>F46</f>
        <v>39</v>
      </c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</row>
    <row r="38" spans="1:24" x14ac:dyDescent="0.25">
      <c r="A38" s="41"/>
      <c r="B38" s="41"/>
      <c r="C38" s="30"/>
      <c r="D38" s="30"/>
      <c r="E38" s="30" t="s">
        <v>15</v>
      </c>
      <c r="F38" s="110">
        <f>ROUND(F26/(1-(F29+F33+F31+F32+F34+F35+F36+F37)),1)</f>
        <v>39</v>
      </c>
      <c r="G38" s="34"/>
      <c r="H38" s="30"/>
      <c r="I38" s="30"/>
      <c r="J38" s="273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</row>
    <row r="39" spans="1:24" ht="15.75" thickBot="1" x14ac:dyDescent="0.3">
      <c r="A39" s="41"/>
      <c r="B39" s="41"/>
      <c r="C39" s="30"/>
      <c r="D39" s="30"/>
      <c r="E39" s="30" t="s">
        <v>26</v>
      </c>
      <c r="F39" s="150">
        <f>SUM(F33:F37)</f>
        <v>0.17930000000000001</v>
      </c>
      <c r="G39" s="34"/>
      <c r="H39" s="38"/>
      <c r="I39" s="64"/>
      <c r="J39" s="38"/>
      <c r="K39" s="38"/>
      <c r="L39" s="38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</row>
    <row r="40" spans="1:24" x14ac:dyDescent="0.25">
      <c r="A40" s="41"/>
      <c r="B40" s="41"/>
      <c r="C40" s="30"/>
      <c r="D40" s="30"/>
      <c r="E40" s="30" t="s">
        <v>47</v>
      </c>
      <c r="F40" s="147">
        <f>F38*F33</f>
        <v>4.68</v>
      </c>
      <c r="G40" s="34"/>
      <c r="H40" s="118">
        <f>(F47*100%)/F46</f>
        <v>-0.17930000000000001</v>
      </c>
      <c r="I40" s="38"/>
      <c r="J40" s="271" t="s">
        <v>4</v>
      </c>
      <c r="K40" s="268">
        <f>IF(H42&lt;0,H42*(-1),H42)</f>
        <v>0.54439102564102559</v>
      </c>
      <c r="L40" s="38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</row>
    <row r="41" spans="1:24" ht="17.25" thickBot="1" x14ac:dyDescent="0.3">
      <c r="A41" s="41"/>
      <c r="B41" s="41"/>
      <c r="C41" s="30"/>
      <c r="D41" s="30"/>
      <c r="E41" s="116" t="s">
        <v>42</v>
      </c>
      <c r="F41" s="151">
        <f>I18-F40</f>
        <v>-4.4112499999999999</v>
      </c>
      <c r="G41" s="152" t="str">
        <f>IF(F41&lt;0,"A PAGAR","CREDOR")</f>
        <v>A PAGAR</v>
      </c>
      <c r="H41" s="118"/>
      <c r="I41" s="38"/>
      <c r="J41" s="267"/>
      <c r="K41" s="272"/>
      <c r="L41" s="38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</row>
    <row r="42" spans="1:24" x14ac:dyDescent="0.25">
      <c r="A42" s="41"/>
      <c r="B42" s="41"/>
      <c r="C42" s="30"/>
      <c r="D42" s="30"/>
      <c r="E42" s="30"/>
      <c r="F42" s="30"/>
      <c r="G42" s="30"/>
      <c r="H42" s="153">
        <f>(F49*100%)/F46</f>
        <v>-0.54439102564102559</v>
      </c>
      <c r="I42" s="38"/>
      <c r="J42" s="266" t="s">
        <v>16</v>
      </c>
      <c r="K42" s="268">
        <f>IF(H40&lt;0,H40*(-1),H40)</f>
        <v>0.17930000000000001</v>
      </c>
      <c r="L42" s="38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</row>
    <row r="43" spans="1:24" ht="17.25" thickBot="1" x14ac:dyDescent="0.3">
      <c r="A43" s="41"/>
      <c r="B43" s="41"/>
      <c r="C43" s="30"/>
      <c r="D43" s="30"/>
      <c r="E43" s="119" t="s">
        <v>8</v>
      </c>
      <c r="F43" s="100"/>
      <c r="G43" s="154"/>
      <c r="H43" s="153"/>
      <c r="I43" s="38"/>
      <c r="J43" s="267"/>
      <c r="K43" s="269"/>
      <c r="L43" s="38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</row>
    <row r="44" spans="1:24" x14ac:dyDescent="0.25">
      <c r="A44" s="41"/>
      <c r="B44" s="41"/>
      <c r="C44" s="30"/>
      <c r="D44" s="34"/>
      <c r="E44" s="38"/>
      <c r="F44" s="53">
        <f>IF(F31="",F38+F30,F38)</f>
        <v>39</v>
      </c>
      <c r="G44" s="38"/>
      <c r="H44" s="118">
        <f>(F52*100%)/F46</f>
        <v>0.1</v>
      </c>
      <c r="I44" s="38"/>
      <c r="J44" s="266" t="s">
        <v>28</v>
      </c>
      <c r="K44" s="268">
        <f>IF(H44&lt;0,H44*(-1),H44)</f>
        <v>0.1</v>
      </c>
      <c r="L44" s="38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</row>
    <row r="45" spans="1:24" ht="17.25" thickBot="1" x14ac:dyDescent="0.3">
      <c r="A45" s="41"/>
      <c r="B45" s="60"/>
      <c r="C45" s="30"/>
      <c r="D45" s="34"/>
      <c r="E45" s="53" t="s">
        <v>0</v>
      </c>
      <c r="F45" s="53" t="s">
        <v>1</v>
      </c>
      <c r="G45" s="38"/>
      <c r="H45" s="118"/>
      <c r="I45" s="38"/>
      <c r="J45" s="270"/>
      <c r="K45" s="269"/>
      <c r="L45" s="38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</row>
    <row r="46" spans="1:24" ht="17.25" customHeight="1" x14ac:dyDescent="0.25">
      <c r="A46" s="41"/>
      <c r="B46" s="61"/>
      <c r="C46" s="30"/>
      <c r="D46" s="34"/>
      <c r="E46" s="56" t="s">
        <v>2</v>
      </c>
      <c r="F46" s="123">
        <f>ROUND(F44,1)</f>
        <v>39</v>
      </c>
      <c r="G46" s="38"/>
      <c r="H46" s="118">
        <f>(F51*100%)/F46</f>
        <v>0.05</v>
      </c>
      <c r="I46" s="38"/>
      <c r="J46" s="267" t="s">
        <v>27</v>
      </c>
      <c r="K46" s="268">
        <f>IF(H46&lt;0,H46*(-1),H46)</f>
        <v>0.05</v>
      </c>
      <c r="L46" s="38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</row>
    <row r="47" spans="1:24" ht="17.25" customHeight="1" thickBot="1" x14ac:dyDescent="0.3">
      <c r="A47" s="41"/>
      <c r="B47" s="61"/>
      <c r="C47" s="30"/>
      <c r="D47" s="34"/>
      <c r="E47" s="56" t="s">
        <v>10</v>
      </c>
      <c r="F47" s="123">
        <f>-F46*(F39)</f>
        <v>-6.992700000000001</v>
      </c>
      <c r="G47" s="38"/>
      <c r="H47" s="118"/>
      <c r="I47" s="38"/>
      <c r="J47" s="267"/>
      <c r="K47" s="269"/>
      <c r="L47" s="38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</row>
    <row r="48" spans="1:24" ht="17.25" customHeight="1" x14ac:dyDescent="0.25">
      <c r="A48" s="41"/>
      <c r="B48" s="62"/>
      <c r="C48" s="30"/>
      <c r="D48" s="34"/>
      <c r="E48" s="38" t="s">
        <v>9</v>
      </c>
      <c r="F48" s="182">
        <f>F46+F47</f>
        <v>32.007300000000001</v>
      </c>
      <c r="G48" s="38"/>
      <c r="H48" s="118">
        <f>(F53*100%)/F46</f>
        <v>0.1263089743589744</v>
      </c>
      <c r="I48" s="38"/>
      <c r="J48" s="266" t="s">
        <v>3</v>
      </c>
      <c r="K48" s="268">
        <f>IF(H48&lt;0,H48*(-1),H48)</f>
        <v>0.1263089743589744</v>
      </c>
      <c r="L48" s="38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</row>
    <row r="49" spans="1:24" ht="15.75" thickBot="1" x14ac:dyDescent="0.3">
      <c r="A49" s="41"/>
      <c r="B49" s="41"/>
      <c r="C49" s="30"/>
      <c r="D49" s="34"/>
      <c r="E49" s="38" t="s">
        <v>11</v>
      </c>
      <c r="F49" s="123">
        <f>-(F26)</f>
        <v>-21.231249999999999</v>
      </c>
      <c r="G49" s="38"/>
      <c r="H49" s="125"/>
      <c r="I49" s="38"/>
      <c r="J49" s="267"/>
      <c r="K49" s="269"/>
      <c r="L49" s="38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</row>
    <row r="50" spans="1:24" ht="24" x14ac:dyDescent="0.25">
      <c r="A50" s="41"/>
      <c r="B50" s="41"/>
      <c r="C50" s="30"/>
      <c r="D50" s="34"/>
      <c r="E50" s="56" t="s">
        <v>12</v>
      </c>
      <c r="F50" s="124">
        <f>F48+F49</f>
        <v>10.776050000000001</v>
      </c>
      <c r="G50" s="38"/>
      <c r="H50" s="106"/>
      <c r="I50" s="106"/>
      <c r="J50" s="126"/>
      <c r="K50" s="38"/>
      <c r="L50" s="38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</row>
    <row r="51" spans="1:24" x14ac:dyDescent="0.25">
      <c r="A51" s="41"/>
      <c r="B51" s="41"/>
      <c r="C51" s="30"/>
      <c r="D51" s="34"/>
      <c r="E51" s="38" t="s">
        <v>19</v>
      </c>
      <c r="F51" s="124">
        <f>IF(F31="",F30,F46*F31)</f>
        <v>1.9500000000000002</v>
      </c>
      <c r="G51" s="38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</row>
    <row r="52" spans="1:24" x14ac:dyDescent="0.25">
      <c r="A52" s="41"/>
      <c r="B52" s="252"/>
      <c r="C52" s="30"/>
      <c r="D52" s="34"/>
      <c r="E52" s="38" t="s">
        <v>20</v>
      </c>
      <c r="F52" s="124">
        <f>(F46*F32)</f>
        <v>3.9000000000000004</v>
      </c>
      <c r="G52" s="38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</row>
    <row r="53" spans="1:24" x14ac:dyDescent="0.25">
      <c r="A53" s="41"/>
      <c r="B53" s="252"/>
      <c r="C53" s="30"/>
      <c r="D53" s="34"/>
      <c r="E53" s="56" t="s">
        <v>21</v>
      </c>
      <c r="F53" s="124">
        <f>F50-F51-F52</f>
        <v>4.9260500000000018</v>
      </c>
      <c r="G53" s="38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</row>
    <row r="54" spans="1:24" x14ac:dyDescent="0.25">
      <c r="A54" s="41"/>
      <c r="B54" s="252"/>
      <c r="C54" s="30"/>
      <c r="D54" s="34"/>
      <c r="E54" s="38" t="s">
        <v>13</v>
      </c>
      <c r="F54" s="127">
        <f>IF(F31="",IF(F30=0,G54,G55),G54)</f>
        <v>0.1263089743589744</v>
      </c>
      <c r="G54" s="183">
        <f>IFERROR(F53/F46,"-")</f>
        <v>0.1263089743589744</v>
      </c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</row>
    <row r="55" spans="1:24" ht="24.75" thickBot="1" x14ac:dyDescent="0.3">
      <c r="A55" s="41"/>
      <c r="B55" s="252"/>
      <c r="C55" s="30"/>
      <c r="D55" s="34"/>
      <c r="E55" s="155"/>
      <c r="F55" s="156"/>
      <c r="G55" s="184">
        <f>IFERROR((F53/F48),"")</f>
        <v>0.15390395316068528</v>
      </c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</row>
    <row r="56" spans="1:24" x14ac:dyDescent="0.25">
      <c r="A56" s="41"/>
      <c r="B56" s="41"/>
      <c r="C56" s="190"/>
      <c r="D56" s="190" t="s">
        <v>106</v>
      </c>
      <c r="E56" s="190" t="s">
        <v>105</v>
      </c>
      <c r="F56" s="190" t="s">
        <v>104</v>
      </c>
      <c r="G56" s="190" t="s">
        <v>107</v>
      </c>
      <c r="H56" s="190" t="s">
        <v>108</v>
      </c>
      <c r="I56" s="190" t="s">
        <v>109</v>
      </c>
      <c r="J56" s="190" t="s">
        <v>110</v>
      </c>
      <c r="K56" s="190" t="s">
        <v>111</v>
      </c>
      <c r="L56" s="190" t="s">
        <v>114</v>
      </c>
      <c r="M56" s="190" t="s">
        <v>123</v>
      </c>
      <c r="N56" s="190" t="s">
        <v>125</v>
      </c>
      <c r="O56" s="190" t="s">
        <v>126</v>
      </c>
      <c r="P56" s="190" t="s">
        <v>140</v>
      </c>
      <c r="Q56" s="190"/>
      <c r="R56" s="190"/>
      <c r="S56" s="164"/>
      <c r="T56" s="164"/>
      <c r="U56" s="164"/>
      <c r="V56" s="30"/>
      <c r="W56" s="30"/>
      <c r="X56" s="30"/>
    </row>
    <row r="57" spans="1:24" x14ac:dyDescent="0.25">
      <c r="A57" s="41"/>
      <c r="B57" s="41"/>
      <c r="C57" s="190"/>
      <c r="D57" s="192">
        <f ca="1">F9</f>
        <v>46063</v>
      </c>
      <c r="E57" s="190" t="str">
        <f>F10</f>
        <v>Pão de queijo Recheado</v>
      </c>
      <c r="F57" s="196">
        <f>F26</f>
        <v>21.231249999999999</v>
      </c>
      <c r="G57" s="193">
        <f>J37</f>
        <v>39</v>
      </c>
      <c r="H57" s="194">
        <f>F54</f>
        <v>0.1263089743589744</v>
      </c>
      <c r="I57" s="196">
        <f>F52</f>
        <v>3.9000000000000004</v>
      </c>
      <c r="J57" s="196">
        <f>I18</f>
        <v>0.26874999999999999</v>
      </c>
      <c r="K57" s="196">
        <f>F46*F33</f>
        <v>4.68</v>
      </c>
      <c r="L57" s="190" t="str">
        <f>F28</f>
        <v>MÉDIO</v>
      </c>
      <c r="M57" s="190" t="str">
        <f>F27</f>
        <v>ROMICA</v>
      </c>
      <c r="N57" s="196">
        <f>F51</f>
        <v>1.9500000000000002</v>
      </c>
      <c r="O57" s="196">
        <f>F46*F39</f>
        <v>6.992700000000001</v>
      </c>
      <c r="P57" s="198">
        <f>F38</f>
        <v>39</v>
      </c>
      <c r="Q57" s="190"/>
      <c r="R57" s="190"/>
      <c r="S57" s="164"/>
      <c r="T57" s="164"/>
      <c r="U57" s="164"/>
      <c r="V57" s="30"/>
      <c r="W57" s="30"/>
      <c r="X57" s="30"/>
    </row>
    <row r="58" spans="1:24" x14ac:dyDescent="0.25">
      <c r="A58" s="41"/>
      <c r="B58" s="41"/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30"/>
      <c r="W58" s="30"/>
      <c r="X58" s="30"/>
    </row>
    <row r="59" spans="1:24" x14ac:dyDescent="0.25">
      <c r="A59" s="41"/>
      <c r="B59" s="41"/>
      <c r="C59" s="30"/>
      <c r="D59" s="157"/>
      <c r="E59" s="30"/>
      <c r="F59" s="147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</row>
    <row r="60" spans="1:24" x14ac:dyDescent="0.25">
      <c r="A60" s="41"/>
      <c r="B60" s="41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</row>
    <row r="61" spans="1:24" x14ac:dyDescent="0.25">
      <c r="A61" s="41"/>
      <c r="B61" s="41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</row>
    <row r="62" spans="1:24" x14ac:dyDescent="0.25">
      <c r="A62" s="41"/>
      <c r="B62" s="41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</row>
    <row r="63" spans="1:24" x14ac:dyDescent="0.25">
      <c r="A63" s="41"/>
      <c r="B63" s="41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</row>
    <row r="64" spans="1:24" x14ac:dyDescent="0.25">
      <c r="A64" s="41"/>
      <c r="B64" s="41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</row>
    <row r="65" spans="1:24" x14ac:dyDescent="0.25">
      <c r="A65" s="41"/>
      <c r="B65" s="41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</row>
    <row r="66" spans="1:24" x14ac:dyDescent="0.25">
      <c r="A66" s="41"/>
      <c r="B66" s="41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</row>
    <row r="67" spans="1:24" x14ac:dyDescent="0.25">
      <c r="A67" s="99"/>
      <c r="B67" s="41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</row>
    <row r="68" spans="1:24" x14ac:dyDescent="0.25">
      <c r="A68" s="99"/>
      <c r="B68" s="41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</row>
    <row r="69" spans="1:24" x14ac:dyDescent="0.25">
      <c r="A69" s="99"/>
      <c r="B69" s="41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</row>
    <row r="70" spans="1:24" x14ac:dyDescent="0.25">
      <c r="A70" s="99"/>
      <c r="B70" s="41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</row>
    <row r="71" spans="1:24" x14ac:dyDescent="0.25">
      <c r="A71" s="99"/>
      <c r="B71" s="41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</row>
    <row r="72" spans="1:24" x14ac:dyDescent="0.25">
      <c r="A72" s="99"/>
      <c r="B72" s="41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</row>
    <row r="73" spans="1:24" x14ac:dyDescent="0.25">
      <c r="A73" s="99"/>
      <c r="B73" s="41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</row>
    <row r="74" spans="1:24" x14ac:dyDescent="0.25">
      <c r="A74" s="99"/>
      <c r="B74" s="41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</row>
    <row r="75" spans="1:24" x14ac:dyDescent="0.25">
      <c r="A75" s="99"/>
      <c r="B75" s="41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</row>
    <row r="76" spans="1:24" x14ac:dyDescent="0.25">
      <c r="A76" s="99"/>
      <c r="B76" s="41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</row>
    <row r="77" spans="1:24" x14ac:dyDescent="0.25">
      <c r="A77" s="99"/>
      <c r="B77" s="41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</row>
    <row r="78" spans="1:24" x14ac:dyDescent="0.25">
      <c r="A78" s="99"/>
      <c r="B78" s="41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</row>
    <row r="79" spans="1:24" x14ac:dyDescent="0.25">
      <c r="B79" s="2"/>
    </row>
    <row r="80" spans="1:24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ht="24" x14ac:dyDescent="0.25">
      <c r="B91" s="10"/>
    </row>
    <row r="92" spans="2:2" ht="24" x14ac:dyDescent="0.25">
      <c r="B92" s="10"/>
    </row>
    <row r="93" spans="2:2" ht="24" x14ac:dyDescent="0.25">
      <c r="B93" s="10"/>
    </row>
    <row r="94" spans="2:2" x14ac:dyDescent="0.25">
      <c r="B94" s="2"/>
    </row>
  </sheetData>
  <mergeCells count="12">
    <mergeCell ref="J37:J38"/>
    <mergeCell ref="B52:B55"/>
    <mergeCell ref="J40:J41"/>
    <mergeCell ref="K40:K41"/>
    <mergeCell ref="J42:J43"/>
    <mergeCell ref="K42:K43"/>
    <mergeCell ref="J44:J45"/>
    <mergeCell ref="K44:K45"/>
    <mergeCell ref="J46:J47"/>
    <mergeCell ref="K46:K47"/>
    <mergeCell ref="J48:J49"/>
    <mergeCell ref="K48:K49"/>
  </mergeCells>
  <dataValidations count="3">
    <dataValidation type="list" allowBlank="1" showInputMessage="1" showErrorMessage="1" sqref="F27" xr:uid="{00000000-0002-0000-0600-000000000000}">
      <formula1>"S/NF,ROMICA,RMC"</formula1>
    </dataValidation>
    <dataValidation type="list" allowBlank="1" showInputMessage="1" showErrorMessage="1" sqref="F28" xr:uid="{00000000-0002-0000-0600-000001000000}">
      <formula1>"VOLUME,MÍNIMO,MÉDIO,MÁXIMO"</formula1>
    </dataValidation>
    <dataValidation type="list" allowBlank="1" showInputMessage="1" showErrorMessage="1" sqref="G27" xr:uid="{00000000-0002-0000-0600-000002000000}">
      <formula1>"Dentro,Fora"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'Cad1'!$R$14:$R$81</xm:f>
          </x14:formula1>
          <xm:sqref>F10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6"/>
  <dimension ref="A1:K92"/>
  <sheetViews>
    <sheetView showGridLines="0" showRowColHeaders="0" topLeftCell="A4" zoomScale="85" zoomScaleNormal="85" workbookViewId="0"/>
  </sheetViews>
  <sheetFormatPr defaultRowHeight="15" x14ac:dyDescent="0.25"/>
  <cols>
    <col min="1" max="2" width="20.7109375" style="9" customWidth="1"/>
    <col min="5" max="5" width="25.5703125" customWidth="1"/>
    <col min="6" max="6" width="14.28515625" customWidth="1"/>
    <col min="7" max="7" width="11" customWidth="1"/>
    <col min="8" max="8" width="13.42578125" bestFit="1" customWidth="1"/>
    <col min="10" max="10" width="15.140625" bestFit="1" customWidth="1"/>
    <col min="14" max="14" width="15.140625" bestFit="1" customWidth="1"/>
  </cols>
  <sheetData>
    <row r="1" spans="1:11" ht="21" x14ac:dyDescent="0.25">
      <c r="A1" s="1"/>
      <c r="B1" s="1"/>
    </row>
    <row r="2" spans="1:11" ht="21" x14ac:dyDescent="0.25">
      <c r="A2" s="1"/>
      <c r="B2" s="1"/>
    </row>
    <row r="3" spans="1:11" ht="21" x14ac:dyDescent="0.25">
      <c r="A3" s="1"/>
      <c r="B3" s="1"/>
    </row>
    <row r="4" spans="1:11" ht="21" x14ac:dyDescent="0.25">
      <c r="A4" s="1"/>
      <c r="B4" s="1"/>
    </row>
    <row r="5" spans="1:11" ht="21" x14ac:dyDescent="0.25">
      <c r="A5" s="1"/>
      <c r="B5" s="1"/>
    </row>
    <row r="6" spans="1:11" ht="21" x14ac:dyDescent="0.25">
      <c r="A6" s="1"/>
      <c r="B6" s="1"/>
    </row>
    <row r="7" spans="1:11" ht="21" x14ac:dyDescent="0.25">
      <c r="A7" s="3"/>
      <c r="B7" s="3"/>
    </row>
    <row r="8" spans="1:11" ht="21" x14ac:dyDescent="0.25">
      <c r="A8" s="3"/>
      <c r="B8" s="3"/>
      <c r="E8" s="32" t="s">
        <v>160</v>
      </c>
    </row>
    <row r="9" spans="1:11" ht="21" x14ac:dyDescent="0.25">
      <c r="A9" s="3"/>
      <c r="B9" s="3"/>
    </row>
    <row r="10" spans="1:11" ht="21" x14ac:dyDescent="0.25">
      <c r="A10" s="3"/>
      <c r="B10" s="3"/>
      <c r="E10" s="33" t="s">
        <v>143</v>
      </c>
      <c r="F10" s="215">
        <f ca="1">TODAY()</f>
        <v>46063</v>
      </c>
    </row>
    <row r="11" spans="1:11" ht="21.75" thickBot="1" x14ac:dyDescent="0.3">
      <c r="A11" s="3"/>
      <c r="B11" s="3"/>
      <c r="C11" s="164"/>
      <c r="D11" s="164"/>
      <c r="E11" s="33" t="s">
        <v>161</v>
      </c>
      <c r="F11" s="207">
        <v>6.8</v>
      </c>
      <c r="G11" s="30"/>
      <c r="H11" s="30"/>
      <c r="I11" s="30"/>
      <c r="J11" s="30"/>
      <c r="K11" s="30"/>
    </row>
    <row r="12" spans="1:11" ht="21" x14ac:dyDescent="0.25">
      <c r="A12" s="3"/>
      <c r="B12" s="3"/>
      <c r="C12" s="164"/>
      <c r="D12" s="164"/>
      <c r="E12" s="33" t="s">
        <v>169</v>
      </c>
      <c r="F12" s="229">
        <v>10000</v>
      </c>
      <c r="G12" s="133"/>
      <c r="H12" s="39"/>
      <c r="I12" s="39"/>
      <c r="J12" s="39"/>
      <c r="K12" s="134"/>
    </row>
    <row r="13" spans="1:11" ht="21.75" thickBot="1" x14ac:dyDescent="0.3">
      <c r="A13" s="3"/>
      <c r="B13" s="3"/>
      <c r="C13" s="164"/>
      <c r="D13" s="208"/>
      <c r="E13" s="135" t="s">
        <v>162</v>
      </c>
      <c r="F13" s="136"/>
      <c r="G13" s="64"/>
      <c r="H13" s="137"/>
      <c r="I13" s="137"/>
      <c r="J13" s="137"/>
      <c r="K13" s="138"/>
    </row>
    <row r="14" spans="1:11" ht="21" x14ac:dyDescent="0.25">
      <c r="A14" s="3"/>
      <c r="B14" s="3"/>
      <c r="C14" s="209"/>
      <c r="D14" s="212"/>
      <c r="E14" s="214" t="s">
        <v>49</v>
      </c>
      <c r="F14" s="162" t="s">
        <v>163</v>
      </c>
      <c r="G14" s="216" t="s">
        <v>158</v>
      </c>
      <c r="H14" s="219" t="s">
        <v>164</v>
      </c>
      <c r="I14" s="162" t="s">
        <v>165</v>
      </c>
      <c r="J14" s="30"/>
      <c r="K14" s="30"/>
    </row>
    <row r="15" spans="1:11" ht="16.5" x14ac:dyDescent="0.25">
      <c r="A15" s="2"/>
      <c r="B15" s="4"/>
      <c r="C15" s="164"/>
      <c r="D15" s="210" t="str">
        <f>'Cad4'!F14</f>
        <v>Fiorino Refrigerada</v>
      </c>
      <c r="E15" s="30" t="str">
        <f>IF(D15=0,"",D15)</f>
        <v>Fiorino Refrigerada</v>
      </c>
      <c r="F15" s="217">
        <f>IFERROR($F$11/'Cad4'!H14,"")</f>
        <v>0.85</v>
      </c>
      <c r="G15" s="218">
        <f>IFERROR(('Cad4'!J14/'Cad4'!I14)+(('Cad4'!K14/12)/'Cad4'!I14),"")</f>
        <v>4.1930361912229541E-2</v>
      </c>
      <c r="H15" s="218">
        <f>IFERROR('Cad4'!L14/('Cad4'!I14*12),"")</f>
        <v>0.24503197667295581</v>
      </c>
      <c r="I15" s="225">
        <f>IF(H15="","",SUM(F15:H15))</f>
        <v>1.1369623385851853</v>
      </c>
    </row>
    <row r="16" spans="1:11" x14ac:dyDescent="0.25">
      <c r="A16" s="2"/>
      <c r="B16" s="2"/>
      <c r="C16" s="209"/>
      <c r="D16" s="210" t="str">
        <f>'Cad4'!F15</f>
        <v>Fiorino Samurai</v>
      </c>
      <c r="E16" t="str">
        <f>IF(D16=0,"",D16)</f>
        <v>Fiorino Samurai</v>
      </c>
      <c r="F16" s="217">
        <f>IFERROR($F$11/'Cad4'!H15,"")</f>
        <v>0.85</v>
      </c>
      <c r="G16" s="218">
        <f>IFERROR(('Cad4'!J15/'Cad4'!I15)+(('Cad4'!K15/12)/'Cad4'!I15),"")</f>
        <v>4.5940774303167606E-2</v>
      </c>
      <c r="H16" s="218">
        <f>IFERROR('Cad4'!L15/('Cad4'!I15*12),"")</f>
        <v>0.20227355475545128</v>
      </c>
      <c r="I16" s="225">
        <f t="shared" ref="I16:I21" si="0">IF(H16="","",SUM(F16:H16))</f>
        <v>1.0982143290586188</v>
      </c>
    </row>
    <row r="17" spans="1:11" x14ac:dyDescent="0.25">
      <c r="A17" s="2"/>
      <c r="B17" s="2"/>
      <c r="C17" s="209"/>
      <c r="D17" s="211" t="str">
        <f>'Cad4'!F16</f>
        <v>Fiorino velha</v>
      </c>
      <c r="E17" t="str">
        <f>IF(D17=0,"",D17)</f>
        <v>Fiorino velha</v>
      </c>
      <c r="F17" s="217">
        <f>IFERROR($F$11/'Cad4'!H16,"")</f>
        <v>0.85</v>
      </c>
      <c r="G17" s="218">
        <f>IFERROR(('Cad4'!J16/'Cad4'!I16)+(('Cad4'!K16/12)/'Cad4'!I16),"")</f>
        <v>4.1625799402255997E-2</v>
      </c>
      <c r="H17" s="218">
        <f>IFERROR('Cad4'!L16/('Cad4'!I16*12),"")</f>
        <v>0.32136774110614774</v>
      </c>
      <c r="I17" s="225">
        <f>IF(H17="","",SUM(F17:H17))</f>
        <v>1.2129935405084038</v>
      </c>
    </row>
    <row r="18" spans="1:11" x14ac:dyDescent="0.25">
      <c r="A18" s="2"/>
      <c r="B18" s="2"/>
      <c r="C18" s="209"/>
      <c r="D18" s="211" t="str">
        <f>'Cad4'!F17</f>
        <v>Master</v>
      </c>
      <c r="E18" t="str">
        <f>IF(D18=0,"",D18)</f>
        <v>Master</v>
      </c>
      <c r="F18" s="217">
        <f>IFERROR($F$11/'Cad4'!H17,"")</f>
        <v>0.85</v>
      </c>
      <c r="G18" s="218">
        <f>IFERROR(('Cad4'!J17/'Cad4'!I17)+(('Cad4'!K17/12)/'Cad4'!I17),"")</f>
        <v>7.4564197419471262E-2</v>
      </c>
      <c r="H18" s="218">
        <f>IFERROR('Cad4'!L17/('Cad4'!I17*12),"")</f>
        <v>0.22557069385545431</v>
      </c>
      <c r="I18" s="225">
        <f t="shared" si="0"/>
        <v>1.1501348912749256</v>
      </c>
    </row>
    <row r="19" spans="1:11" x14ac:dyDescent="0.25">
      <c r="A19" s="2"/>
      <c r="B19" s="2"/>
      <c r="C19" s="209"/>
      <c r="D19" s="211">
        <f>'Cad4'!F18</f>
        <v>0</v>
      </c>
      <c r="E19" t="str">
        <f t="shared" ref="E19:E20" si="1">IF(D19=0,"",D19)</f>
        <v/>
      </c>
      <c r="F19" s="213" t="str">
        <f>IFERROR($F$11/'Cad4'!H18,"")</f>
        <v/>
      </c>
      <c r="G19" s="218" t="str">
        <f>IFERROR(('Cad4'!J18/'Cad4'!I18)+(('Cad4'!K18/12)/'Cad4'!I18),"")</f>
        <v/>
      </c>
      <c r="H19" s="218" t="str">
        <f>IFERROR('Cad4'!L18/('Cad4'!I18*12),"")</f>
        <v/>
      </c>
      <c r="I19" s="225" t="str">
        <f t="shared" si="0"/>
        <v/>
      </c>
    </row>
    <row r="20" spans="1:11" x14ac:dyDescent="0.25">
      <c r="A20" s="2"/>
      <c r="B20" s="2"/>
      <c r="C20" s="209"/>
      <c r="D20" s="211">
        <f>'Cad4'!F19</f>
        <v>0</v>
      </c>
      <c r="E20" t="str">
        <f t="shared" si="1"/>
        <v/>
      </c>
      <c r="F20" s="213" t="str">
        <f>IFERROR($F$11/'Cad4'!H19,"")</f>
        <v/>
      </c>
      <c r="G20" s="218" t="str">
        <f>IFERROR(('Cad4'!J19/'Cad4'!I19)+(('Cad4'!K19/12)/'Cad4'!I19),"")</f>
        <v/>
      </c>
      <c r="H20" s="218" t="str">
        <f>IFERROR('Cad4'!L19/('Cad4'!I19*12),"")</f>
        <v/>
      </c>
      <c r="I20" s="225" t="str">
        <f t="shared" si="0"/>
        <v/>
      </c>
    </row>
    <row r="21" spans="1:11" ht="16.5" x14ac:dyDescent="0.25">
      <c r="A21" s="2"/>
      <c r="B21" s="2"/>
      <c r="C21" s="209"/>
      <c r="D21" s="224">
        <f>'Cad4'!F20</f>
        <v>0</v>
      </c>
      <c r="E21" s="220" t="str">
        <f>IF(D21=0,"",D21)</f>
        <v/>
      </c>
      <c r="F21" s="220" t="str">
        <f>IFERROR($F$11/'Cad4'!H20,"")</f>
        <v/>
      </c>
      <c r="G21" s="218" t="str">
        <f>IFERROR(('Cad4'!J20/'Cad4'!I20)+(('Cad4'!K20/12)/'Cad4'!I20),"")</f>
        <v/>
      </c>
      <c r="H21" s="218" t="str">
        <f>IFERROR('Cad4'!L20/('Cad4'!I20*12),"")</f>
        <v/>
      </c>
      <c r="I21" s="225" t="str">
        <f t="shared" si="0"/>
        <v/>
      </c>
      <c r="J21" s="220"/>
      <c r="K21" s="220"/>
    </row>
    <row r="22" spans="1:11" ht="24.75" customHeight="1" thickBot="1" x14ac:dyDescent="0.3">
      <c r="A22" s="2"/>
      <c r="B22" s="2"/>
      <c r="C22" s="164"/>
      <c r="D22" s="221"/>
      <c r="E22" s="135" t="s">
        <v>166</v>
      </c>
      <c r="F22" s="208"/>
      <c r="G22" s="222"/>
      <c r="H22" s="222"/>
      <c r="I22" s="222"/>
      <c r="J22" s="222"/>
      <c r="K22" s="222"/>
    </row>
    <row r="23" spans="1:11" x14ac:dyDescent="0.25">
      <c r="A23" s="2"/>
      <c r="B23" s="2"/>
      <c r="C23" s="164"/>
      <c r="D23" s="164"/>
      <c r="E23" s="214" t="s">
        <v>49</v>
      </c>
      <c r="F23" s="216" t="s">
        <v>167</v>
      </c>
      <c r="G23" s="216" t="s">
        <v>168</v>
      </c>
      <c r="H23" s="231" t="s">
        <v>170</v>
      </c>
      <c r="K23" s="228"/>
    </row>
    <row r="24" spans="1:11" x14ac:dyDescent="0.25">
      <c r="A24" s="2"/>
      <c r="B24" s="2"/>
      <c r="C24" s="164"/>
      <c r="D24" s="211" t="str">
        <f>'Cad4'!F14</f>
        <v>Fiorino Refrigerada</v>
      </c>
      <c r="E24" s="30" t="str">
        <f>IF(D24=0,"",D24)</f>
        <v>Fiorino Refrigerada</v>
      </c>
      <c r="F24" s="226">
        <f>IFERROR(('Cad4'!I14*I15)/22,"")</f>
        <v>175.75973484848484</v>
      </c>
      <c r="G24" s="213">
        <f>IFERROR(F24*22,"")</f>
        <v>3866.7141666666666</v>
      </c>
      <c r="H24" s="230">
        <f>IFERROR(G24/$F$12,"")</f>
        <v>0.38667141666666666</v>
      </c>
      <c r="K24" s="227"/>
    </row>
    <row r="25" spans="1:11" ht="16.5" x14ac:dyDescent="0.25">
      <c r="A25" s="2"/>
      <c r="B25" s="5"/>
      <c r="C25" s="164"/>
      <c r="D25" s="211" t="str">
        <f>'Cad4'!F15</f>
        <v>Fiorino Samurai</v>
      </c>
      <c r="E25" t="str">
        <f>IF(D25=0,"",D25)</f>
        <v>Fiorino Samurai</v>
      </c>
      <c r="F25" s="226">
        <f>IFERROR(('Cad4'!I15*I16)/22,"")</f>
        <v>205.6572727272727</v>
      </c>
      <c r="G25" s="213">
        <f t="shared" ref="G25:G30" si="2">IFERROR(F25*22,"")</f>
        <v>4524.4599999999991</v>
      </c>
      <c r="H25" s="230">
        <f>IFERROR(G25/$F$12,"")</f>
        <v>0.4524459999999999</v>
      </c>
      <c r="K25" s="227"/>
    </row>
    <row r="26" spans="1:11" ht="16.5" x14ac:dyDescent="0.25">
      <c r="A26" s="2"/>
      <c r="B26" s="5"/>
      <c r="C26" s="164"/>
      <c r="D26" s="211" t="str">
        <f>'Cad4'!F16</f>
        <v>Fiorino velha</v>
      </c>
      <c r="E26" t="str">
        <f>IF(D26=0,"",D26)</f>
        <v>Fiorino velha</v>
      </c>
      <c r="F26" s="226">
        <f>IFERROR(('Cad4'!I16*I17)/22,"")</f>
        <v>142.97242424242424</v>
      </c>
      <c r="G26" s="213">
        <f t="shared" si="2"/>
        <v>3145.3933333333334</v>
      </c>
      <c r="H26" s="230">
        <f t="shared" ref="H26:H30" si="3">IFERROR(G26/$F$12,"")</f>
        <v>0.31453933333333334</v>
      </c>
      <c r="K26" s="227"/>
    </row>
    <row r="27" spans="1:11" ht="16.5" x14ac:dyDescent="0.25">
      <c r="A27" s="2"/>
      <c r="B27" s="4"/>
      <c r="C27" s="164"/>
      <c r="D27" s="211" t="str">
        <f>'Cad4'!F17</f>
        <v>Master</v>
      </c>
      <c r="E27" t="str">
        <f>IF(D27=0,"",D27)</f>
        <v>Master</v>
      </c>
      <c r="F27" s="226">
        <f>IFERROR(('Cad4'!I17*I18)/22,"")</f>
        <v>193.13553030303035</v>
      </c>
      <c r="G27" s="213">
        <f t="shared" si="2"/>
        <v>4248.9816666666675</v>
      </c>
      <c r="H27" s="230">
        <f t="shared" si="3"/>
        <v>0.42489816666666674</v>
      </c>
      <c r="K27" s="227"/>
    </row>
    <row r="28" spans="1:11" ht="19.5" x14ac:dyDescent="0.25">
      <c r="A28" s="2"/>
      <c r="B28" s="6"/>
      <c r="C28" s="164"/>
      <c r="D28" s="211">
        <f>'Cad4'!F18</f>
        <v>0</v>
      </c>
      <c r="E28" t="str">
        <f t="shared" ref="E28:E29" si="4">IF(D28=0,"",D28)</f>
        <v/>
      </c>
      <c r="F28" s="226" t="str">
        <f>IFERROR(('Cad4'!I18*I19)/22,"")</f>
        <v/>
      </c>
      <c r="G28" s="213" t="str">
        <f t="shared" si="2"/>
        <v/>
      </c>
      <c r="H28" s="230" t="str">
        <f t="shared" si="3"/>
        <v/>
      </c>
      <c r="K28" s="227"/>
    </row>
    <row r="29" spans="1:11" x14ac:dyDescent="0.25">
      <c r="A29" s="2"/>
      <c r="B29" s="7"/>
      <c r="C29" s="164"/>
      <c r="D29" s="211">
        <f>'Cad4'!F19</f>
        <v>0</v>
      </c>
      <c r="E29" t="str">
        <f t="shared" si="4"/>
        <v/>
      </c>
      <c r="F29" s="226" t="str">
        <f>IFERROR(('Cad4'!I19*I20)/22,"")</f>
        <v/>
      </c>
      <c r="G29" s="213" t="str">
        <f t="shared" si="2"/>
        <v/>
      </c>
      <c r="H29" s="230" t="str">
        <f t="shared" si="3"/>
        <v/>
      </c>
      <c r="K29" s="227"/>
    </row>
    <row r="30" spans="1:11" ht="16.5" x14ac:dyDescent="0.25">
      <c r="A30" s="2"/>
      <c r="B30" s="2"/>
      <c r="D30" s="211">
        <f>'Cad4'!F20</f>
        <v>0</v>
      </c>
      <c r="E30" s="220" t="str">
        <f>IF(D30=0,"",D30)</f>
        <v/>
      </c>
      <c r="F30" s="226" t="str">
        <f>IFERROR(('Cad4'!I20*I21)/22,"")</f>
        <v/>
      </c>
      <c r="G30" s="213" t="str">
        <f t="shared" si="2"/>
        <v/>
      </c>
      <c r="H30" s="230" t="str">
        <f t="shared" si="3"/>
        <v/>
      </c>
      <c r="K30" s="227"/>
    </row>
    <row r="31" spans="1:11" ht="15.75" thickBot="1" x14ac:dyDescent="0.3">
      <c r="A31" s="2"/>
      <c r="B31" s="2"/>
      <c r="D31" s="222"/>
      <c r="F31" s="222"/>
      <c r="G31" s="222"/>
      <c r="H31" s="222"/>
      <c r="I31" s="222"/>
      <c r="J31" s="222"/>
      <c r="K31" s="223"/>
    </row>
    <row r="32" spans="1:11" x14ac:dyDescent="0.25">
      <c r="A32" s="2"/>
      <c r="B32" s="2"/>
      <c r="E32" s="212"/>
    </row>
    <row r="33" spans="1:2" x14ac:dyDescent="0.25">
      <c r="A33" s="2"/>
      <c r="B33" s="2"/>
    </row>
    <row r="34" spans="1:2" x14ac:dyDescent="0.25">
      <c r="A34" s="2"/>
      <c r="B34" s="2"/>
    </row>
    <row r="35" spans="1:2" x14ac:dyDescent="0.25">
      <c r="A35" s="2"/>
      <c r="B35" s="2"/>
    </row>
    <row r="36" spans="1:2" x14ac:dyDescent="0.25">
      <c r="A36" s="2"/>
      <c r="B36" s="2"/>
    </row>
    <row r="37" spans="1:2" x14ac:dyDescent="0.25">
      <c r="A37" s="2"/>
      <c r="B37" s="2"/>
    </row>
    <row r="38" spans="1:2" x14ac:dyDescent="0.25">
      <c r="A38" s="2"/>
      <c r="B38" s="2"/>
    </row>
    <row r="39" spans="1:2" x14ac:dyDescent="0.25">
      <c r="A39" s="2"/>
      <c r="B39" s="2"/>
    </row>
    <row r="40" spans="1:2" x14ac:dyDescent="0.25">
      <c r="A40" s="2"/>
      <c r="B40" s="2"/>
    </row>
    <row r="41" spans="1:2" x14ac:dyDescent="0.25">
      <c r="A41" s="2"/>
      <c r="B41" s="2"/>
    </row>
    <row r="42" spans="1:2" x14ac:dyDescent="0.25">
      <c r="A42" s="2"/>
      <c r="B42" s="2"/>
    </row>
    <row r="43" spans="1:2" ht="16.5" x14ac:dyDescent="0.25">
      <c r="A43" s="2"/>
      <c r="B43" s="5"/>
    </row>
    <row r="44" spans="1:2" ht="19.5" x14ac:dyDescent="0.25">
      <c r="A44" s="2"/>
      <c r="B44" s="8"/>
    </row>
    <row r="45" spans="1:2" ht="19.5" x14ac:dyDescent="0.25">
      <c r="A45" s="2"/>
      <c r="B45" s="8"/>
    </row>
    <row r="46" spans="1:2" x14ac:dyDescent="0.25">
      <c r="A46" s="2"/>
      <c r="B46" s="7"/>
    </row>
    <row r="47" spans="1:2" x14ac:dyDescent="0.25">
      <c r="A47" s="2"/>
      <c r="B47" s="2"/>
    </row>
    <row r="48" spans="1:2" x14ac:dyDescent="0.25">
      <c r="A48" s="2"/>
      <c r="B48" s="2"/>
    </row>
    <row r="49" spans="1:2" x14ac:dyDescent="0.25">
      <c r="A49" s="2"/>
      <c r="B49" s="2"/>
    </row>
    <row r="50" spans="1:2" x14ac:dyDescent="0.25">
      <c r="A50" s="2"/>
      <c r="B50" s="259"/>
    </row>
    <row r="51" spans="1:2" x14ac:dyDescent="0.25">
      <c r="A51" s="2"/>
      <c r="B51" s="259"/>
    </row>
    <row r="52" spans="1:2" x14ac:dyDescent="0.25">
      <c r="A52" s="2"/>
      <c r="B52" s="259"/>
    </row>
    <row r="53" spans="1:2" x14ac:dyDescent="0.25">
      <c r="A53" s="2"/>
      <c r="B53" s="259"/>
    </row>
    <row r="54" spans="1:2" x14ac:dyDescent="0.25">
      <c r="A54" s="2"/>
      <c r="B54" s="2"/>
    </row>
    <row r="55" spans="1:2" x14ac:dyDescent="0.25">
      <c r="A55" s="2"/>
      <c r="B55" s="2"/>
    </row>
    <row r="56" spans="1:2" x14ac:dyDescent="0.25">
      <c r="A56" s="2"/>
      <c r="B56" s="2"/>
    </row>
    <row r="57" spans="1:2" x14ac:dyDescent="0.25">
      <c r="A57" s="2"/>
      <c r="B57" s="2"/>
    </row>
    <row r="58" spans="1:2" x14ac:dyDescent="0.25">
      <c r="A58" s="2"/>
      <c r="B58" s="2"/>
    </row>
    <row r="59" spans="1:2" x14ac:dyDescent="0.25">
      <c r="A59" s="2"/>
      <c r="B59" s="2"/>
    </row>
    <row r="60" spans="1:2" x14ac:dyDescent="0.25">
      <c r="A60" s="2"/>
      <c r="B60" s="2"/>
    </row>
    <row r="61" spans="1:2" x14ac:dyDescent="0.25">
      <c r="A61" s="2"/>
      <c r="B61" s="2"/>
    </row>
    <row r="62" spans="1:2" x14ac:dyDescent="0.25">
      <c r="A62" s="2"/>
      <c r="B62" s="2"/>
    </row>
    <row r="63" spans="1:2" x14ac:dyDescent="0.25">
      <c r="A63" s="2"/>
      <c r="B63" s="2"/>
    </row>
    <row r="64" spans="1:2" x14ac:dyDescent="0.25">
      <c r="A64" s="2"/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ht="24" x14ac:dyDescent="0.25">
      <c r="B89" s="10"/>
    </row>
    <row r="90" spans="2:2" ht="24" x14ac:dyDescent="0.25">
      <c r="B90" s="10"/>
    </row>
    <row r="91" spans="2:2" ht="24" x14ac:dyDescent="0.25">
      <c r="B91" s="10"/>
    </row>
    <row r="92" spans="2:2" x14ac:dyDescent="0.25">
      <c r="B92" s="2"/>
    </row>
  </sheetData>
  <mergeCells count="1">
    <mergeCell ref="B50:B53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8">
    <pageSetUpPr fitToPage="1"/>
  </sheetPr>
  <dimension ref="A1:W276"/>
  <sheetViews>
    <sheetView showGridLines="0" showRowColHeaders="0" zoomScale="85" zoomScaleNormal="85" workbookViewId="0"/>
  </sheetViews>
  <sheetFormatPr defaultRowHeight="15" x14ac:dyDescent="0.25"/>
  <cols>
    <col min="1" max="2" width="20.7109375" style="9" customWidth="1"/>
    <col min="4" max="4" width="9.140625" customWidth="1"/>
    <col min="5" max="5" width="36.85546875" customWidth="1"/>
    <col min="6" max="6" width="9.28515625" customWidth="1"/>
    <col min="7" max="7" width="9.140625" customWidth="1"/>
    <col min="8" max="14" width="9.28515625" customWidth="1"/>
    <col min="15" max="15" width="9.7109375" bestFit="1" customWidth="1"/>
    <col min="16" max="16" width="9.28515625" bestFit="1" customWidth="1"/>
    <col min="17" max="17" width="9.7109375" bestFit="1" customWidth="1"/>
    <col min="19" max="19" width="33.85546875" bestFit="1" customWidth="1"/>
    <col min="20" max="20" width="34.28515625" customWidth="1"/>
  </cols>
  <sheetData>
    <row r="1" spans="1:23" ht="21" x14ac:dyDescent="0.25">
      <c r="A1" s="29"/>
      <c r="B1" s="29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</row>
    <row r="2" spans="1:23" ht="21" x14ac:dyDescent="0.25">
      <c r="A2" s="29"/>
      <c r="B2" s="29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</row>
    <row r="3" spans="1:23" ht="21" x14ac:dyDescent="0.25">
      <c r="A3" s="29"/>
      <c r="B3" s="29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3" ht="21" x14ac:dyDescent="0.25">
      <c r="A4" s="29"/>
      <c r="B4" s="29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3" ht="21" x14ac:dyDescent="0.25">
      <c r="A5" s="29"/>
      <c r="B5" s="29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</row>
    <row r="6" spans="1:23" ht="21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</row>
    <row r="7" spans="1:23" ht="21" x14ac:dyDescent="0.25">
      <c r="A7" s="31"/>
      <c r="B7" s="31"/>
      <c r="C7" s="30"/>
      <c r="D7" s="30"/>
      <c r="E7" s="32" t="s">
        <v>118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1:23" ht="21" x14ac:dyDescent="0.25">
      <c r="A8" s="31"/>
      <c r="B8" s="31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</row>
    <row r="9" spans="1:23" ht="21" x14ac:dyDescent="0.25">
      <c r="A9" s="31"/>
      <c r="B9" s="31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  <row r="10" spans="1:23" ht="21.75" thickBot="1" x14ac:dyDescent="0.3">
      <c r="A10" s="31"/>
      <c r="B10" s="31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</row>
    <row r="11" spans="1:23" ht="21" x14ac:dyDescent="0.25">
      <c r="A11" s="31"/>
      <c r="B11" s="31"/>
      <c r="C11" s="30"/>
      <c r="D11" s="30"/>
      <c r="E11" s="257" t="s">
        <v>119</v>
      </c>
      <c r="F11" s="253" t="s">
        <v>113</v>
      </c>
      <c r="G11" s="254"/>
      <c r="H11" s="255"/>
      <c r="I11" s="253" t="s">
        <v>120</v>
      </c>
      <c r="J11" s="254"/>
      <c r="K11" s="255"/>
      <c r="L11" s="253" t="s">
        <v>121</v>
      </c>
      <c r="M11" s="254"/>
      <c r="N11" s="255"/>
      <c r="O11" s="253"/>
      <c r="P11" s="254"/>
      <c r="Q11" s="256"/>
      <c r="R11" s="30"/>
      <c r="S11" s="30"/>
      <c r="T11" s="30"/>
      <c r="U11" s="30"/>
      <c r="V11" s="30"/>
      <c r="W11" s="30"/>
    </row>
    <row r="12" spans="1:23" ht="21.75" thickBot="1" x14ac:dyDescent="0.3">
      <c r="A12" s="31"/>
      <c r="B12" s="31"/>
      <c r="C12" s="30"/>
      <c r="D12" s="30"/>
      <c r="E12" s="258"/>
      <c r="F12" s="165" t="s">
        <v>115</v>
      </c>
      <c r="G12" s="166" t="s">
        <v>116</v>
      </c>
      <c r="H12" s="167" t="s">
        <v>117</v>
      </c>
      <c r="I12" s="165" t="s">
        <v>115</v>
      </c>
      <c r="J12" s="166" t="s">
        <v>116</v>
      </c>
      <c r="K12" s="167" t="s">
        <v>117</v>
      </c>
      <c r="L12" s="165" t="s">
        <v>115</v>
      </c>
      <c r="M12" s="166" t="s">
        <v>116</v>
      </c>
      <c r="N12" s="167" t="s">
        <v>117</v>
      </c>
      <c r="O12" s="165"/>
      <c r="P12" s="166"/>
      <c r="Q12" s="168"/>
      <c r="R12" s="30"/>
      <c r="S12" s="30"/>
      <c r="T12" s="30"/>
      <c r="U12" s="30"/>
      <c r="V12" s="30"/>
      <c r="W12" s="30"/>
    </row>
    <row r="13" spans="1:23" ht="21" x14ac:dyDescent="0.25">
      <c r="A13" s="31"/>
      <c r="B13" s="31"/>
      <c r="C13" s="128" t="str">
        <f>'Cad1'!F14</f>
        <v>Creme Chantty - LITRO</v>
      </c>
      <c r="D13" s="30"/>
      <c r="E13" s="30" t="str">
        <f>IF(C13=0,"",C13)</f>
        <v>Creme Chantty - LITRO</v>
      </c>
      <c r="F13" s="160">
        <f t="array" ref="F13">IFERROR(INDEX(BD!$H$15:$H$1979,MATCH('Tab1'!E13&amp;'Tab1'!$F$11:$H$11&amp;'Tab1'!$F$12,BD!$F$15:$F$1979&amp;BD!$M$15:$M$1979&amp;BD!$N$15:$N$1979,0)),"")</f>
        <v>15</v>
      </c>
      <c r="G13" s="160" t="str">
        <f t="array" ref="G13">IFERROR(INDEX(BD!$H$15:$H$1979,MATCH('Tab1'!E13&amp;'Tab1'!$F$11:$H$11&amp;$G$12,BD!$F$15:$F$1979&amp;BD!$M$15:$M$1979&amp;BD!$N$15:$N$1979,0)),"")</f>
        <v/>
      </c>
      <c r="H13" s="160">
        <f t="array" ref="H13">IFERROR(INDEX(BD!$H$15:$H$1979,MATCH('Tab1'!E13&amp;'Tab1'!$F$11:$H$11&amp;'Tab1'!$H$12,BD!$F$15:$F$1979&amp;BD!$M$15:$M$1979&amp;BD!$N$15:$N$1979,0)),"")</f>
        <v>16.5</v>
      </c>
      <c r="I13" s="160">
        <f t="array" ref="I13">IFERROR(INDEX(BD!$H$15:$H$1979,MATCH('Tab1'!E13&amp;'Tab1'!$I$11&amp;'Tab1'!$I$12,BD!$F$15:$F$1979&amp;BD!$M$15:$M$1979&amp;BD!$N$15:$N$1979,0)),"")</f>
        <v>15.5</v>
      </c>
      <c r="J13" s="160" t="str">
        <f t="array" ref="J13">IFERROR(INDEX(BD!$H$15:$H$1979,MATCH('Tab1'!E13&amp;'Tab1'!$I$11&amp;'Tab1'!$J$12,BD!$F$15:$F$1979&amp;BD!$M$15:$M$1979&amp;BD!$N$15:$N$1979,0)),"")</f>
        <v/>
      </c>
      <c r="K13" s="160">
        <f t="array" ref="K13">IFERROR(INDEX(BD!$H$15:$H$1979,MATCH('Tab1'!E13&amp;'Tab1'!$I$11&amp;'Tab1'!$K$12,BD!$F$15:$F$1979&amp;BD!$M$15:$M$1979&amp;BD!$N$15:$N$1979,0)),"")</f>
        <v>17</v>
      </c>
      <c r="L13" s="160">
        <f t="array" ref="L13">IFERROR(INDEX(BD!$H$15:$H$1979,MATCH('Tab1'!E13&amp;'Tab1'!$L$11&amp;'Tab1'!$L$12,BD!$F$15:$F$1979&amp;BD!$M$15:$M$1979&amp;BD!$N$15:$N$1979,0)),"")</f>
        <v>16</v>
      </c>
      <c r="M13" s="160" t="str">
        <f t="array" ref="M13">IFERROR(INDEX(BD!$H$15:$H$1979,MATCH('Tab1'!E13&amp;'Tab1'!$L$11&amp;'Tab1'!$M$12,BD!$F$15:$F$1979&amp;BD!$M$15:$M$1979&amp;BD!$N$15:$N$1979,0)),"")</f>
        <v/>
      </c>
      <c r="N13" s="160">
        <f t="array" ref="N13">IFERROR(INDEX(BD!$H$15:$H$1979,MATCH('Tab1'!E13&amp;'Tab1'!$L$11&amp;'Tab1'!$N$12,BD!$F$15:$F$1979&amp;BD!$M$15:$M$1979&amp;BD!$N$15:$N$1979,0)),"")</f>
        <v>17.5</v>
      </c>
      <c r="O13" s="160"/>
      <c r="P13" s="160"/>
      <c r="Q13" s="160"/>
      <c r="R13" s="30"/>
      <c r="S13" s="30"/>
      <c r="T13" s="30"/>
      <c r="U13" s="30"/>
      <c r="V13" s="30"/>
      <c r="W13" s="30"/>
    </row>
    <row r="14" spans="1:23" ht="21" x14ac:dyDescent="0.25">
      <c r="A14" s="31"/>
      <c r="B14" s="31"/>
      <c r="C14" s="128" t="str">
        <f>'Cad1'!F15</f>
        <v>Creme Chantty - MINI</v>
      </c>
      <c r="D14" s="30"/>
      <c r="E14" s="30" t="str">
        <f t="shared" ref="E14:E34" si="0">IF(C14=0,"",C14)</f>
        <v>Creme Chantty - MINI</v>
      </c>
      <c r="F14" s="160">
        <f t="array" ref="F14">IFERROR(INDEX(BD!$H$15:$H$1979,MATCH('Tab1'!E14&amp;'Tab1'!$F$11:$H$11&amp;'Tab1'!$F$12,BD!$F$15:$F$1979&amp;BD!$M$15:$M$1979&amp;BD!$N$15:$N$1979,0)),"")</f>
        <v>8</v>
      </c>
      <c r="G14" s="160" t="str">
        <f t="array" ref="G14">IFERROR(INDEX(BD!$H$15:$H$1979,MATCH('Tab1'!E14&amp;'Tab1'!$F$11:$H$11&amp;$G$12,BD!$F$15:$F$1979&amp;BD!$M$15:$M$1979&amp;BD!$N$15:$N$1979,0)),"")</f>
        <v/>
      </c>
      <c r="H14" s="160">
        <f t="array" ref="H14">IFERROR(INDEX(BD!$H$15:$H$1979,MATCH('Tab1'!E14&amp;'Tab1'!$F$11:$H$11&amp;'Tab1'!$H$12,BD!$F$15:$F$1979&amp;BD!$M$15:$M$1979&amp;BD!$N$15:$N$1979,0)),"")</f>
        <v>9</v>
      </c>
      <c r="I14" s="160">
        <f t="array" ref="I14">IFERROR(INDEX(BD!$H$15:$H$1979,MATCH('Tab1'!E14&amp;'Tab1'!$I$11&amp;'Tab1'!$I$12,BD!$F$15:$F$1979&amp;BD!$M$15:$M$1979&amp;BD!$N$15:$N$1979,0)),"")</f>
        <v>8.5</v>
      </c>
      <c r="J14" s="160" t="str">
        <f t="array" ref="J14">IFERROR(INDEX(BD!$H$15:$H$1979,MATCH('Tab1'!E14&amp;'Tab1'!$I$11&amp;'Tab1'!$J$12,BD!$F$15:$F$1979&amp;BD!$M$15:$M$1979&amp;BD!$N$15:$N$1979,0)),"")</f>
        <v/>
      </c>
      <c r="K14" s="160">
        <f t="array" ref="K14">IFERROR(INDEX(BD!$H$15:$H$1979,MATCH('Tab1'!E14&amp;'Tab1'!$I$11&amp;'Tab1'!$K$12,BD!$F$15:$F$1979&amp;BD!$M$15:$M$1979&amp;BD!$N$15:$N$1979,0)),"")</f>
        <v>9.5</v>
      </c>
      <c r="L14" s="160">
        <f t="array" ref="L14">IFERROR(INDEX(BD!$H$15:$H$1979,MATCH('Tab1'!E14&amp;'Tab1'!$L$11&amp;'Tab1'!$L$12,BD!$F$15:$F$1979&amp;BD!$M$15:$M$1979&amp;BD!$N$15:$N$1979,0)),"")</f>
        <v>9</v>
      </c>
      <c r="M14" s="160" t="str">
        <f t="array" ref="M14">IFERROR(INDEX(BD!$H$15:$H$1979,MATCH('Tab1'!E14&amp;'Tab1'!$L$11&amp;'Tab1'!$M$12,BD!$F$15:$F$1979&amp;BD!$M$15:$M$1979&amp;BD!$N$15:$N$1979,0)),"")</f>
        <v/>
      </c>
      <c r="N14" s="160">
        <f t="array" ref="N14">IFERROR(INDEX(BD!$H$15:$H$1979,MATCH('Tab1'!E14&amp;'Tab1'!$L$11&amp;'Tab1'!$N$12,BD!$F$15:$F$1979&amp;BD!$M$15:$M$1979&amp;BD!$N$15:$N$1979,0)),"")</f>
        <v>10</v>
      </c>
      <c r="O14" s="160"/>
      <c r="P14" s="160"/>
      <c r="Q14" s="160"/>
      <c r="R14" s="30"/>
      <c r="S14" s="30"/>
      <c r="T14" s="30"/>
      <c r="U14" s="30"/>
      <c r="V14" s="30"/>
      <c r="W14" s="30"/>
    </row>
    <row r="15" spans="1:23" ht="16.5" x14ac:dyDescent="0.25">
      <c r="A15" s="41"/>
      <c r="B15" s="141"/>
      <c r="C15" s="128" t="str">
        <f>'Cad1'!F16</f>
        <v>Creme Molho - LITRO</v>
      </c>
      <c r="D15" s="30"/>
      <c r="E15" s="30" t="str">
        <f t="shared" si="0"/>
        <v>Creme Molho - LITRO</v>
      </c>
      <c r="F15" s="160">
        <f t="array" ref="F15">IFERROR(INDEX(BD!$H$15:$H$1979,MATCH('Tab1'!E15&amp;'Tab1'!$F$11:$H$11&amp;'Tab1'!$F$12,BD!$F$15:$F$1979&amp;BD!$M$15:$M$1979&amp;BD!$N$15:$N$1979,0)),"")</f>
        <v>14</v>
      </c>
      <c r="G15" s="160" t="str">
        <f t="array" ref="G15">IFERROR(INDEX(BD!$H$15:$H$1979,MATCH('Tab1'!E15&amp;'Tab1'!$F$11:$H$11&amp;$G$12,BD!$F$15:$F$1979&amp;BD!$M$15:$M$1979&amp;BD!$N$15:$N$1979,0)),"")</f>
        <v/>
      </c>
      <c r="H15" s="160">
        <f t="array" ref="H15">IFERROR(INDEX(BD!$H$15:$H$1979,MATCH('Tab1'!E15&amp;'Tab1'!$F$11:$H$11&amp;'Tab1'!$H$12,BD!$F$15:$F$1979&amp;BD!$M$15:$M$1979&amp;BD!$N$15:$N$1979,0)),"")</f>
        <v>15.5</v>
      </c>
      <c r="I15" s="160">
        <f t="array" ref="I15">IFERROR(INDEX(BD!$H$15:$H$1979,MATCH('Tab1'!E15&amp;'Tab1'!$I$11&amp;'Tab1'!$I$12,BD!$F$15:$F$1979&amp;BD!$M$15:$M$1979&amp;BD!$N$15:$N$1979,0)),"")</f>
        <v>14.5</v>
      </c>
      <c r="J15" s="160" t="str">
        <f t="array" ref="J15">IFERROR(INDEX(BD!$H$15:$H$1979,MATCH('Tab1'!E15&amp;'Tab1'!$I$11&amp;'Tab1'!$J$12,BD!$F$15:$F$1979&amp;BD!$M$15:$M$1979&amp;BD!$N$15:$N$1979,0)),"")</f>
        <v/>
      </c>
      <c r="K15" s="160">
        <f t="array" ref="K15">IFERROR(INDEX(BD!$H$15:$H$1979,MATCH('Tab1'!E15&amp;'Tab1'!$I$11&amp;'Tab1'!$K$12,BD!$F$15:$F$1979&amp;BD!$M$15:$M$1979&amp;BD!$N$15:$N$1979,0)),"")</f>
        <v>16</v>
      </c>
      <c r="L15" s="160">
        <f t="array" ref="L15">IFERROR(INDEX(BD!$H$15:$H$1979,MATCH('Tab1'!E15&amp;'Tab1'!$L$11&amp;'Tab1'!$L$12,BD!$F$15:$F$1979&amp;BD!$M$15:$M$1979&amp;BD!$N$15:$N$1979,0)),"")</f>
        <v>15</v>
      </c>
      <c r="M15" s="160" t="str">
        <f t="array" ref="M15">IFERROR(INDEX(BD!$H$15:$H$1979,MATCH('Tab1'!E15&amp;'Tab1'!$L$11&amp;'Tab1'!$M$12,BD!$F$15:$F$1979&amp;BD!$M$15:$M$1979&amp;BD!$N$15:$N$1979,0)),"")</f>
        <v/>
      </c>
      <c r="N15" s="160">
        <f t="array" ref="N15">IFERROR(INDEX(BD!$H$15:$H$1979,MATCH('Tab1'!E15&amp;'Tab1'!$L$11&amp;'Tab1'!$N$12,BD!$F$15:$F$1979&amp;BD!$M$15:$M$1979&amp;BD!$N$15:$N$1979,0)),"")</f>
        <v>16.5</v>
      </c>
      <c r="O15" s="160"/>
      <c r="P15" s="160"/>
      <c r="Q15" s="160"/>
      <c r="R15" s="30"/>
      <c r="S15" s="30"/>
      <c r="T15" s="30"/>
      <c r="U15" s="30"/>
      <c r="V15" s="30"/>
      <c r="W15" s="30"/>
    </row>
    <row r="16" spans="1:23" x14ac:dyDescent="0.25">
      <c r="A16" s="41"/>
      <c r="B16" s="41"/>
      <c r="C16" s="128" t="str">
        <f>'Cad1'!F17</f>
        <v>Creme Chantty - LITRO (Simples Nacional)</v>
      </c>
      <c r="D16" s="30"/>
      <c r="E16" s="30" t="str">
        <f t="shared" si="0"/>
        <v>Creme Chantty - LITRO (Simples Nacional)</v>
      </c>
      <c r="F16" s="160" t="str">
        <f t="array" ref="F16">IFERROR(INDEX(BD!$H$15:$H$1979,MATCH('Tab1'!E16&amp;'Tab1'!$F$11:$H$11&amp;'Tab1'!$F$12,BD!$F$15:$F$1979&amp;BD!$M$15:$M$1979&amp;BD!$N$15:$N$1979,0)),"")</f>
        <v/>
      </c>
      <c r="G16" s="160" t="str">
        <f t="array" ref="G16">IFERROR(INDEX(BD!$H$15:$H$1979,MATCH('Tab1'!E16&amp;'Tab1'!$F$11:$H$11&amp;$G$12,BD!$F$15:$F$1979&amp;BD!$M$15:$M$1979&amp;BD!$N$15:$N$1979,0)),"")</f>
        <v/>
      </c>
      <c r="H16" s="160">
        <f t="array" ref="H16">IFERROR(INDEX(BD!$H$15:$H$1979,MATCH('Tab1'!E16&amp;'Tab1'!$F$11:$H$11&amp;'Tab1'!$H$12,BD!$F$15:$F$1979&amp;BD!$M$15:$M$1979&amp;BD!$N$15:$N$1979,0)),"")</f>
        <v>19</v>
      </c>
      <c r="I16" s="160" t="str">
        <f t="array" ref="I16">IFERROR(INDEX(BD!$H$15:$H$1979,MATCH('Tab1'!E16&amp;'Tab1'!$I$11&amp;'Tab1'!$I$12,BD!$F$15:$F$1979&amp;BD!$M$15:$M$1979&amp;BD!$N$15:$N$1979,0)),"")</f>
        <v/>
      </c>
      <c r="J16" s="160" t="str">
        <f t="array" ref="J16">IFERROR(INDEX(BD!$H$15:$H$1979,MATCH('Tab1'!E16&amp;'Tab1'!$I$11&amp;'Tab1'!$J$12,BD!$F$15:$F$1979&amp;BD!$M$15:$M$1979&amp;BD!$N$15:$N$1979,0)),"")</f>
        <v/>
      </c>
      <c r="K16" s="160">
        <f t="array" ref="K16">IFERROR(INDEX(BD!$H$15:$H$1979,MATCH('Tab1'!E16&amp;'Tab1'!$I$11&amp;'Tab1'!$K$12,BD!$F$15:$F$1979&amp;BD!$M$15:$M$1979&amp;BD!$N$15:$N$1979,0)),"")</f>
        <v>19.5</v>
      </c>
      <c r="L16" s="160" t="str">
        <f t="array" ref="L16">IFERROR(INDEX(BD!$H$15:$H$1979,MATCH('Tab1'!E16&amp;'Tab1'!$L$11&amp;'Tab1'!$L$12,BD!$F$15:$F$1979&amp;BD!$M$15:$M$1979&amp;BD!$N$15:$N$1979,0)),"")</f>
        <v/>
      </c>
      <c r="M16" s="160" t="str">
        <f t="array" ref="M16">IFERROR(INDEX(BD!$H$15:$H$1979,MATCH('Tab1'!E16&amp;'Tab1'!$L$11&amp;'Tab1'!$M$12,BD!$F$15:$F$1979&amp;BD!$M$15:$M$1979&amp;BD!$N$15:$N$1979,0)),"")</f>
        <v/>
      </c>
      <c r="N16" s="160">
        <f t="array" ref="N16">IFERROR(INDEX(BD!$H$15:$H$1979,MATCH('Tab1'!E16&amp;'Tab1'!$L$11&amp;'Tab1'!$N$12,BD!$F$15:$F$1979&amp;BD!$M$15:$M$1979&amp;BD!$N$15:$N$1979,0)),"")</f>
        <v>20</v>
      </c>
      <c r="O16" s="160"/>
      <c r="P16" s="160"/>
      <c r="Q16" s="160"/>
      <c r="R16" s="30"/>
      <c r="S16" s="30"/>
      <c r="T16" s="30"/>
      <c r="U16" s="30"/>
      <c r="V16" s="30"/>
      <c r="W16" s="30"/>
    </row>
    <row r="17" spans="1:23" x14ac:dyDescent="0.25">
      <c r="A17" s="41"/>
      <c r="B17" s="41"/>
      <c r="C17" s="128" t="str">
        <f>'Cad1'!F18</f>
        <v>Creme Chantty - MINI (Simples Nacional)</v>
      </c>
      <c r="D17" s="30"/>
      <c r="E17" s="30" t="str">
        <f t="shared" si="0"/>
        <v>Creme Chantty - MINI (Simples Nacional)</v>
      </c>
      <c r="F17" s="160" t="str">
        <f t="array" ref="F17">IFERROR(INDEX(BD!$H$15:$H$1979,MATCH('Tab1'!E17&amp;'Tab1'!$F$11:$H$11&amp;'Tab1'!$F$12,BD!$F$15:$F$1979&amp;BD!$M$15:$M$1979&amp;BD!$N$15:$N$1979,0)),"")</f>
        <v/>
      </c>
      <c r="G17" s="160" t="str">
        <f t="array" ref="G17">IFERROR(INDEX(BD!$H$15:$H$1979,MATCH('Tab1'!E17&amp;'Tab1'!$F$11:$H$11&amp;$G$12,BD!$F$15:$F$1979&amp;BD!$M$15:$M$1979&amp;BD!$N$15:$N$1979,0)),"")</f>
        <v/>
      </c>
      <c r="H17" s="160">
        <f t="array" ref="H17">IFERROR(INDEX(BD!$H$15:$H$1979,MATCH('Tab1'!E17&amp;'Tab1'!$F$11:$H$11&amp;'Tab1'!$H$12,BD!$F$15:$F$1979&amp;BD!$M$15:$M$1979&amp;BD!$N$15:$N$1979,0)),"")</f>
        <v>9.5</v>
      </c>
      <c r="I17" s="160" t="str">
        <f t="array" ref="I17">IFERROR(INDEX(BD!$H$15:$H$1979,MATCH('Tab1'!E17&amp;'Tab1'!$I$11&amp;'Tab1'!$I$12,BD!$F$15:$F$1979&amp;BD!$M$15:$M$1979&amp;BD!$N$15:$N$1979,0)),"")</f>
        <v/>
      </c>
      <c r="J17" s="160" t="str">
        <f t="array" ref="J17">IFERROR(INDEX(BD!$H$15:$H$1979,MATCH('Tab1'!E17&amp;'Tab1'!$I$11&amp;'Tab1'!$J$12,BD!$F$15:$F$1979&amp;BD!$M$15:$M$1979&amp;BD!$N$15:$N$1979,0)),"")</f>
        <v/>
      </c>
      <c r="K17" s="160">
        <f t="array" ref="K17">IFERROR(INDEX(BD!$H$15:$H$1979,MATCH('Tab1'!E17&amp;'Tab1'!$I$11&amp;'Tab1'!$K$12,BD!$F$15:$F$1979&amp;BD!$M$15:$M$1979&amp;BD!$N$15:$N$1979,0)),"")</f>
        <v>10</v>
      </c>
      <c r="L17" s="160" t="str">
        <f t="array" ref="L17">IFERROR(INDEX(BD!$H$15:$H$1979,MATCH('Tab1'!E17&amp;'Tab1'!$L$11&amp;'Tab1'!$L$12,BD!$F$15:$F$1979&amp;BD!$M$15:$M$1979&amp;BD!$N$15:$N$1979,0)),"")</f>
        <v/>
      </c>
      <c r="M17" s="160" t="str">
        <f t="array" ref="M17">IFERROR(INDEX(BD!$H$15:$H$1979,MATCH('Tab1'!E17&amp;'Tab1'!$L$11&amp;'Tab1'!$M$12,BD!$F$15:$F$1979&amp;BD!$M$15:$M$1979&amp;BD!$N$15:$N$1979,0)),"")</f>
        <v/>
      </c>
      <c r="N17" s="160">
        <f t="array" ref="N17">IFERROR(INDEX(BD!$H$15:$H$1979,MATCH('Tab1'!E17&amp;'Tab1'!$L$11&amp;'Tab1'!$N$12,BD!$F$15:$F$1979&amp;BD!$M$15:$M$1979&amp;BD!$N$15:$N$1979,0)),"")</f>
        <v>10.5</v>
      </c>
      <c r="O17" s="160"/>
      <c r="P17" s="160"/>
      <c r="Q17" s="160"/>
      <c r="R17" s="30"/>
      <c r="S17" s="30"/>
      <c r="T17" s="30"/>
      <c r="U17" s="30"/>
      <c r="V17" s="30"/>
      <c r="W17" s="30"/>
    </row>
    <row r="18" spans="1:23" x14ac:dyDescent="0.25">
      <c r="A18" s="41"/>
      <c r="B18" s="41"/>
      <c r="C18" s="128" t="str">
        <f>'Cad1'!F19</f>
        <v>Creme Molho - LITRO (Simples Nacional)</v>
      </c>
      <c r="D18" s="30"/>
      <c r="E18" s="30" t="str">
        <f t="shared" si="0"/>
        <v>Creme Molho - LITRO (Simples Nacional)</v>
      </c>
      <c r="F18" s="160" t="str">
        <f t="array" ref="F18">IFERROR(INDEX(BD!$H$15:$H$1979,MATCH('Tab1'!E18&amp;'Tab1'!$F$11:$H$11&amp;'Tab1'!$F$12,BD!$F$15:$F$1979&amp;BD!$M$15:$M$1979&amp;BD!$N$15:$N$1979,0)),"")</f>
        <v/>
      </c>
      <c r="G18" s="160" t="str">
        <f t="array" ref="G18">IFERROR(INDEX(BD!$H$15:$H$1979,MATCH('Tab1'!E18&amp;'Tab1'!$F$11:$H$11&amp;$G$12,BD!$F$15:$F$1979&amp;BD!$M$15:$M$1979&amp;BD!$N$15:$N$1979,0)),"")</f>
        <v/>
      </c>
      <c r="H18" s="160">
        <f t="array" ref="H18">IFERROR(INDEX(BD!$H$15:$H$1979,MATCH('Tab1'!E18&amp;'Tab1'!$F$11:$H$11&amp;'Tab1'!$H$12,BD!$F$15:$F$1979&amp;BD!$M$15:$M$1979&amp;BD!$N$15:$N$1979,0)),"")</f>
        <v>18</v>
      </c>
      <c r="I18" s="160" t="str">
        <f t="array" ref="I18">IFERROR(INDEX(BD!$H$15:$H$1979,MATCH('Tab1'!E18&amp;'Tab1'!$I$11&amp;'Tab1'!$I$12,BD!$F$15:$F$1979&amp;BD!$M$15:$M$1979&amp;BD!$N$15:$N$1979,0)),"")</f>
        <v/>
      </c>
      <c r="J18" s="160" t="str">
        <f t="array" ref="J18">IFERROR(INDEX(BD!$H$15:$H$1979,MATCH('Tab1'!E18&amp;'Tab1'!$I$11&amp;'Tab1'!$J$12,BD!$F$15:$F$1979&amp;BD!$M$15:$M$1979&amp;BD!$N$15:$N$1979,0)),"")</f>
        <v/>
      </c>
      <c r="K18" s="160">
        <f t="array" ref="K18">IFERROR(INDEX(BD!$H$15:$H$1979,MATCH('Tab1'!E18&amp;'Tab1'!$I$11&amp;'Tab1'!$K$12,BD!$F$15:$F$1979&amp;BD!$M$15:$M$1979&amp;BD!$N$15:$N$1979,0)),"")</f>
        <v>18.5</v>
      </c>
      <c r="L18" s="160" t="str">
        <f t="array" ref="L18">IFERROR(INDEX(BD!$H$15:$H$1979,MATCH('Tab1'!E18&amp;'Tab1'!$L$11&amp;'Tab1'!$L$12,BD!$F$15:$F$1979&amp;BD!$M$15:$M$1979&amp;BD!$N$15:$N$1979,0)),"")</f>
        <v/>
      </c>
      <c r="M18" s="160" t="str">
        <f t="array" ref="M18">IFERROR(INDEX(BD!$H$15:$H$1979,MATCH('Tab1'!E18&amp;'Tab1'!$L$11&amp;'Tab1'!$M$12,BD!$F$15:$F$1979&amp;BD!$M$15:$M$1979&amp;BD!$N$15:$N$1979,0)),"")</f>
        <v/>
      </c>
      <c r="N18" s="160">
        <f t="array" ref="N18">IFERROR(INDEX(BD!$H$15:$H$1979,MATCH('Tab1'!E18&amp;'Tab1'!$L$11&amp;'Tab1'!$N$12,BD!$F$15:$F$1979&amp;BD!$M$15:$M$1979&amp;BD!$N$15:$N$1979,0)),"")</f>
        <v>19</v>
      </c>
      <c r="O18" s="160"/>
      <c r="P18" s="160"/>
      <c r="Q18" s="160"/>
      <c r="R18" s="30"/>
      <c r="S18" s="30"/>
      <c r="T18" s="30"/>
      <c r="U18" s="30"/>
      <c r="V18" s="30"/>
      <c r="W18" s="30"/>
    </row>
    <row r="19" spans="1:23" x14ac:dyDescent="0.25">
      <c r="A19" s="41"/>
      <c r="B19" s="41"/>
      <c r="C19" s="128" t="str">
        <f>'Cad1'!F20</f>
        <v>Chantilly TP Jundiai - 1L</v>
      </c>
      <c r="D19" s="30"/>
      <c r="E19" s="30" t="str">
        <f t="shared" si="0"/>
        <v>Chantilly TP Jundiai - 1L</v>
      </c>
      <c r="F19" s="160" t="str">
        <f t="array" ref="F19">IFERROR(INDEX(BD!$H$15:$H$1979,MATCH('Tab1'!E19&amp;'Tab1'!$F$11:$H$11&amp;'Tab1'!$F$12,BD!$F$15:$F$1979&amp;BD!$M$15:$M$1979&amp;BD!$N$15:$N$1979,0)),"")</f>
        <v/>
      </c>
      <c r="G19" s="160" t="str">
        <f t="array" ref="G19">IFERROR(INDEX(BD!$H$15:$H$1979,MATCH('Tab1'!E19&amp;'Tab1'!$F$11:$H$11&amp;$G$12,BD!$F$15:$F$1979&amp;BD!$M$15:$M$1979&amp;BD!$N$15:$N$1979,0)),"")</f>
        <v/>
      </c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30"/>
      <c r="S19" s="30"/>
      <c r="T19" s="30"/>
      <c r="U19" s="30"/>
      <c r="V19" s="30"/>
      <c r="W19" s="30"/>
    </row>
    <row r="20" spans="1:23" x14ac:dyDescent="0.25">
      <c r="A20" s="41"/>
      <c r="B20" s="41"/>
      <c r="C20" s="128" t="str">
        <f>'Cad1'!F21</f>
        <v>Creme Culinário TP Jundiai - 1L</v>
      </c>
      <c r="D20" s="30"/>
      <c r="E20" s="30" t="str">
        <f t="shared" si="0"/>
        <v>Creme Culinário TP Jundiai - 1L</v>
      </c>
      <c r="F20" s="160" t="str">
        <f t="array" ref="F20">IFERROR(INDEX(BD!$H$15:$H$1979,MATCH('Tab1'!E20&amp;'Tab1'!$F$11:$H$11&amp;'Tab1'!$F$12,BD!$F$15:$F$1979&amp;BD!$M$15:$M$1979&amp;BD!$N$15:$N$1979,0)),"")</f>
        <v/>
      </c>
      <c r="G20" s="160" t="str">
        <f t="array" ref="G20">IFERROR(INDEX(BD!$H$15:$H$1979,MATCH('Tab1'!E20&amp;'Tab1'!$F$11:$H$11&amp;$G$12,BD!$F$15:$F$1979&amp;BD!$M$15:$M$1979&amp;BD!$N$15:$N$1979,0)),"")</f>
        <v/>
      </c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30"/>
      <c r="S20" s="30"/>
      <c r="T20" s="30"/>
      <c r="U20" s="30"/>
      <c r="V20" s="30"/>
      <c r="W20" s="30"/>
    </row>
    <row r="21" spans="1:23" x14ac:dyDescent="0.25">
      <c r="A21" s="41"/>
      <c r="B21" s="41"/>
      <c r="C21" s="128" t="str">
        <f>'Cad1'!F22</f>
        <v>Chantilly TP Jundiai - 1L (Simples Nacional)</v>
      </c>
      <c r="D21" s="30"/>
      <c r="E21" s="30" t="str">
        <f t="shared" si="0"/>
        <v>Chantilly TP Jundiai - 1L (Simples Nacional)</v>
      </c>
      <c r="F21" s="160" t="str">
        <f t="array" ref="F21">IFERROR(INDEX(BD!$H$15:$H$1979,MATCH('Tab1'!E21&amp;'Tab1'!$F$11:$H$11&amp;'Tab1'!$F$12,BD!$F$15:$F$1979&amp;BD!$M$15:$M$1979&amp;BD!$N$15:$N$1979,0)),"")</f>
        <v/>
      </c>
      <c r="G21" s="160" t="str">
        <f t="array" ref="G21">IFERROR(INDEX(BD!$H$15:$H$1979,MATCH('Tab1'!E21&amp;'Tab1'!$F$11:$H$11&amp;$G$12,BD!$F$15:$F$1979&amp;BD!$M$15:$M$1979&amp;BD!$N$15:$N$1979,0)),"")</f>
        <v/>
      </c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30"/>
      <c r="S21" s="30"/>
      <c r="T21" s="30"/>
      <c r="U21" s="30"/>
      <c r="V21" s="30"/>
      <c r="W21" s="30"/>
    </row>
    <row r="22" spans="1:23" x14ac:dyDescent="0.25">
      <c r="A22" s="41"/>
      <c r="B22" s="41"/>
      <c r="C22" s="128" t="str">
        <f>'Cad1'!F23</f>
        <v>Creme Culinário TP Jundiai - 1L (Simples Nacional)</v>
      </c>
      <c r="D22" s="30"/>
      <c r="E22" s="30" t="str">
        <f t="shared" si="0"/>
        <v>Creme Culinário TP Jundiai - 1L (Simples Nacional)</v>
      </c>
      <c r="F22" s="160" t="str">
        <f t="array" ref="F22">IFERROR(INDEX(BD!$H$15:$H$1979,MATCH('Tab1'!E22&amp;'Tab1'!$F$11:$H$11&amp;'Tab1'!$F$12,BD!$F$15:$F$1979&amp;BD!$M$15:$M$1979&amp;BD!$N$15:$N$1979,0)),"")</f>
        <v/>
      </c>
      <c r="G22" s="160" t="str">
        <f t="array" ref="G22">IFERROR(INDEX(BD!$H$15:$H$1979,MATCH('Tab1'!E22&amp;'Tab1'!$F$11:$H$11&amp;$G$12,BD!$F$15:$F$1979&amp;BD!$M$15:$M$1979&amp;BD!$N$15:$N$1979,0)),"")</f>
        <v/>
      </c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30"/>
      <c r="S22" s="30"/>
      <c r="T22" s="30"/>
      <c r="U22" s="30"/>
      <c r="V22" s="30"/>
      <c r="W22" s="30"/>
    </row>
    <row r="23" spans="1:23" x14ac:dyDescent="0.25">
      <c r="A23" s="41"/>
      <c r="B23" s="41"/>
      <c r="C23" s="128" t="str">
        <f>'Cad1'!F24</f>
        <v>Chantilly TP BRAVO - 1L</v>
      </c>
      <c r="D23" s="30"/>
      <c r="E23" s="30" t="str">
        <f t="shared" si="0"/>
        <v>Chantilly TP BRAVO - 1L</v>
      </c>
      <c r="F23" s="160">
        <f t="array" ref="F23">IFERROR(INDEX(BD!$H$15:$H$1979,MATCH('Tab1'!E23&amp;'Tab1'!$F$11:$H$11&amp;'Tab1'!$F$12,BD!$F$15:$F$1979&amp;BD!$M$15:$M$1979&amp;BD!$N$15:$N$1979,0)),"")</f>
        <v>16.5</v>
      </c>
      <c r="G23" s="160" t="str">
        <f t="array" ref="G23">IFERROR(INDEX(BD!$H$15:$H$1979,MATCH('Tab1'!E23&amp;'Tab1'!$F$11:$H$11&amp;$G$12,BD!$F$15:$F$1979&amp;BD!$M$15:$M$1979&amp;BD!$N$15:$N$1979,0)),"")</f>
        <v/>
      </c>
      <c r="H23" s="160">
        <f t="array" ref="H23">IFERROR(INDEX(BD!$H$15:$H$1979,MATCH('Tab1'!E23&amp;'Tab1'!$F$11:$H$11&amp;'Tab1'!$H$12,BD!$F$15:$F$1979&amp;BD!$M$15:$M$1979&amp;BD!$N$15:$N$1979,0)),"")</f>
        <v>18.5</v>
      </c>
      <c r="I23" s="160">
        <f t="array" ref="I23">IFERROR(INDEX(BD!$H$15:$H$1979,MATCH('Tab1'!E23&amp;'Tab1'!$I$11&amp;'Tab1'!$I$12,BD!$F$15:$F$1979&amp;BD!$M$15:$M$1979&amp;BD!$N$15:$N$1979,0)),"")</f>
        <v>17</v>
      </c>
      <c r="J23" s="160" t="str">
        <f t="array" ref="J23">IFERROR(INDEX(BD!$H$15:$H$1979,MATCH('Tab1'!E23&amp;'Tab1'!$I$11&amp;'Tab1'!$J$12,BD!$F$15:$F$1979&amp;BD!$M$15:$M$1979&amp;BD!$N$15:$N$1979,0)),"")</f>
        <v/>
      </c>
      <c r="K23" s="160">
        <f t="array" ref="K23">IFERROR(INDEX(BD!$H$15:$H$1979,MATCH('Tab1'!E23&amp;'Tab1'!$I$11&amp;'Tab1'!$K$12,BD!$F$15:$F$1979&amp;BD!$M$15:$M$1979&amp;BD!$N$15:$N$1979,0)),"")</f>
        <v>19</v>
      </c>
      <c r="L23" s="160">
        <f t="array" ref="L23">IFERROR(INDEX(BD!$H$15:$H$1979,MATCH('Tab1'!E23&amp;'Tab1'!$L$11&amp;'Tab1'!$L$12,BD!$F$15:$F$1979&amp;BD!$M$15:$M$1979&amp;BD!$N$15:$N$1979,0)),"")</f>
        <v>17.5</v>
      </c>
      <c r="M23" s="160" t="str">
        <f t="array" ref="M23">IFERROR(INDEX(BD!$H$15:$H$1979,MATCH('Tab1'!E23&amp;'Tab1'!$L$11&amp;'Tab1'!$M$12,BD!$F$15:$F$1979&amp;BD!$M$15:$M$1979&amp;BD!$N$15:$N$1979,0)),"")</f>
        <v/>
      </c>
      <c r="N23" s="160">
        <f t="array" ref="N23">IFERROR(INDEX(BD!$H$15:$H$1979,MATCH('Tab1'!E23&amp;'Tab1'!$L$11&amp;'Tab1'!$N$12,BD!$F$15:$F$1979&amp;BD!$M$15:$M$1979&amp;BD!$N$15:$N$1979,0)),"")</f>
        <v>19.5</v>
      </c>
      <c r="O23" s="160"/>
      <c r="P23" s="160"/>
      <c r="Q23" s="160"/>
      <c r="R23" s="30"/>
      <c r="S23" s="30"/>
      <c r="T23" s="30"/>
      <c r="U23" s="30"/>
      <c r="V23" s="30"/>
      <c r="W23" s="30"/>
    </row>
    <row r="24" spans="1:23" x14ac:dyDescent="0.25">
      <c r="A24" s="41"/>
      <c r="B24" s="41"/>
      <c r="C24" s="128" t="str">
        <f>'Cad1'!F25</f>
        <v>Creme Culinário TP BRAVO - 1L</v>
      </c>
      <c r="D24" s="30"/>
      <c r="E24" s="30" t="str">
        <f t="shared" si="0"/>
        <v>Creme Culinário TP BRAVO - 1L</v>
      </c>
      <c r="F24" s="160">
        <f t="array" ref="F24">IFERROR(INDEX(BD!$H$15:$H$1979,MATCH('Tab1'!E24&amp;'Tab1'!$F$11:$H$11&amp;'Tab1'!$F$12,BD!$F$15:$F$1979&amp;BD!$M$15:$M$1979&amp;BD!$N$15:$N$1979,0)),"")</f>
        <v>10.5</v>
      </c>
      <c r="G24" s="160" t="str">
        <f t="array" ref="G24">IFERROR(INDEX(BD!$H$15:$H$1979,MATCH('Tab1'!E24&amp;'Tab1'!$F$11:$H$11&amp;$G$12,BD!$F$15:$F$1979&amp;BD!$M$15:$M$1979&amp;BD!$N$15:$N$1979,0)),"")</f>
        <v/>
      </c>
      <c r="H24" s="160">
        <f t="array" ref="H24">IFERROR(INDEX(BD!$H$15:$H$1979,MATCH('Tab1'!E24&amp;'Tab1'!$F$11:$H$11&amp;'Tab1'!$H$12,BD!$F$15:$F$1979&amp;BD!$M$15:$M$1979&amp;BD!$N$15:$N$1979,0)),"")</f>
        <v>12</v>
      </c>
      <c r="I24" s="160">
        <f t="array" ref="I24">IFERROR(INDEX(BD!$H$15:$H$1979,MATCH('Tab1'!E24&amp;'Tab1'!$I$11&amp;'Tab1'!$I$12,BD!$F$15:$F$1979&amp;BD!$M$15:$M$1979&amp;BD!$N$15:$N$1979,0)),"")</f>
        <v>11</v>
      </c>
      <c r="J24" s="160" t="str">
        <f t="array" ref="J24">IFERROR(INDEX(BD!$H$15:$H$1979,MATCH('Tab1'!E24&amp;'Tab1'!$I$11&amp;'Tab1'!$J$12,BD!$F$15:$F$1979&amp;BD!$M$15:$M$1979&amp;BD!$N$15:$N$1979,0)),"")</f>
        <v/>
      </c>
      <c r="K24" s="160">
        <f t="array" ref="K24">IFERROR(INDEX(BD!$H$15:$H$1979,MATCH('Tab1'!E24&amp;'Tab1'!$I$11&amp;'Tab1'!$K$12,BD!$F$15:$F$1979&amp;BD!$M$15:$M$1979&amp;BD!$N$15:$N$1979,0)),"")</f>
        <v>12.5</v>
      </c>
      <c r="L24" s="160">
        <f t="array" ref="L24">IFERROR(INDEX(BD!$H$15:$H$1979,MATCH('Tab1'!E24&amp;'Tab1'!$L$11&amp;'Tab1'!$L$12,BD!$F$15:$F$1979&amp;BD!$M$15:$M$1979&amp;BD!$N$15:$N$1979,0)),"")</f>
        <v>11.5</v>
      </c>
      <c r="M24" s="160" t="str">
        <f t="array" ref="M24">IFERROR(INDEX(BD!$H$15:$H$1979,MATCH('Tab1'!E24&amp;'Tab1'!$L$11&amp;'Tab1'!$M$12,BD!$F$15:$F$1979&amp;BD!$M$15:$M$1979&amp;BD!$N$15:$N$1979,0)),"")</f>
        <v/>
      </c>
      <c r="N24" s="160">
        <f t="array" ref="N24">IFERROR(INDEX(BD!$H$15:$H$1979,MATCH('Tab1'!E24&amp;'Tab1'!$L$11&amp;'Tab1'!$N$12,BD!$F$15:$F$1979&amp;BD!$M$15:$M$1979&amp;BD!$N$15:$N$1979,0)),"")</f>
        <v>13</v>
      </c>
      <c r="O24" s="160"/>
      <c r="P24" s="160"/>
      <c r="Q24" s="160"/>
      <c r="R24" s="30"/>
      <c r="S24" s="30"/>
      <c r="T24" s="30"/>
      <c r="U24" s="30"/>
      <c r="V24" s="30"/>
      <c r="W24" s="30"/>
    </row>
    <row r="25" spans="1:23" ht="15" customHeight="1" x14ac:dyDescent="0.25">
      <c r="A25" s="41"/>
      <c r="B25" s="60"/>
      <c r="C25" s="128" t="str">
        <f>'Cad1'!F26</f>
        <v>Chantilly TP BRAVO - 1L (Simples)</v>
      </c>
      <c r="D25" s="30"/>
      <c r="E25" s="30" t="str">
        <f t="shared" si="0"/>
        <v>Chantilly TP BRAVO - 1L (Simples)</v>
      </c>
      <c r="F25" s="160"/>
      <c r="G25" s="160" t="str">
        <f t="array" ref="G25">IFERROR(INDEX(BD!$H$15:$H$1979,MATCH('Tab1'!E25&amp;'Tab1'!$F$11:$H$11&amp;$G$12,BD!$F$15:$F$1979&amp;BD!$M$15:$M$1979&amp;BD!$N$15:$N$1979,0)),"")</f>
        <v/>
      </c>
      <c r="H25" s="160">
        <f t="array" ref="H25">IFERROR(INDEX(BD!$H$15:$H$1979,MATCH('Tab1'!E25&amp;'Tab1'!$F$11:$H$11&amp;'Tab1'!$H$12,BD!$F$15:$F$1979&amp;BD!$M$15:$M$1979&amp;BD!$N$15:$N$1979,0)),"")</f>
        <v>20.5</v>
      </c>
      <c r="I25" s="160"/>
      <c r="J25" s="160" t="str">
        <f t="array" ref="J25">IFERROR(INDEX(BD!$H$15:$H$1979,MATCH('Tab1'!E25&amp;'Tab1'!$I$11&amp;'Tab1'!$J$12,BD!$F$15:$F$1979&amp;BD!$M$15:$M$1979&amp;BD!$N$15:$N$1979,0)),"")</f>
        <v/>
      </c>
      <c r="K25" s="160">
        <f t="array" ref="K25">IFERROR(INDEX(BD!$H$15:$H$1979,MATCH('Tab1'!E25&amp;'Tab1'!$I$11&amp;'Tab1'!$K$12,BD!$F$15:$F$1979&amp;BD!$M$15:$M$1979&amp;BD!$N$15:$N$1979,0)),"")</f>
        <v>21.5</v>
      </c>
      <c r="L25" s="160"/>
      <c r="M25" s="160" t="str">
        <f t="array" ref="M25">IFERROR(INDEX(BD!$H$15:$H$1979,MATCH('Tab1'!E25&amp;'Tab1'!$L$11&amp;'Tab1'!$M$12,BD!$F$15:$F$1979&amp;BD!$M$15:$M$1979&amp;BD!$N$15:$N$1979,0)),"")</f>
        <v/>
      </c>
      <c r="N25" s="160">
        <f t="array" ref="N25">IFERROR(INDEX(BD!$H$15:$H$1979,MATCH('Tab1'!E25&amp;'Tab1'!$L$11&amp;'Tab1'!$N$12,BD!$F$15:$F$1979&amp;BD!$M$15:$M$1979&amp;BD!$N$15:$N$1979,0)),"")</f>
        <v>22.5</v>
      </c>
      <c r="O25" s="160"/>
      <c r="P25" s="160"/>
      <c r="Q25" s="160"/>
      <c r="R25" s="30"/>
      <c r="S25" s="30"/>
      <c r="T25" s="30"/>
      <c r="U25" s="30"/>
      <c r="V25" s="30"/>
      <c r="W25" s="30"/>
    </row>
    <row r="26" spans="1:23" ht="16.5" x14ac:dyDescent="0.25">
      <c r="A26" s="41"/>
      <c r="B26" s="60"/>
      <c r="C26" s="128" t="str">
        <f>'Cad1'!F27</f>
        <v>Creme Culinário TP BRAVO - 1L (Simples)</v>
      </c>
      <c r="D26" s="30"/>
      <c r="E26" s="30" t="str">
        <f t="shared" si="0"/>
        <v>Creme Culinário TP BRAVO - 1L (Simples)</v>
      </c>
      <c r="F26" s="160"/>
      <c r="G26" s="160" t="str">
        <f t="array" ref="G26">IFERROR(INDEX(BD!$H$15:$H$1979,MATCH('Tab1'!E26&amp;'Tab1'!$F$11:$H$11&amp;$G$12,BD!$F$15:$F$1979&amp;BD!$M$15:$M$1979&amp;BD!$N$15:$N$1979,0)),"")</f>
        <v/>
      </c>
      <c r="H26" s="160">
        <f t="array" ref="H26">IFERROR(INDEX(BD!$H$15:$H$1979,MATCH('Tab1'!E26&amp;'Tab1'!$F$11:$H$11&amp;'Tab1'!$H$12,BD!$F$15:$F$1979&amp;BD!$M$15:$M$1979&amp;BD!$N$15:$N$1979,0)),"")</f>
        <v>14</v>
      </c>
      <c r="I26" s="160"/>
      <c r="J26" s="160" t="str">
        <f t="array" ref="J26">IFERROR(INDEX(BD!$H$15:$H$1979,MATCH('Tab1'!E26&amp;'Tab1'!$I$11&amp;'Tab1'!$J$12,BD!$F$15:$F$1979&amp;BD!$M$15:$M$1979&amp;BD!$N$15:$N$1979,0)),"")</f>
        <v/>
      </c>
      <c r="K26" s="160">
        <f t="array" ref="K26">IFERROR(INDEX(BD!$H$15:$H$1979,MATCH('Tab1'!E26&amp;'Tab1'!$I$11&amp;'Tab1'!$K$12,BD!$F$15:$F$1979&amp;BD!$M$15:$M$1979&amp;BD!$N$15:$N$1979,0)),"")</f>
        <v>15</v>
      </c>
      <c r="L26" s="160"/>
      <c r="M26" s="160" t="str">
        <f t="array" ref="M26">IFERROR(INDEX(BD!$H$15:$H$1979,MATCH('Tab1'!E26&amp;'Tab1'!$L$11&amp;'Tab1'!$M$12,BD!$F$15:$F$1979&amp;BD!$M$15:$M$1979&amp;BD!$N$15:$N$1979,0)),"")</f>
        <v/>
      </c>
      <c r="N26" s="160">
        <f t="array" ref="N26">IFERROR(INDEX(BD!$H$15:$H$1979,MATCH('Tab1'!E26&amp;'Tab1'!$L$11&amp;'Tab1'!$N$12,BD!$F$15:$F$1979&amp;BD!$M$15:$M$1979&amp;BD!$N$15:$N$1979,0)),"")</f>
        <v>16</v>
      </c>
      <c r="O26" s="160"/>
      <c r="P26" s="160"/>
      <c r="Q26" s="160"/>
      <c r="R26" s="30"/>
      <c r="S26" s="30"/>
      <c r="T26" s="30"/>
      <c r="U26" s="30"/>
      <c r="V26" s="30"/>
      <c r="W26" s="30"/>
    </row>
    <row r="27" spans="1:23" ht="16.5" x14ac:dyDescent="0.25">
      <c r="A27" s="41"/>
      <c r="B27" s="141"/>
      <c r="C27" s="128" t="str">
        <f>'Cad1'!F28</f>
        <v>Marshmallow 500g</v>
      </c>
      <c r="D27" s="30"/>
      <c r="E27" s="30" t="str">
        <f t="shared" si="0"/>
        <v>Marshmallow 500g</v>
      </c>
      <c r="F27" s="160">
        <f t="array" ref="F27">IFERROR(INDEX(BD!$H$15:$H$1979,MATCH('Tab1'!E27&amp;'Tab1'!$F$11:$H$11&amp;'Tab1'!$F$12,BD!$F$15:$F$1979&amp;BD!$M$15:$M$1979&amp;BD!$N$15:$N$1979,0)),"")</f>
        <v>12</v>
      </c>
      <c r="G27" s="160">
        <f t="array" ref="G27">IFERROR(INDEX(BD!$H$15:$H$1979,MATCH('Tab1'!E27&amp;'Tab1'!$F$11:$H$11&amp;$G$12,BD!$F$15:$F$1979&amp;BD!$M$15:$M$1979&amp;BD!$N$15:$N$1979,0)),"")</f>
        <v>13</v>
      </c>
      <c r="H27" s="160">
        <f t="array" ref="H27">IFERROR(INDEX(BD!$H$15:$H$1979,MATCH('Tab1'!E27&amp;'Tab1'!$F$11:$H$11&amp;'Tab1'!$H$12,BD!$F$15:$F$1979&amp;BD!$M$15:$M$1979&amp;BD!$N$15:$N$1979,0)),"")</f>
        <v>15.5</v>
      </c>
      <c r="I27" s="160">
        <f t="array" ref="I27">IFERROR(INDEX(BD!$H$15:$H$1979,MATCH('Tab1'!E27&amp;'Tab1'!$I$11&amp;'Tab1'!$I$12,BD!$F$15:$F$1979&amp;BD!$M$15:$M$1979&amp;BD!$N$15:$N$1979,0)),"")</f>
        <v>12.5</v>
      </c>
      <c r="J27" s="160">
        <f t="array" ref="J27">IFERROR(INDEX(BD!$H$15:$H$1979,MATCH('Tab1'!E27&amp;'Tab1'!$I$11&amp;'Tab1'!$J$12,BD!$F$15:$F$1979&amp;BD!$M$15:$M$1979&amp;BD!$N$15:$N$1979,0)),"")</f>
        <v>13.5</v>
      </c>
      <c r="K27" s="160">
        <f t="array" ref="K27">IFERROR(INDEX(BD!$H$15:$H$1979,MATCH('Tab1'!E27&amp;'Tab1'!$I$11&amp;'Tab1'!$K$12,BD!$F$15:$F$1979&amp;BD!$M$15:$M$1979&amp;BD!$N$15:$N$1979,0)),"")</f>
        <v>16</v>
      </c>
      <c r="L27" s="160">
        <f t="array" ref="L27">IFERROR(INDEX(BD!$H$15:$H$1979,MATCH('Tab1'!E27&amp;'Tab1'!$L$11&amp;'Tab1'!$L$12,BD!$F$15:$F$1979&amp;BD!$M$15:$M$1979&amp;BD!$N$15:$N$1979,0)),"")</f>
        <v>13</v>
      </c>
      <c r="M27" s="160">
        <f t="array" ref="M27">IFERROR(INDEX(BD!$H$15:$H$1979,MATCH('Tab1'!E27&amp;'Tab1'!$L$11&amp;'Tab1'!$M$12,BD!$F$15:$F$1979&amp;BD!$M$15:$M$1979&amp;BD!$N$15:$N$1979,0)),"")</f>
        <v>14</v>
      </c>
      <c r="N27" s="160">
        <f t="array" ref="N27">IFERROR(INDEX(BD!$H$15:$H$1979,MATCH('Tab1'!E27&amp;'Tab1'!$L$11&amp;'Tab1'!$N$12,BD!$F$15:$F$1979&amp;BD!$M$15:$M$1979&amp;BD!$N$15:$N$1979,0)),"")</f>
        <v>16.5</v>
      </c>
      <c r="O27" s="160"/>
      <c r="P27" s="160"/>
      <c r="Q27" s="160"/>
      <c r="R27" s="30"/>
      <c r="S27" s="30"/>
      <c r="T27" s="30"/>
      <c r="U27" s="30"/>
      <c r="V27" s="30"/>
      <c r="W27" s="30"/>
    </row>
    <row r="28" spans="1:23" ht="15" customHeight="1" x14ac:dyDescent="0.25">
      <c r="A28" s="41"/>
      <c r="B28" s="148"/>
      <c r="C28" s="128" t="str">
        <f>'Cad1'!F29</f>
        <v>Marshmallow 1kg</v>
      </c>
      <c r="D28" s="30"/>
      <c r="E28" s="30" t="str">
        <f t="shared" si="0"/>
        <v>Marshmallow 1kg</v>
      </c>
      <c r="F28" s="160">
        <f t="array" ref="F28">IFERROR(INDEX(BD!$H$15:$H$1979,MATCH('Tab1'!E28&amp;'Tab1'!$F$11:$H$11&amp;'Tab1'!$F$12,BD!$F$15:$F$1979&amp;BD!$M$15:$M$1979&amp;BD!$N$15:$N$1979,0)),"")</f>
        <v>21.5</v>
      </c>
      <c r="G28" s="160">
        <f t="array" ref="G28">IFERROR(INDEX(BD!$H$15:$H$1979,MATCH('Tab1'!E28&amp;'Tab1'!$F$11:$H$11&amp;$G$12,BD!$F$15:$F$1979&amp;BD!$M$15:$M$1979&amp;BD!$N$15:$N$1979,0)),"")</f>
        <v>23</v>
      </c>
      <c r="H28" s="160">
        <f t="array" ref="H28">IFERROR(INDEX(BD!$H$15:$H$1979,MATCH('Tab1'!E28&amp;'Tab1'!$F$11:$H$11&amp;'Tab1'!$H$12,BD!$F$15:$F$1979&amp;BD!$M$15:$M$1979&amp;BD!$N$15:$N$1979,0)),"")</f>
        <v>27</v>
      </c>
      <c r="I28" s="160">
        <f t="array" ref="I28">IFERROR(INDEX(BD!$H$15:$H$1979,MATCH('Tab1'!E28&amp;'Tab1'!$I$11&amp;'Tab1'!$I$12,BD!$F$15:$F$1979&amp;BD!$M$15:$M$1979&amp;BD!$N$15:$N$1979,0)),"")</f>
        <v>22</v>
      </c>
      <c r="J28" s="160">
        <f t="array" ref="J28">IFERROR(INDEX(BD!$H$15:$H$1979,MATCH('Tab1'!E28&amp;'Tab1'!$I$11&amp;'Tab1'!$J$12,BD!$F$15:$F$1979&amp;BD!$M$15:$M$1979&amp;BD!$N$15:$N$1979,0)),"")</f>
        <v>23.5</v>
      </c>
      <c r="K28" s="160">
        <f t="array" ref="K28">IFERROR(INDEX(BD!$H$15:$H$1979,MATCH('Tab1'!E28&amp;'Tab1'!$I$11&amp;'Tab1'!$K$12,BD!$F$15:$F$1979&amp;BD!$M$15:$M$1979&amp;BD!$N$15:$N$1979,0)),"")</f>
        <v>27.5</v>
      </c>
      <c r="L28" s="160">
        <f t="array" ref="L28">IFERROR(INDEX(BD!$H$15:$H$1979,MATCH('Tab1'!E28&amp;'Tab1'!$L$11&amp;'Tab1'!$L$12,BD!$F$15:$F$1979&amp;BD!$M$15:$M$1979&amp;BD!$N$15:$N$1979,0)),"")</f>
        <v>22.5</v>
      </c>
      <c r="M28" s="160">
        <f t="array" ref="M28">IFERROR(INDEX(BD!$H$15:$H$1979,MATCH('Tab1'!E28&amp;'Tab1'!$L$11&amp;'Tab1'!$M$12,BD!$F$15:$F$1979&amp;BD!$M$15:$M$1979&amp;BD!$N$15:$N$1979,0)),"")</f>
        <v>24</v>
      </c>
      <c r="N28" s="160">
        <f t="array" ref="N28">IFERROR(INDEX(BD!$H$15:$H$1979,MATCH('Tab1'!E28&amp;'Tab1'!$L$11&amp;'Tab1'!$N$12,BD!$F$15:$F$1979&amp;BD!$M$15:$M$1979&amp;BD!$N$15:$N$1979,0)),"")</f>
        <v>28</v>
      </c>
      <c r="O28" s="160"/>
      <c r="P28" s="160"/>
      <c r="Q28" s="160"/>
      <c r="R28" s="30"/>
      <c r="S28" s="30"/>
      <c r="T28" s="30"/>
      <c r="U28" s="30"/>
      <c r="V28" s="30"/>
      <c r="W28" s="30"/>
    </row>
    <row r="29" spans="1:23" x14ac:dyDescent="0.25">
      <c r="A29" s="41"/>
      <c r="B29" s="62"/>
      <c r="C29" s="128" t="str">
        <f>'Cad1'!F31</f>
        <v>Coco Fresco 250g</v>
      </c>
      <c r="D29" s="30"/>
      <c r="E29" s="30" t="str">
        <f>IF(C29=0,"",C29)</f>
        <v>Coco Fresco 250g</v>
      </c>
      <c r="F29" s="160">
        <f t="array" ref="F29">IFERROR(INDEX(BD!$H$15:$H$1979,MATCH('Tab1'!E29&amp;'Tab1'!$F$11:$H$11&amp;'Tab1'!$F$12,BD!$F$15:$F$1979&amp;BD!$M$15:$M$1979&amp;BD!$N$15:$N$1979,0)),"")</f>
        <v>5.6</v>
      </c>
      <c r="G29" s="160">
        <f t="array" ref="G29">IFERROR(INDEX(BD!$H$15:$H$1979,MATCH('Tab1'!E29&amp;'Tab1'!$F$11:$H$11&amp;$G$12,BD!$F$15:$F$1979&amp;BD!$M$15:$M$1979&amp;BD!$N$15:$N$1979,0)),"")</f>
        <v>6</v>
      </c>
      <c r="H29" s="160">
        <f t="array" ref="H29">IFERROR(INDEX(BD!$H$15:$H$1979,MATCH('Tab1'!E29&amp;'Tab1'!$F$11:$H$11&amp;'Tab1'!$H$12,BD!$F$15:$F$1979&amp;BD!$M$15:$M$1979&amp;BD!$N$15:$N$1979,0)),"")</f>
        <v>6.5</v>
      </c>
      <c r="I29" s="160">
        <f t="array" ref="I29">IFERROR(INDEX(BD!$H$15:$H$1979,MATCH('Tab1'!E29&amp;'Tab1'!$I$11&amp;'Tab1'!$I$12,BD!$F$15:$F$1979&amp;BD!$M$15:$M$1979&amp;BD!$N$15:$N$1979,0)),"")</f>
        <v>5.8</v>
      </c>
      <c r="J29" s="160">
        <f t="array" ref="J29">IFERROR(INDEX(BD!$H$15:$H$1979,MATCH('Tab1'!E29&amp;'Tab1'!$I$11&amp;'Tab1'!$J$12,BD!$F$15:$F$1979&amp;BD!$M$15:$M$1979&amp;BD!$N$15:$N$1979,0)),"")</f>
        <v>6.3</v>
      </c>
      <c r="K29" s="160">
        <f t="array" ref="K29">IFERROR(INDEX(BD!$H$15:$H$1979,MATCH('Tab1'!E29&amp;'Tab1'!$I$11&amp;'Tab1'!$K$12,BD!$F$15:$F$1979&amp;BD!$M$15:$M$1979&amp;BD!$N$15:$N$1979,0)),"")</f>
        <v>6.8</v>
      </c>
      <c r="L29" s="160">
        <f t="array" ref="L29">IFERROR(INDEX(BD!$H$15:$H$1979,MATCH('Tab1'!E29&amp;'Tab1'!$L$11&amp;'Tab1'!$L$12,BD!$F$15:$F$1979&amp;BD!$M$15:$M$1979&amp;BD!$N$15:$N$1979,0)),"")</f>
        <v>6</v>
      </c>
      <c r="M29" s="160">
        <f t="array" ref="M29">IFERROR(INDEX(BD!$H$15:$H$1979,MATCH('Tab1'!E29&amp;'Tab1'!$L$11&amp;'Tab1'!$M$12,BD!$F$15:$F$1979&amp;BD!$M$15:$M$1979&amp;BD!$N$15:$N$1979,0)),"")</f>
        <v>6.5</v>
      </c>
      <c r="N29" s="160">
        <f t="array" ref="N29">IFERROR(INDEX(BD!$H$15:$H$1979,MATCH('Tab1'!E29&amp;'Tab1'!$L$11&amp;'Tab1'!$N$12,BD!$F$15:$F$1979&amp;BD!$M$15:$M$1979&amp;BD!$N$15:$N$1979,0)),"")</f>
        <v>7</v>
      </c>
      <c r="O29" s="160"/>
      <c r="P29" s="160"/>
      <c r="Q29" s="160"/>
      <c r="R29" s="30"/>
      <c r="S29" s="30"/>
      <c r="T29" s="30"/>
      <c r="U29" s="30"/>
      <c r="V29" s="30"/>
      <c r="W29" s="30"/>
    </row>
    <row r="30" spans="1:23" x14ac:dyDescent="0.25">
      <c r="A30" s="41"/>
      <c r="B30" s="41"/>
      <c r="C30" s="128" t="str">
        <f>'Cad1'!F32</f>
        <v>Coco Fresco 500g</v>
      </c>
      <c r="D30" s="30"/>
      <c r="E30" s="30" t="str">
        <f t="shared" si="0"/>
        <v>Coco Fresco 500g</v>
      </c>
      <c r="F30" s="160">
        <f t="array" ref="F30">IFERROR(INDEX(BD!$H$15:$H$1979,MATCH('Tab1'!E30&amp;'Tab1'!$F$11:$H$11&amp;'Tab1'!$F$12,BD!$F$15:$F$1979&amp;BD!$M$15:$M$1979&amp;BD!$N$15:$N$1979,0)),"")</f>
        <v>10.5</v>
      </c>
      <c r="G30" s="160">
        <f t="array" ref="G30">IFERROR(INDEX(BD!$H$15:$H$1979,MATCH('Tab1'!E30&amp;'Tab1'!$F$11:$H$11&amp;$G$12,BD!$F$15:$F$1979&amp;BD!$M$15:$M$1979&amp;BD!$N$15:$N$1979,0)),"")</f>
        <v>11.5</v>
      </c>
      <c r="H30" s="160">
        <f t="array" ref="H30">IFERROR(INDEX(BD!$H$15:$H$1979,MATCH('Tab1'!E30&amp;'Tab1'!$F$11:$H$11&amp;'Tab1'!$H$12,BD!$F$15:$F$1979&amp;BD!$M$15:$M$1979&amp;BD!$N$15:$N$1979,0)),"")</f>
        <v>12.5</v>
      </c>
      <c r="I30" s="160">
        <f t="array" ref="I30">IFERROR(INDEX(BD!$H$15:$H$1979,MATCH('Tab1'!E30&amp;'Tab1'!$I$11&amp;'Tab1'!$I$12,BD!$F$15:$F$1979&amp;BD!$M$15:$M$1979&amp;BD!$N$15:$N$1979,0)),"")</f>
        <v>10.8</v>
      </c>
      <c r="J30" s="160">
        <f t="array" ref="J30">IFERROR(INDEX(BD!$H$15:$H$1979,MATCH('Tab1'!E30&amp;'Tab1'!$I$11&amp;'Tab1'!$J$12,BD!$F$15:$F$1979&amp;BD!$M$15:$M$1979&amp;BD!$N$15:$N$1979,0)),"")</f>
        <v>11.8</v>
      </c>
      <c r="K30" s="160">
        <f t="array" ref="K30">IFERROR(INDEX(BD!$H$15:$H$1979,MATCH('Tab1'!E30&amp;'Tab1'!$I$11&amp;'Tab1'!$K$12,BD!$F$15:$F$1979&amp;BD!$M$15:$M$1979&amp;BD!$N$15:$N$1979,0)),"")</f>
        <v>12.8</v>
      </c>
      <c r="L30" s="160">
        <f t="array" ref="L30">IFERROR(INDEX(BD!$H$15:$H$1979,MATCH('Tab1'!E30&amp;'Tab1'!$L$11&amp;'Tab1'!$L$12,BD!$F$15:$F$1979&amp;BD!$M$15:$M$1979&amp;BD!$N$15:$N$1979,0)),"")</f>
        <v>11</v>
      </c>
      <c r="M30" s="160">
        <f t="array" ref="M30">IFERROR(INDEX(BD!$H$15:$H$1979,MATCH('Tab1'!E30&amp;'Tab1'!$L$11&amp;'Tab1'!$M$12,BD!$F$15:$F$1979&amp;BD!$M$15:$M$1979&amp;BD!$N$15:$N$1979,0)),"")</f>
        <v>12</v>
      </c>
      <c r="N30" s="160">
        <f t="array" ref="N30">IFERROR(INDEX(BD!$H$15:$H$1979,MATCH('Tab1'!E30&amp;'Tab1'!$L$11&amp;'Tab1'!$N$12,BD!$F$15:$F$1979&amp;BD!$M$15:$M$1979&amp;BD!$N$15:$N$1979,0)),"")</f>
        <v>13</v>
      </c>
      <c r="O30" s="160"/>
      <c r="P30" s="160"/>
      <c r="Q30" s="160"/>
      <c r="R30" s="30"/>
      <c r="S30" s="30"/>
      <c r="T30" s="30"/>
      <c r="U30" s="30"/>
      <c r="V30" s="30"/>
      <c r="W30" s="30"/>
    </row>
    <row r="31" spans="1:23" x14ac:dyDescent="0.25">
      <c r="A31" s="41"/>
      <c r="B31" s="41"/>
      <c r="C31" s="128" t="str">
        <f>'Cad1'!F33</f>
        <v>Coco Fresco 1kg</v>
      </c>
      <c r="D31" s="30"/>
      <c r="E31" s="30" t="str">
        <f t="shared" si="0"/>
        <v>Coco Fresco 1kg</v>
      </c>
      <c r="F31" s="160">
        <f t="array" ref="F31">IFERROR(INDEX(BD!$H$15:$H$1979,MATCH('Tab1'!E31&amp;'Tab1'!$F$11:$H$11&amp;'Tab1'!$F$12,BD!$F$15:$F$1979&amp;BD!$M$15:$M$1979&amp;BD!$N$15:$N$1979,0)),"")</f>
        <v>20.5</v>
      </c>
      <c r="G31" s="160">
        <f t="array" ref="G31">IFERROR(INDEX(BD!$H$15:$H$1979,MATCH('Tab1'!E31&amp;'Tab1'!$F$11:$H$11&amp;$G$12,BD!$F$15:$F$1979&amp;BD!$M$15:$M$1979&amp;BD!$N$15:$N$1979,0)),"")</f>
        <v>22.5</v>
      </c>
      <c r="H31" s="160">
        <f t="array" ref="H31">IFERROR(INDEX(BD!$H$15:$H$1979,MATCH('Tab1'!E31&amp;'Tab1'!$F$11:$H$11&amp;'Tab1'!$H$12,BD!$F$15:$F$1979&amp;BD!$M$15:$M$1979&amp;BD!$N$15:$N$1979,0)),"")</f>
        <v>24.5</v>
      </c>
      <c r="I31" s="160">
        <f t="array" ref="I31">IFERROR(INDEX(BD!$H$15:$H$1979,MATCH('Tab1'!E31&amp;'Tab1'!$I$11&amp;'Tab1'!$I$12,BD!$F$15:$F$1979&amp;BD!$M$15:$M$1979&amp;BD!$N$15:$N$1979,0)),"")</f>
        <v>21</v>
      </c>
      <c r="J31" s="160">
        <f t="array" ref="J31">IFERROR(INDEX(BD!$H$15:$H$1979,MATCH('Tab1'!E31&amp;'Tab1'!$I$11&amp;'Tab1'!$J$12,BD!$F$15:$F$1979&amp;BD!$M$15:$M$1979&amp;BD!$N$15:$N$1979,0)),"")</f>
        <v>23</v>
      </c>
      <c r="K31" s="160">
        <f t="array" ref="K31">IFERROR(INDEX(BD!$H$15:$H$1979,MATCH('Tab1'!E31&amp;'Tab1'!$I$11&amp;'Tab1'!$K$12,BD!$F$15:$F$1979&amp;BD!$M$15:$M$1979&amp;BD!$N$15:$N$1979,0)),"")</f>
        <v>25</v>
      </c>
      <c r="L31" s="160">
        <f t="array" ref="L31">IFERROR(INDEX(BD!$H$15:$H$1979,MATCH('Tab1'!E31&amp;'Tab1'!$L$11&amp;'Tab1'!$L$12,BD!$F$15:$F$1979&amp;BD!$M$15:$M$1979&amp;BD!$N$15:$N$1979,0)),"")</f>
        <v>21.5</v>
      </c>
      <c r="M31" s="160">
        <f t="array" ref="M31">IFERROR(INDEX(BD!$H$15:$H$1979,MATCH('Tab1'!E31&amp;'Tab1'!$L$11&amp;'Tab1'!$M$12,BD!$F$15:$F$1979&amp;BD!$M$15:$M$1979&amp;BD!$N$15:$N$1979,0)),"")</f>
        <v>23.5</v>
      </c>
      <c r="N31" s="160">
        <f t="array" ref="N31">IFERROR(INDEX(BD!$H$15:$H$1979,MATCH('Tab1'!E31&amp;'Tab1'!$L$11&amp;'Tab1'!$N$12,BD!$F$15:$F$1979&amp;BD!$M$15:$M$1979&amp;BD!$N$15:$N$1979,0)),"")</f>
        <v>25.5</v>
      </c>
      <c r="O31" s="160"/>
      <c r="P31" s="160"/>
      <c r="Q31" s="160"/>
      <c r="R31" s="30"/>
      <c r="S31" s="30"/>
      <c r="T31" s="30"/>
      <c r="U31" s="30"/>
      <c r="V31" s="30"/>
      <c r="W31" s="30"/>
    </row>
    <row r="32" spans="1:23" x14ac:dyDescent="0.25">
      <c r="A32" s="41"/>
      <c r="B32" s="41"/>
      <c r="C32" s="128" t="str">
        <f>'Cad1'!F34</f>
        <v>Coco Fresco FITA 1kg</v>
      </c>
      <c r="D32" s="30"/>
      <c r="E32" s="30" t="str">
        <f t="shared" si="0"/>
        <v>Coco Fresco FITA 1kg</v>
      </c>
      <c r="F32" s="160" t="str">
        <f t="array" ref="F32">IFERROR(INDEX(BD!$H$15:$H$1979,MATCH('Tab1'!E32&amp;'Tab1'!$F$11:$H$11&amp;'Tab1'!$F$12,BD!$F$15:$F$1979&amp;BD!$M$15:$M$1979&amp;BD!$N$15:$N$1979,0)),"")</f>
        <v/>
      </c>
      <c r="G32" s="160" t="str">
        <f t="array" ref="G32">IFERROR(INDEX(BD!$H$15:$H$1979,MATCH('Tab1'!E32&amp;'Tab1'!$F$11:$H$11&amp;$G$12,BD!$F$15:$F$1979&amp;BD!$M$15:$M$1979&amp;BD!$N$15:$N$1979,0)),"")</f>
        <v/>
      </c>
      <c r="H32" s="160" t="str">
        <f t="array" ref="H32">IFERROR(INDEX(BD!$H$15:$H$1979,MATCH('Tab1'!E32&amp;'Tab1'!$F$11:$H$11&amp;'Tab1'!$H$12,BD!$F$15:$F$1979&amp;BD!$M$15:$M$1979&amp;BD!$N$15:$N$1979,0)),"")</f>
        <v/>
      </c>
      <c r="I32" s="160" t="str">
        <f t="array" ref="I32">IFERROR(INDEX(BD!$H$15:$H$1979,MATCH('Tab1'!E32&amp;'Tab1'!$I$11&amp;'Tab1'!$I$12,BD!$F$15:$F$1979&amp;BD!$M$15:$M$1979&amp;BD!$N$15:$N$1979,0)),"")</f>
        <v/>
      </c>
      <c r="J32" s="160" t="str">
        <f t="array" ref="J32">IFERROR(INDEX(BD!$H$15:$H$1979,MATCH('Tab1'!E32&amp;'Tab1'!$I$11&amp;'Tab1'!$J$12,BD!$F$15:$F$1979&amp;BD!$M$15:$M$1979&amp;BD!$N$15:$N$1979,0)),"")</f>
        <v/>
      </c>
      <c r="K32" s="160" t="str">
        <f t="array" ref="K32">IFERROR(INDEX(BD!$H$15:$H$1979,MATCH('Tab1'!E32&amp;'Tab1'!$I$11&amp;'Tab1'!$K$12,BD!$F$15:$F$1979&amp;BD!$M$15:$M$1979&amp;BD!$N$15:$N$1979,0)),"")</f>
        <v/>
      </c>
      <c r="L32" s="160" t="str">
        <f t="array" ref="L32">IFERROR(INDEX(BD!$H$15:$H$1979,MATCH('Tab1'!E32&amp;'Tab1'!$L$11&amp;'Tab1'!$L$12,BD!$F$15:$F$1979&amp;BD!$M$15:$M$1979&amp;BD!$N$15:$N$1979,0)),"")</f>
        <v/>
      </c>
      <c r="M32" s="160" t="str">
        <f t="array" ref="M32">IFERROR(INDEX(BD!$H$15:$H$1979,MATCH('Tab1'!E32&amp;'Tab1'!$L$11&amp;'Tab1'!$M$12,BD!$F$15:$F$1979&amp;BD!$M$15:$M$1979&amp;BD!$N$15:$N$1979,0)),"")</f>
        <v/>
      </c>
      <c r="N32" s="160" t="str">
        <f t="array" ref="N32">IFERROR(INDEX(BD!$H$15:$H$1979,MATCH('Tab1'!E32&amp;'Tab1'!$L$11&amp;'Tab1'!$N$12,BD!$F$15:$F$1979&amp;BD!$M$15:$M$1979&amp;BD!$N$15:$N$1979,0)),"")</f>
        <v/>
      </c>
      <c r="O32" s="160"/>
      <c r="P32" s="160"/>
      <c r="Q32" s="160"/>
      <c r="R32" s="30"/>
      <c r="S32" s="30"/>
      <c r="T32" s="30"/>
      <c r="U32" s="30"/>
      <c r="V32" s="30"/>
      <c r="W32" s="30"/>
    </row>
    <row r="33" spans="1:23" x14ac:dyDescent="0.25">
      <c r="A33" s="41"/>
      <c r="B33" s="41"/>
      <c r="C33" s="128" t="str">
        <f>'Cad1'!F35</f>
        <v>Coco Seco Fino 500g</v>
      </c>
      <c r="D33" s="30"/>
      <c r="E33" s="30" t="str">
        <f t="shared" si="0"/>
        <v>Coco Seco Fino 500g</v>
      </c>
      <c r="F33" s="160">
        <f t="array" ref="F33">IFERROR(INDEX(BD!$H$15:$H$1979,MATCH('Tab1'!E33&amp;'Tab1'!$F$11:$H$11&amp;'Tab1'!$F$12,BD!$F$15:$F$1979&amp;BD!$M$15:$M$1979&amp;BD!$N$15:$N$1979,0)),"")</f>
        <v>12</v>
      </c>
      <c r="G33" s="160" t="str">
        <f t="array" ref="G33">IFERROR(INDEX(BD!$H$15:$H$1979,MATCH('Tab1'!E33&amp;'Tab1'!$F$11:$H$11&amp;$G$12,BD!$F$15:$F$1979&amp;BD!$M$15:$M$1979&amp;BD!$N$15:$N$1979,0)),"")</f>
        <v/>
      </c>
      <c r="H33" s="160">
        <f t="array" ref="H33">IFERROR(INDEX(BD!$H$15:$H$1979,MATCH('Tab1'!E33&amp;'Tab1'!$F$11:$H$11&amp;'Tab1'!$H$12,BD!$F$15:$F$1979&amp;BD!$M$15:$M$1979&amp;BD!$N$15:$N$1979,0)),"")</f>
        <v>13</v>
      </c>
      <c r="I33" s="160">
        <f t="array" ref="I33">IFERROR(INDEX(BD!$H$15:$H$1979,MATCH('Tab1'!E33&amp;'Tab1'!$I$11&amp;'Tab1'!$I$12,BD!$F$15:$F$1979&amp;BD!$M$15:$M$1979&amp;BD!$N$15:$N$1979,0)),"")</f>
        <v>12.5</v>
      </c>
      <c r="J33" s="160" t="str">
        <f t="array" ref="J33">IFERROR(INDEX(BD!$H$15:$H$1979,MATCH('Tab1'!E33&amp;'Tab1'!$I$11&amp;'Tab1'!$J$12,BD!$F$15:$F$1979&amp;BD!$M$15:$M$1979&amp;BD!$N$15:$N$1979,0)),"")</f>
        <v/>
      </c>
      <c r="K33" s="160">
        <f t="array" ref="K33">IFERROR(INDEX(BD!$H$15:$H$1979,MATCH('Tab1'!E33&amp;'Tab1'!$I$11&amp;'Tab1'!$K$12,BD!$F$15:$F$1979&amp;BD!$M$15:$M$1979&amp;BD!$N$15:$N$1979,0)),"")</f>
        <v>13.5</v>
      </c>
      <c r="L33" s="160">
        <f t="array" ref="L33">IFERROR(INDEX(BD!$H$15:$H$1979,MATCH('Tab1'!E33&amp;'Tab1'!$L$11&amp;'Tab1'!$L$12,BD!$F$15:$F$1979&amp;BD!$M$15:$M$1979&amp;BD!$N$15:$N$1979,0)),"")</f>
        <v>13</v>
      </c>
      <c r="M33" s="160" t="str">
        <f t="array" ref="M33">IFERROR(INDEX(BD!$H$15:$H$1979,MATCH('Tab1'!E33&amp;'Tab1'!$L$11&amp;'Tab1'!$M$12,BD!$F$15:$F$1979&amp;BD!$M$15:$M$1979&amp;BD!$N$15:$N$1979,0)),"")</f>
        <v/>
      </c>
      <c r="N33" s="160">
        <f t="array" ref="N33">IFERROR(INDEX(BD!$H$15:$H$1979,MATCH('Tab1'!E33&amp;'Tab1'!$L$11&amp;'Tab1'!$N$12,BD!$F$15:$F$1979&amp;BD!$M$15:$M$1979&amp;BD!$N$15:$N$1979,0)),"")</f>
        <v>14</v>
      </c>
      <c r="O33" s="160"/>
      <c r="P33" s="160"/>
      <c r="Q33" s="160"/>
      <c r="R33" s="30"/>
      <c r="S33" s="30"/>
      <c r="T33" s="30"/>
      <c r="U33" s="30"/>
      <c r="V33" s="30"/>
      <c r="W33" s="30"/>
    </row>
    <row r="34" spans="1:23" x14ac:dyDescent="0.25">
      <c r="A34" s="41"/>
      <c r="B34" s="41"/>
      <c r="C34" s="128" t="str">
        <f>'Cad1'!F36</f>
        <v>Coco Seco Flocos 500g</v>
      </c>
      <c r="D34" s="30"/>
      <c r="E34" s="30" t="str">
        <f t="shared" si="0"/>
        <v>Coco Seco Flocos 500g</v>
      </c>
      <c r="F34" s="160">
        <f t="array" ref="F34">IFERROR(INDEX(BD!$H$15:$H$1979,MATCH('Tab1'!E34&amp;'Tab1'!$F$11:$H$11&amp;'Tab1'!$F$12,BD!$F$15:$F$1979&amp;BD!$M$15:$M$1979&amp;BD!$N$15:$N$1979,0)),"")</f>
        <v>21</v>
      </c>
      <c r="G34" s="160" t="str">
        <f t="array" ref="G34">IFERROR(INDEX(BD!$H$15:$H$1979,MATCH('Tab1'!E34&amp;'Tab1'!$F$11:$H$11&amp;$G$12,BD!$F$15:$F$1979&amp;BD!$M$15:$M$1979&amp;BD!$N$15:$N$1979,0)),"")</f>
        <v/>
      </c>
      <c r="H34" s="160">
        <f t="array" ref="H34">IFERROR(INDEX(BD!$H$15:$H$1979,MATCH('Tab1'!E34&amp;'Tab1'!$F$11:$H$11&amp;'Tab1'!$H$12,BD!$F$15:$F$1979&amp;BD!$M$15:$M$1979&amp;BD!$N$15:$N$1979,0)),"")</f>
        <v>23</v>
      </c>
      <c r="I34" s="160">
        <f t="array" ref="I34">IFERROR(INDEX(BD!$H$15:$H$1979,MATCH('Tab1'!E34&amp;'Tab1'!$I$11&amp;'Tab1'!$I$12,BD!$F$15:$F$1979&amp;BD!$M$15:$M$1979&amp;BD!$N$15:$N$1979,0)),"")</f>
        <v>21.5</v>
      </c>
      <c r="J34" s="160" t="str">
        <f t="array" ref="J34">IFERROR(INDEX(BD!$H$15:$H$1979,MATCH('Tab1'!E34&amp;'Tab1'!$I$11&amp;'Tab1'!$J$12,BD!$F$15:$F$1979&amp;BD!$M$15:$M$1979&amp;BD!$N$15:$N$1979,0)),"")</f>
        <v/>
      </c>
      <c r="K34" s="160">
        <f t="array" ref="K34">IFERROR(INDEX(BD!$H$15:$H$1979,MATCH('Tab1'!E34&amp;'Tab1'!$I$11&amp;'Tab1'!$K$12,BD!$F$15:$F$1979&amp;BD!$M$15:$M$1979&amp;BD!$N$15:$N$1979,0)),"")</f>
        <v>23.5</v>
      </c>
      <c r="L34" s="160">
        <f t="array" ref="L34">IFERROR(INDEX(BD!$H$15:$H$1979,MATCH('Tab1'!E34&amp;'Tab1'!$L$11&amp;'Tab1'!$L$12,BD!$F$15:$F$1979&amp;BD!$M$15:$M$1979&amp;BD!$N$15:$N$1979,0)),"")</f>
        <v>22</v>
      </c>
      <c r="M34" s="160" t="str">
        <f t="array" ref="M34">IFERROR(INDEX(BD!$H$15:$H$1979,MATCH('Tab1'!E34&amp;'Tab1'!$L$11&amp;'Tab1'!$M$12,BD!$F$15:$F$1979&amp;BD!$M$15:$M$1979&amp;BD!$N$15:$N$1979,0)),"")</f>
        <v/>
      </c>
      <c r="N34" s="160">
        <f t="array" ref="N34">IFERROR(INDEX(BD!$H$15:$H$1979,MATCH('Tab1'!E34&amp;'Tab1'!$L$11&amp;'Tab1'!$N$12,BD!$F$15:$F$1979&amp;BD!$M$15:$M$1979&amp;BD!$N$15:$N$1979,0)),"")</f>
        <v>24</v>
      </c>
      <c r="O34" s="160"/>
      <c r="P34" s="160"/>
      <c r="Q34" s="160"/>
      <c r="R34" s="30"/>
      <c r="S34" s="30"/>
      <c r="T34" s="30"/>
      <c r="U34" s="30"/>
      <c r="V34" s="30"/>
      <c r="W34" s="30"/>
    </row>
    <row r="35" spans="1:23" x14ac:dyDescent="0.25">
      <c r="A35" s="41"/>
      <c r="B35" s="41"/>
      <c r="C35" s="128" t="str">
        <f>'Cad1'!F37</f>
        <v>Coco Seco Flocos 5kg</v>
      </c>
      <c r="D35" s="30"/>
      <c r="E35" s="30" t="str">
        <f t="shared" ref="E35:E79" si="1">IF(C35=0,"",C35)</f>
        <v>Coco Seco Flocos 5kg</v>
      </c>
      <c r="F35" s="160" t="str">
        <f t="array" ref="F35">IFERROR(INDEX(BD!$H$15:$H$1979,MATCH('Tab1'!E35&amp;'Tab1'!$F$11:$H$11&amp;'Tab1'!$F$12,BD!$F$15:$F$1979&amp;BD!$M$15:$M$1979&amp;BD!$N$15:$N$1979,0)),"")</f>
        <v/>
      </c>
      <c r="G35" s="160" t="str">
        <f t="array" ref="G35">IFERROR(INDEX(BD!$H$15:$H$1979,MATCH('Tab1'!E35&amp;'Tab1'!$F$11:$H$11&amp;$G$12,BD!$F$15:$F$1979&amp;BD!$M$15:$M$1979&amp;BD!$N$15:$N$1979,0)),"")</f>
        <v/>
      </c>
      <c r="H35" s="160" t="str">
        <f t="array" ref="H35">IFERROR(INDEX(BD!$H$15:$H$1979,MATCH('Tab1'!E35&amp;'Tab1'!$F$11:$H$11&amp;'Tab1'!$H$12,BD!$F$15:$F$1979&amp;BD!$M$15:$M$1979&amp;BD!$N$15:$N$1979,0)),"")</f>
        <v/>
      </c>
      <c r="I35" s="160" t="str">
        <f t="array" ref="I35">IFERROR(INDEX(BD!$H$15:$H$1979,MATCH('Tab1'!E35&amp;'Tab1'!$I$11&amp;'Tab1'!$I$12,BD!$F$15:$F$1979&amp;BD!$M$15:$M$1979&amp;BD!$N$15:$N$1979,0)),"")</f>
        <v/>
      </c>
      <c r="J35" s="160" t="str">
        <f t="array" ref="J35">IFERROR(INDEX(BD!$H$15:$H$1979,MATCH('Tab1'!E35&amp;'Tab1'!$I$11&amp;'Tab1'!$J$12,BD!$F$15:$F$1979&amp;BD!$M$15:$M$1979&amp;BD!$N$15:$N$1979,0)),"")</f>
        <v/>
      </c>
      <c r="K35" s="160" t="str">
        <f t="array" ref="K35">IFERROR(INDEX(BD!$H$15:$H$1979,MATCH('Tab1'!E35&amp;'Tab1'!$I$11&amp;'Tab1'!$K$12,BD!$F$15:$F$1979&amp;BD!$M$15:$M$1979&amp;BD!$N$15:$N$1979,0)),"")</f>
        <v/>
      </c>
      <c r="L35" s="160" t="str">
        <f t="array" ref="L35">IFERROR(INDEX(BD!$H$15:$H$1979,MATCH('Tab1'!E35&amp;'Tab1'!$L$11&amp;'Tab1'!$L$12,BD!$F$15:$F$1979&amp;BD!$M$15:$M$1979&amp;BD!$N$15:$N$1979,0)),"")</f>
        <v/>
      </c>
      <c r="M35" s="160" t="str">
        <f t="array" ref="M35">IFERROR(INDEX(BD!$H$15:$H$1979,MATCH('Tab1'!E35&amp;'Tab1'!$L$11&amp;'Tab1'!$M$12,BD!$F$15:$F$1979&amp;BD!$M$15:$M$1979&amp;BD!$N$15:$N$1979,0)),"")</f>
        <v/>
      </c>
      <c r="N35" s="160" t="str">
        <f t="array" ref="N35">IFERROR(INDEX(BD!$H$15:$H$1979,MATCH('Tab1'!E35&amp;'Tab1'!$L$11&amp;'Tab1'!$N$12,BD!$F$15:$F$1979&amp;BD!$M$15:$M$1979&amp;BD!$N$15:$N$1979,0)),"")</f>
        <v/>
      </c>
      <c r="O35" s="160"/>
      <c r="P35" s="160"/>
      <c r="Q35" s="160"/>
      <c r="R35" s="30"/>
      <c r="S35" s="30"/>
      <c r="T35" s="30"/>
      <c r="U35" s="30"/>
      <c r="V35" s="30"/>
      <c r="W35" s="30"/>
    </row>
    <row r="36" spans="1:23" x14ac:dyDescent="0.25">
      <c r="A36" s="41"/>
      <c r="B36" s="41"/>
      <c r="C36" s="128" t="str">
        <f>'Cad1'!F38</f>
        <v>Saco Confeitar P (50 Unid)</v>
      </c>
      <c r="D36" s="30"/>
      <c r="E36" s="30" t="str">
        <f t="shared" si="1"/>
        <v>Saco Confeitar P (50 Unid)</v>
      </c>
      <c r="F36" s="202" t="str">
        <f t="array" ref="F36">IFERROR(INDEX(BD!$H$15:$H$1979,MATCH('Tab1'!E36&amp;'Tab1'!$F$11:$H$11&amp;'Tab1'!$F$12,BD!$F$15:$F$1979&amp;BD!$M$15:$M$1979&amp;BD!$N$15:$N$1979,0)),"")</f>
        <v/>
      </c>
      <c r="G36" s="160" t="str">
        <f t="array" ref="G36">IFERROR(INDEX(BD!$H$15:$H$1979,MATCH('Tab1'!E36&amp;'Tab1'!$F$11:$H$11&amp;$G$12,BD!$F$15:$F$1979&amp;BD!$M$15:$M$1979&amp;BD!$N$15:$N$1979,0)),"")</f>
        <v/>
      </c>
      <c r="H36" s="160" t="str">
        <f t="array" ref="H36">IFERROR(INDEX(BD!$H$15:$H$1979,MATCH('Tab1'!E36&amp;'Tab1'!$F$11:$H$11&amp;'Tab1'!$H$12,BD!$F$15:$F$1979&amp;BD!$M$15:$M$1979&amp;BD!$N$15:$N$1979,0)),"")</f>
        <v/>
      </c>
      <c r="I36" s="160" t="str">
        <f t="array" ref="I36">IFERROR(INDEX(BD!$H$15:$H$1979,MATCH('Tab1'!E36&amp;'Tab1'!$I$11&amp;'Tab1'!$I$12,BD!$F$15:$F$1979&amp;BD!$M$15:$M$1979&amp;BD!$N$15:$N$1979,0)),"")</f>
        <v/>
      </c>
      <c r="J36" s="160" t="str">
        <f t="array" ref="J36">IFERROR(INDEX(BD!$H$15:$H$1979,MATCH('Tab1'!E36&amp;'Tab1'!$I$11&amp;'Tab1'!$J$12,BD!$F$15:$F$1979&amp;BD!$M$15:$M$1979&amp;BD!$N$15:$N$1979,0)),"")</f>
        <v/>
      </c>
      <c r="K36" s="160" t="str">
        <f t="array" ref="K36">IFERROR(INDEX(BD!$H$15:$H$1979,MATCH('Tab1'!E36&amp;'Tab1'!$I$11&amp;'Tab1'!$K$12,BD!$F$15:$F$1979&amp;BD!$M$15:$M$1979&amp;BD!$N$15:$N$1979,0)),"")</f>
        <v/>
      </c>
      <c r="L36" s="160" t="str">
        <f t="array" ref="L36">IFERROR(INDEX(BD!$H$15:$H$1979,MATCH('Tab1'!E36&amp;'Tab1'!$L$11&amp;'Tab1'!$L$12,BD!$F$15:$F$1979&amp;BD!$M$15:$M$1979&amp;BD!$N$15:$N$1979,0)),"")</f>
        <v/>
      </c>
      <c r="M36" s="160" t="str">
        <f t="array" ref="M36">IFERROR(INDEX(BD!$H$15:$H$1979,MATCH('Tab1'!E36&amp;'Tab1'!$L$11&amp;'Tab1'!$M$12,BD!$F$15:$F$1979&amp;BD!$M$15:$M$1979&amp;BD!$N$15:$N$1979,0)),"")</f>
        <v/>
      </c>
      <c r="N36" s="160" t="str">
        <f t="array" ref="N36">IFERROR(INDEX(BD!$H$15:$H$1979,MATCH('Tab1'!E36&amp;'Tab1'!$L$11&amp;'Tab1'!$N$12,BD!$F$15:$F$1979&amp;BD!$M$15:$M$1979&amp;BD!$N$15:$N$1979,0)),"")</f>
        <v/>
      </c>
      <c r="O36" s="160"/>
      <c r="P36" s="160"/>
      <c r="Q36" s="160"/>
      <c r="R36" s="30"/>
      <c r="S36" s="30"/>
      <c r="T36" s="30"/>
      <c r="U36" s="30"/>
      <c r="V36" s="30"/>
      <c r="W36" s="30"/>
    </row>
    <row r="37" spans="1:23" x14ac:dyDescent="0.25">
      <c r="A37" s="41"/>
      <c r="B37" s="41"/>
      <c r="C37" s="128" t="str">
        <f>'Cad1'!F39</f>
        <v>Saco Confeitar M (50 Unid)</v>
      </c>
      <c r="D37" s="30"/>
      <c r="E37" s="30" t="str">
        <f t="shared" si="1"/>
        <v>Saco Confeitar M (50 Unid)</v>
      </c>
      <c r="F37" s="202" t="str">
        <f t="array" ref="F37">IFERROR(INDEX(BD!$H$15:$H$1979,MATCH('Tab1'!E37&amp;'Tab1'!$F$11:$H$11&amp;'Tab1'!$F$12,BD!$F$15:$F$1979&amp;BD!$M$15:$M$1979&amp;BD!$N$15:$N$1979,0)),"")</f>
        <v/>
      </c>
      <c r="G37" s="160" t="str">
        <f t="array" ref="G37">IFERROR(INDEX(BD!$H$15:$H$1979,MATCH('Tab1'!E37&amp;'Tab1'!$F$11:$H$11&amp;$G$12,BD!$F$15:$F$1979&amp;BD!$M$15:$M$1979&amp;BD!$N$15:$N$1979,0)),"")</f>
        <v/>
      </c>
      <c r="H37" s="160" t="str">
        <f t="array" ref="H37">IFERROR(INDEX(BD!$H$15:$H$1979,MATCH('Tab1'!E37&amp;'Tab1'!$F$11:$H$11&amp;'Tab1'!$H$12,BD!$F$15:$F$1979&amp;BD!$M$15:$M$1979&amp;BD!$N$15:$N$1979,0)),"")</f>
        <v/>
      </c>
      <c r="I37" s="160" t="str">
        <f t="array" ref="I37">IFERROR(INDEX(BD!$H$15:$H$1979,MATCH('Tab1'!E37&amp;'Tab1'!$I$11&amp;'Tab1'!$I$12,BD!$F$15:$F$1979&amp;BD!$M$15:$M$1979&amp;BD!$N$15:$N$1979,0)),"")</f>
        <v/>
      </c>
      <c r="J37" s="160" t="str">
        <f t="array" ref="J37">IFERROR(INDEX(BD!$H$15:$H$1979,MATCH('Tab1'!E37&amp;'Tab1'!$I$11&amp;'Tab1'!$J$12,BD!$F$15:$F$1979&amp;BD!$M$15:$M$1979&amp;BD!$N$15:$N$1979,0)),"")</f>
        <v/>
      </c>
      <c r="K37" s="160" t="str">
        <f t="array" ref="K37">IFERROR(INDEX(BD!$H$15:$H$1979,MATCH('Tab1'!E37&amp;'Tab1'!$I$11&amp;'Tab1'!$K$12,BD!$F$15:$F$1979&amp;BD!$M$15:$M$1979&amp;BD!$N$15:$N$1979,0)),"")</f>
        <v/>
      </c>
      <c r="L37" s="160" t="str">
        <f t="array" ref="L37">IFERROR(INDEX(BD!$H$15:$H$1979,MATCH('Tab1'!E37&amp;'Tab1'!$L$11&amp;'Tab1'!$L$12,BD!$F$15:$F$1979&amp;BD!$M$15:$M$1979&amp;BD!$N$15:$N$1979,0)),"")</f>
        <v/>
      </c>
      <c r="M37" s="160" t="str">
        <f t="array" ref="M37">IFERROR(INDEX(BD!$H$15:$H$1979,MATCH('Tab1'!E37&amp;'Tab1'!$L$11&amp;'Tab1'!$M$12,BD!$F$15:$F$1979&amp;BD!$M$15:$M$1979&amp;BD!$N$15:$N$1979,0)),"")</f>
        <v/>
      </c>
      <c r="N37" s="160" t="str">
        <f t="array" ref="N37">IFERROR(INDEX(BD!$H$15:$H$1979,MATCH('Tab1'!E37&amp;'Tab1'!$L$11&amp;'Tab1'!$N$12,BD!$F$15:$F$1979&amp;BD!$M$15:$M$1979&amp;BD!$N$15:$N$1979,0)),"")</f>
        <v/>
      </c>
      <c r="O37" s="160"/>
      <c r="P37" s="160"/>
      <c r="Q37" s="160"/>
      <c r="R37" s="30"/>
      <c r="S37" s="30"/>
      <c r="T37" s="30"/>
      <c r="U37" s="30"/>
      <c r="V37" s="30"/>
      <c r="W37" s="30"/>
    </row>
    <row r="38" spans="1:23" x14ac:dyDescent="0.25">
      <c r="A38" s="41"/>
      <c r="B38" s="41"/>
      <c r="C38" s="128" t="str">
        <f>'Cad1'!F40</f>
        <v>Saco Confeitar G (50 Unid)</v>
      </c>
      <c r="D38" s="30"/>
      <c r="E38" s="30" t="str">
        <f t="shared" si="1"/>
        <v>Saco Confeitar G (50 Unid)</v>
      </c>
      <c r="F38" s="160" t="str">
        <f t="array" ref="F38">IFERROR(INDEX(BD!$H$15:$H$1979,MATCH('Tab1'!E38&amp;'Tab1'!$F$11:$H$11&amp;'Tab1'!$F$12,BD!$F$15:$F$1979&amp;BD!$M$15:$M$1979&amp;BD!$N$15:$N$1979,0)),"")</f>
        <v/>
      </c>
      <c r="G38" s="160" t="str">
        <f t="array" ref="G38">IFERROR(INDEX(BD!$H$15:$H$1979,MATCH('Tab1'!E38&amp;'Tab1'!$F$11:$H$11&amp;$G$12,BD!$F$15:$F$1979&amp;BD!$M$15:$M$1979&amp;BD!$N$15:$N$1979,0)),"")</f>
        <v/>
      </c>
      <c r="H38" s="160" t="str">
        <f t="array" ref="H38">IFERROR(INDEX(BD!$H$15:$H$1979,MATCH('Tab1'!E38&amp;'Tab1'!$F$11:$H$11&amp;'Tab1'!$H$12,BD!$F$15:$F$1979&amp;BD!$M$15:$M$1979&amp;BD!$N$15:$N$1979,0)),"")</f>
        <v/>
      </c>
      <c r="I38" s="160" t="str">
        <f t="array" ref="I38">IFERROR(INDEX(BD!$H$15:$H$1979,MATCH('Tab1'!E38&amp;'Tab1'!$I$11&amp;'Tab1'!$I$12,BD!$F$15:$F$1979&amp;BD!$M$15:$M$1979&amp;BD!$N$15:$N$1979,0)),"")</f>
        <v/>
      </c>
      <c r="J38" s="160" t="str">
        <f t="array" ref="J38">IFERROR(INDEX(BD!$H$15:$H$1979,MATCH('Tab1'!E38&amp;'Tab1'!$I$11&amp;'Tab1'!$J$12,BD!$F$15:$F$1979&amp;BD!$M$15:$M$1979&amp;BD!$N$15:$N$1979,0)),"")</f>
        <v/>
      </c>
      <c r="K38" s="160" t="str">
        <f t="array" ref="K38">IFERROR(INDEX(BD!$H$15:$H$1979,MATCH('Tab1'!E38&amp;'Tab1'!$I$11&amp;'Tab1'!$K$12,BD!$F$15:$F$1979&amp;BD!$M$15:$M$1979&amp;BD!$N$15:$N$1979,0)),"")</f>
        <v/>
      </c>
      <c r="L38" s="160" t="str">
        <f t="array" ref="L38">IFERROR(INDEX(BD!$H$15:$H$1979,MATCH('Tab1'!E38&amp;'Tab1'!$L$11&amp;'Tab1'!$L$12,BD!$F$15:$F$1979&amp;BD!$M$15:$M$1979&amp;BD!$N$15:$N$1979,0)),"")</f>
        <v/>
      </c>
      <c r="M38" s="160" t="str">
        <f t="array" ref="M38">IFERROR(INDEX(BD!$H$15:$H$1979,MATCH('Tab1'!E38&amp;'Tab1'!$L$11&amp;'Tab1'!$M$12,BD!$F$15:$F$1979&amp;BD!$M$15:$M$1979&amp;BD!$N$15:$N$1979,0)),"")</f>
        <v/>
      </c>
      <c r="N38" s="160" t="str">
        <f t="array" ref="N38">IFERROR(INDEX(BD!$H$15:$H$1979,MATCH('Tab1'!E38&amp;'Tab1'!$L$11&amp;'Tab1'!$N$12,BD!$F$15:$F$1979&amp;BD!$M$15:$M$1979&amp;BD!$N$15:$N$1979,0)),"")</f>
        <v/>
      </c>
      <c r="O38" s="160"/>
      <c r="P38" s="160"/>
      <c r="Q38" s="160"/>
      <c r="R38" s="30"/>
      <c r="S38" s="30"/>
      <c r="T38" s="30"/>
      <c r="U38" s="30"/>
      <c r="V38" s="30"/>
      <c r="W38" s="30"/>
    </row>
    <row r="39" spans="1:23" x14ac:dyDescent="0.25">
      <c r="A39" s="41"/>
      <c r="B39" s="41"/>
      <c r="C39" s="128" t="str">
        <f>'Cad1'!F41</f>
        <v>Massa folhada 500g</v>
      </c>
      <c r="D39" s="30"/>
      <c r="E39" s="30" t="str">
        <f t="shared" si="1"/>
        <v>Massa folhada 500g</v>
      </c>
      <c r="F39" s="160">
        <f t="array" ref="F39">IFERROR(INDEX(BD!$H$15:$H$1979,MATCH('Tab1'!E39&amp;'Tab1'!$F$11:$H$11&amp;'Tab1'!$F$12,BD!$F$15:$F$1979&amp;BD!$M$15:$M$1979&amp;BD!$N$15:$N$1979,0)),"")</f>
        <v>16</v>
      </c>
      <c r="G39" s="160">
        <f t="array" ref="G39">IFERROR(INDEX(BD!$H$15:$H$1979,MATCH('Tab1'!E39&amp;'Tab1'!$F$11:$H$11&amp;$G$12,BD!$F$15:$F$1979&amp;BD!$M$15:$M$1979&amp;BD!$N$15:$N$1979,0)),"")</f>
        <v>17.5</v>
      </c>
      <c r="H39" s="160">
        <f t="array" ref="H39">IFERROR(INDEX(BD!$H$15:$H$1979,MATCH('Tab1'!E39&amp;'Tab1'!$F$11:$H$11&amp;'Tab1'!$H$12,BD!$F$15:$F$1979&amp;BD!$M$15:$M$1979&amp;BD!$N$15:$N$1979,0)),"")</f>
        <v>21</v>
      </c>
      <c r="I39" s="160">
        <f t="array" ref="I39">IFERROR(INDEX(BD!$H$15:$H$1979,MATCH('Tab1'!E39&amp;'Tab1'!$I$11&amp;'Tab1'!$I$12,BD!$F$15:$F$1979&amp;BD!$M$15:$M$1979&amp;BD!$N$15:$N$1979,0)),"")</f>
        <v>16.5</v>
      </c>
      <c r="J39" s="160">
        <f t="array" ref="J39">IFERROR(INDEX(BD!$H$15:$H$1979,MATCH('Tab1'!E39&amp;'Tab1'!$I$11&amp;'Tab1'!$J$12,BD!$F$15:$F$1979&amp;BD!$M$15:$M$1979&amp;BD!$N$15:$N$1979,0)),"")</f>
        <v>18</v>
      </c>
      <c r="K39" s="160">
        <f t="array" ref="K39">IFERROR(INDEX(BD!$H$15:$H$1979,MATCH('Tab1'!E39&amp;'Tab1'!$I$11&amp;'Tab1'!$K$12,BD!$F$15:$F$1979&amp;BD!$M$15:$M$1979&amp;BD!$N$15:$N$1979,0)),"")</f>
        <v>21.5</v>
      </c>
      <c r="L39" s="160">
        <f t="array" ref="L39">IFERROR(INDEX(BD!$H$15:$H$1979,MATCH('Tab1'!E39&amp;'Tab1'!$L$11&amp;'Tab1'!$L$12,BD!$F$15:$F$1979&amp;BD!$M$15:$M$1979&amp;BD!$N$15:$N$1979,0)),"")</f>
        <v>17</v>
      </c>
      <c r="M39" s="160">
        <f t="array" ref="M39">IFERROR(INDEX(BD!$H$15:$H$1979,MATCH('Tab1'!E39&amp;'Tab1'!$L$11&amp;'Tab1'!$M$12,BD!$F$15:$F$1979&amp;BD!$M$15:$M$1979&amp;BD!$N$15:$N$1979,0)),"")</f>
        <v>18.5</v>
      </c>
      <c r="N39" s="160">
        <f t="array" ref="N39">IFERROR(INDEX(BD!$H$15:$H$1979,MATCH('Tab1'!E39&amp;'Tab1'!$L$11&amp;'Tab1'!$N$12,BD!$F$15:$F$1979&amp;BD!$M$15:$M$1979&amp;BD!$N$15:$N$1979,0)),"")</f>
        <v>22</v>
      </c>
      <c r="O39" s="160"/>
      <c r="P39" s="160"/>
      <c r="Q39" s="160"/>
      <c r="R39" s="30"/>
      <c r="S39" s="30"/>
      <c r="T39" s="30"/>
      <c r="U39" s="30"/>
      <c r="V39" s="30"/>
      <c r="W39" s="30"/>
    </row>
    <row r="40" spans="1:23" x14ac:dyDescent="0.25">
      <c r="A40" s="41"/>
      <c r="B40" s="41"/>
      <c r="C40" s="128" t="str">
        <f>'Cad1'!F42</f>
        <v>Massa folhada 1kg</v>
      </c>
      <c r="D40" s="30"/>
      <c r="E40" s="30" t="str">
        <f t="shared" si="1"/>
        <v>Massa folhada 1kg</v>
      </c>
      <c r="F40" s="160">
        <f t="array" ref="F40">IFERROR(INDEX(BD!$H$15:$H$1979,MATCH('Tab1'!E40&amp;'Tab1'!$F$11:$H$11&amp;'Tab1'!$F$12,BD!$F$15:$F$1979&amp;BD!$M$15:$M$1979&amp;BD!$N$15:$N$1979,0)),"")</f>
        <v>26</v>
      </c>
      <c r="G40" s="160">
        <f t="array" ref="G40">IFERROR(INDEX(BD!$H$15:$H$1979,MATCH('Tab1'!E40&amp;'Tab1'!$F$11:$H$11&amp;$G$12,BD!$F$15:$F$1979&amp;BD!$M$15:$M$1979&amp;BD!$N$15:$N$1979,0)),"")</f>
        <v>29</v>
      </c>
      <c r="H40" s="160">
        <f t="array" ref="H40">IFERROR(INDEX(BD!$H$15:$H$1979,MATCH('Tab1'!E40&amp;'Tab1'!$F$11:$H$11&amp;'Tab1'!$H$12,BD!$F$15:$F$1979&amp;BD!$M$15:$M$1979&amp;BD!$N$15:$N$1979,0)),"")</f>
        <v>33</v>
      </c>
      <c r="I40" s="160">
        <f t="array" ref="I40">IFERROR(INDEX(BD!$H$15:$H$1979,MATCH('Tab1'!E40&amp;'Tab1'!$I$11&amp;'Tab1'!$I$12,BD!$F$15:$F$1979&amp;BD!$M$15:$M$1979&amp;BD!$N$15:$N$1979,0)),"")</f>
        <v>27</v>
      </c>
      <c r="J40" s="160">
        <f t="array" ref="J40">IFERROR(INDEX(BD!$H$15:$H$1979,MATCH('Tab1'!E40&amp;'Tab1'!$I$11&amp;'Tab1'!$J$12,BD!$F$15:$F$1979&amp;BD!$M$15:$M$1979&amp;BD!$N$15:$N$1979,0)),"")</f>
        <v>30</v>
      </c>
      <c r="K40" s="160">
        <f t="array" ref="K40">IFERROR(INDEX(BD!$H$15:$H$1979,MATCH('Tab1'!E40&amp;'Tab1'!$I$11&amp;'Tab1'!$K$12,BD!$F$15:$F$1979&amp;BD!$M$15:$M$1979&amp;BD!$N$15:$N$1979,0)),"")</f>
        <v>34</v>
      </c>
      <c r="L40" s="160">
        <f t="array" ref="L40">IFERROR(INDEX(BD!$H$15:$H$1979,MATCH('Tab1'!E40&amp;'Tab1'!$L$11&amp;'Tab1'!$L$12,BD!$F$15:$F$1979&amp;BD!$M$15:$M$1979&amp;BD!$N$15:$N$1979,0)),"")</f>
        <v>28</v>
      </c>
      <c r="M40" s="160">
        <f t="array" ref="M40">IFERROR(INDEX(BD!$H$15:$H$1979,MATCH('Tab1'!E40&amp;'Tab1'!$L$11&amp;'Tab1'!$M$12,BD!$F$15:$F$1979&amp;BD!$M$15:$M$1979&amp;BD!$N$15:$N$1979,0)),"")</f>
        <v>31</v>
      </c>
      <c r="N40" s="160">
        <f t="array" ref="N40">IFERROR(INDEX(BD!$H$15:$H$1979,MATCH('Tab1'!E40&amp;'Tab1'!$L$11&amp;'Tab1'!$N$12,BD!$F$15:$F$1979&amp;BD!$M$15:$M$1979&amp;BD!$N$15:$N$1979,0)),"")</f>
        <v>35</v>
      </c>
      <c r="O40" s="160"/>
      <c r="P40" s="160"/>
      <c r="Q40" s="160"/>
      <c r="R40" s="30"/>
      <c r="S40" s="30"/>
      <c r="T40" s="30"/>
      <c r="U40" s="30"/>
      <c r="V40" s="30"/>
      <c r="W40" s="30"/>
    </row>
    <row r="41" spans="1:23" x14ac:dyDescent="0.25">
      <c r="A41" s="41"/>
      <c r="B41" s="41"/>
      <c r="C41" s="128" t="str">
        <f>'Cad1'!F43</f>
        <v>Massa folhada 2.2kg</v>
      </c>
      <c r="D41" s="30"/>
      <c r="E41" s="30" t="str">
        <f t="shared" si="1"/>
        <v>Massa folhada 2.2kg</v>
      </c>
      <c r="F41" s="160">
        <f t="array" ref="F41">IFERROR(INDEX(BD!$H$15:$H$1979,MATCH('Tab1'!E41&amp;'Tab1'!$F$11:$H$11&amp;'Tab1'!$F$12,BD!$F$15:$F$1979&amp;BD!$M$15:$M$1979&amp;BD!$N$15:$N$1979,0)),"")</f>
        <v>53</v>
      </c>
      <c r="G41" s="160">
        <f t="array" ref="G41">IFERROR(INDEX(BD!$H$15:$H$1979,MATCH('Tab1'!E41&amp;'Tab1'!$F$11:$H$11&amp;$G$12,BD!$F$15:$F$1979&amp;BD!$M$15:$M$1979&amp;BD!$N$15:$N$1979,0)),"")</f>
        <v>58</v>
      </c>
      <c r="H41" s="160">
        <f t="array" ref="H41">IFERROR(INDEX(BD!$H$15:$H$1979,MATCH('Tab1'!E41&amp;'Tab1'!$F$11:$H$11&amp;'Tab1'!$H$12,BD!$F$15:$F$1979&amp;BD!$M$15:$M$1979&amp;BD!$N$15:$N$1979,0)),"")</f>
        <v>66</v>
      </c>
      <c r="I41" s="160">
        <f t="array" ref="I41">IFERROR(INDEX(BD!$H$15:$H$1979,MATCH('Tab1'!E41&amp;'Tab1'!$I$11&amp;'Tab1'!$I$12,BD!$F$15:$F$1979&amp;BD!$M$15:$M$1979&amp;BD!$N$15:$N$1979,0)),"")</f>
        <v>55</v>
      </c>
      <c r="J41" s="160">
        <f t="array" ref="J41">IFERROR(INDEX(BD!$H$15:$H$1979,MATCH('Tab1'!E41&amp;'Tab1'!$I$11&amp;'Tab1'!$J$12,BD!$F$15:$F$1979&amp;BD!$M$15:$M$1979&amp;BD!$N$15:$N$1979,0)),"")</f>
        <v>60</v>
      </c>
      <c r="K41" s="160">
        <f t="array" ref="K41">IFERROR(INDEX(BD!$H$15:$H$1979,MATCH('Tab1'!E41&amp;'Tab1'!$I$11&amp;'Tab1'!$K$12,BD!$F$15:$F$1979&amp;BD!$M$15:$M$1979&amp;BD!$N$15:$N$1979,0)),"")</f>
        <v>68</v>
      </c>
      <c r="L41" s="160">
        <f t="array" ref="L41">IFERROR(INDEX(BD!$H$15:$H$1979,MATCH('Tab1'!E41&amp;'Tab1'!$L$11&amp;'Tab1'!$L$12,BD!$F$15:$F$1979&amp;BD!$M$15:$M$1979&amp;BD!$N$15:$N$1979,0)),"")</f>
        <v>57</v>
      </c>
      <c r="M41" s="160">
        <f t="array" ref="M41">IFERROR(INDEX(BD!$H$15:$H$1979,MATCH('Tab1'!E41&amp;'Tab1'!$L$11&amp;'Tab1'!$M$12,BD!$F$15:$F$1979&amp;BD!$M$15:$M$1979&amp;BD!$N$15:$N$1979,0)),"")</f>
        <v>62</v>
      </c>
      <c r="N41" s="160">
        <f t="array" ref="N41">IFERROR(INDEX(BD!$H$15:$H$1979,MATCH('Tab1'!E41&amp;'Tab1'!$L$11&amp;'Tab1'!$N$12,BD!$F$15:$F$1979&amp;BD!$M$15:$M$1979&amp;BD!$N$15:$N$1979,0)),"")</f>
        <v>70</v>
      </c>
      <c r="O41" s="160"/>
      <c r="P41" s="160"/>
      <c r="Q41" s="160"/>
      <c r="R41" s="30"/>
      <c r="S41" s="30"/>
      <c r="T41" s="30"/>
      <c r="U41" s="30"/>
      <c r="V41" s="30"/>
      <c r="W41" s="30"/>
    </row>
    <row r="42" spans="1:23" x14ac:dyDescent="0.25">
      <c r="A42" s="41"/>
      <c r="B42" s="41"/>
      <c r="C42" s="128" t="str">
        <f>'Cad1'!F44</f>
        <v>Massa Semi folhada 2kg</v>
      </c>
      <c r="D42" s="30"/>
      <c r="E42" s="30" t="str">
        <f t="shared" si="1"/>
        <v>Massa Semi folhada 2kg</v>
      </c>
      <c r="F42" s="160">
        <f t="array" ref="F42">IFERROR(INDEX(BD!$H$15:$H$1979,MATCH('Tab1'!E42&amp;'Tab1'!$F$11:$H$11&amp;'Tab1'!$F$12,BD!$F$15:$F$1979&amp;BD!$M$15:$M$1979&amp;BD!$N$15:$N$1979,0)),"")</f>
        <v>50</v>
      </c>
      <c r="G42" s="160">
        <f t="array" ref="G42">IFERROR(INDEX(BD!$H$15:$H$1979,MATCH('Tab1'!E42&amp;'Tab1'!$F$11:$H$11&amp;$G$12,BD!$F$15:$F$1979&amp;BD!$M$15:$M$1979&amp;BD!$N$15:$N$1979,0)),"")</f>
        <v>56</v>
      </c>
      <c r="H42" s="160">
        <f t="array" ref="H42">IFERROR(INDEX(BD!$H$15:$H$1979,MATCH('Tab1'!E42&amp;'Tab1'!$F$11:$H$11&amp;'Tab1'!$H$12,BD!$F$15:$F$1979&amp;BD!$M$15:$M$1979&amp;BD!$N$15:$N$1979,0)),"")</f>
        <v>64</v>
      </c>
      <c r="I42" s="160">
        <f t="array" ref="I42">IFERROR(INDEX(BD!$H$15:$H$1979,MATCH('Tab1'!E42&amp;'Tab1'!$I$11&amp;'Tab1'!$I$12,BD!$F$15:$F$1979&amp;BD!$M$15:$M$1979&amp;BD!$N$15:$N$1979,0)),"")</f>
        <v>52</v>
      </c>
      <c r="J42" s="160">
        <f t="array" ref="J42">IFERROR(INDEX(BD!$H$15:$H$1979,MATCH('Tab1'!E42&amp;'Tab1'!$I$11&amp;'Tab1'!$J$12,BD!$F$15:$F$1979&amp;BD!$M$15:$M$1979&amp;BD!$N$15:$N$1979,0)),"")</f>
        <v>58</v>
      </c>
      <c r="K42" s="160">
        <f t="array" ref="K42">IFERROR(INDEX(BD!$H$15:$H$1979,MATCH('Tab1'!E42&amp;'Tab1'!$I$11&amp;'Tab1'!$K$12,BD!$F$15:$F$1979&amp;BD!$M$15:$M$1979&amp;BD!$N$15:$N$1979,0)),"")</f>
        <v>66</v>
      </c>
      <c r="L42" s="160">
        <f t="array" ref="L42">IFERROR(INDEX(BD!$H$15:$H$1979,MATCH('Tab1'!E42&amp;'Tab1'!$L$11&amp;'Tab1'!$L$12,BD!$F$15:$F$1979&amp;BD!$M$15:$M$1979&amp;BD!$N$15:$N$1979,0)),"")</f>
        <v>54</v>
      </c>
      <c r="M42" s="160">
        <f t="array" ref="M42">IFERROR(INDEX(BD!$H$15:$H$1979,MATCH('Tab1'!E42&amp;'Tab1'!$L$11&amp;'Tab1'!$M$12,BD!$F$15:$F$1979&amp;BD!$M$15:$M$1979&amp;BD!$N$15:$N$1979,0)),"")</f>
        <v>60</v>
      </c>
      <c r="N42" s="160">
        <f t="array" ref="N42">IFERROR(INDEX(BD!$H$15:$H$1979,MATCH('Tab1'!E42&amp;'Tab1'!$L$11&amp;'Tab1'!$N$12,BD!$F$15:$F$1979&amp;BD!$M$15:$M$1979&amp;BD!$N$15:$N$1979,0)),"")</f>
        <v>68</v>
      </c>
      <c r="O42" s="160"/>
      <c r="P42" s="160"/>
      <c r="Q42" s="160"/>
      <c r="R42" s="30"/>
      <c r="S42" s="30"/>
      <c r="T42" s="30"/>
      <c r="U42" s="30"/>
      <c r="V42" s="30"/>
      <c r="W42" s="30"/>
    </row>
    <row r="43" spans="1:23" ht="16.5" x14ac:dyDescent="0.25">
      <c r="A43" s="41"/>
      <c r="B43" s="60"/>
      <c r="C43" s="128" t="str">
        <f>'Cad1'!F45</f>
        <v>OVOS TP 1L</v>
      </c>
      <c r="D43" s="30"/>
      <c r="E43" s="30" t="str">
        <f t="shared" si="1"/>
        <v>OVOS TP 1L</v>
      </c>
      <c r="F43" s="160" t="str">
        <f t="array" ref="F43">IFERROR(INDEX(BD!$H$15:$H$1979,MATCH('Tab1'!E43&amp;'Tab1'!$F$11:$H$11&amp;'Tab1'!$F$12,BD!$F$15:$F$1979&amp;BD!$M$15:$M$1979&amp;BD!$N$15:$N$1979,0)),"")</f>
        <v/>
      </c>
      <c r="G43" s="160" t="str">
        <f t="array" ref="G43">IFERROR(INDEX(BD!$H$15:$H$1979,MATCH('Tab1'!E43&amp;'Tab1'!$F$11:$H$11&amp;$G$12,BD!$F$15:$F$1979&amp;BD!$M$15:$M$1979&amp;BD!$N$15:$N$1979,0)),"")</f>
        <v/>
      </c>
      <c r="H43" s="160">
        <f t="array" ref="H43">IFERROR(INDEX(BD!$H$15:$H$1979,MATCH('Tab1'!E43&amp;'Tab1'!$F$11:$H$11&amp;'Tab1'!$H$12,BD!$F$15:$F$1979&amp;BD!$M$15:$M$1979&amp;BD!$N$15:$N$1979,0)),"")</f>
        <v>22.5</v>
      </c>
      <c r="I43" s="160" t="str">
        <f t="array" ref="I43">IFERROR(INDEX(BD!$H$15:$H$1979,MATCH('Tab1'!E43&amp;'Tab1'!$I$11&amp;'Tab1'!$I$12,BD!$F$15:$F$1979&amp;BD!$M$15:$M$1979&amp;BD!$N$15:$N$1979,0)),"")</f>
        <v/>
      </c>
      <c r="J43" s="160" t="str">
        <f t="array" ref="J43">IFERROR(INDEX(BD!$H$15:$H$1979,MATCH('Tab1'!E43&amp;'Tab1'!$I$11&amp;'Tab1'!$J$12,BD!$F$15:$F$1979&amp;BD!$M$15:$M$1979&amp;BD!$N$15:$N$1979,0)),"")</f>
        <v/>
      </c>
      <c r="K43" s="160">
        <f t="array" ref="K43">IFERROR(INDEX(BD!$H$15:$H$1979,MATCH('Tab1'!E43&amp;'Tab1'!$I$11&amp;'Tab1'!$K$12,BD!$F$15:$F$1979&amp;BD!$M$15:$M$1979&amp;BD!$N$15:$N$1979,0)),"")</f>
        <v>23.5</v>
      </c>
      <c r="L43" s="160" t="str">
        <f t="array" ref="L43">IFERROR(INDEX(BD!$H$15:$H$1979,MATCH('Tab1'!E43&amp;'Tab1'!$L$11&amp;'Tab1'!$L$12,BD!$F$15:$F$1979&amp;BD!$M$15:$M$1979&amp;BD!$N$15:$N$1979,0)),"")</f>
        <v/>
      </c>
      <c r="M43" s="160" t="str">
        <f t="array" ref="M43">IFERROR(INDEX(BD!$H$15:$H$1979,MATCH('Tab1'!E43&amp;'Tab1'!$L$11&amp;'Tab1'!$M$12,BD!$F$15:$F$1979&amp;BD!$M$15:$M$1979&amp;BD!$N$15:$N$1979,0)),"")</f>
        <v/>
      </c>
      <c r="N43" s="160">
        <f t="array" ref="N43">IFERROR(INDEX(BD!$H$15:$H$1979,MATCH('Tab1'!E43&amp;'Tab1'!$L$11&amp;'Tab1'!$N$12,BD!$F$15:$F$1979&amp;BD!$M$15:$M$1979&amp;BD!$N$15:$N$1979,0)),"")</f>
        <v>24.5</v>
      </c>
      <c r="O43" s="160"/>
      <c r="P43" s="160"/>
      <c r="Q43" s="160"/>
      <c r="R43" s="30"/>
      <c r="S43" s="30"/>
      <c r="T43" s="30"/>
      <c r="U43" s="30"/>
      <c r="V43" s="30"/>
      <c r="W43" s="30"/>
    </row>
    <row r="44" spans="1:23" ht="19.5" x14ac:dyDescent="0.25">
      <c r="A44" s="41"/>
      <c r="B44" s="61"/>
      <c r="C44" s="128" t="str">
        <f>'Cad1'!F46</f>
        <v>GEMA TP 1L</v>
      </c>
      <c r="D44" s="30"/>
      <c r="E44" s="30" t="str">
        <f t="shared" si="1"/>
        <v>GEMA TP 1L</v>
      </c>
      <c r="F44" s="160" t="str">
        <f t="array" ref="F44">IFERROR(INDEX(BD!$H$15:$H$1979,MATCH('Tab1'!E44&amp;'Tab1'!$F$11:$H$11&amp;'Tab1'!$F$12,BD!$F$15:$F$1979&amp;BD!$M$15:$M$1979&amp;BD!$N$15:$N$1979,0)),"")</f>
        <v/>
      </c>
      <c r="G44" s="160" t="str">
        <f t="array" ref="G44">IFERROR(INDEX(BD!$H$15:$H$1979,MATCH('Tab1'!E44&amp;'Tab1'!$F$11:$H$11&amp;$G$12,BD!$F$15:$F$1979&amp;BD!$M$15:$M$1979&amp;BD!$N$15:$N$1979,0)),"")</f>
        <v/>
      </c>
      <c r="H44" s="160">
        <f t="array" ref="H44">IFERROR(INDEX(BD!$H$15:$H$1979,MATCH('Tab1'!E44&amp;'Tab1'!$F$11:$H$11&amp;'Tab1'!$H$12,BD!$F$15:$F$1979&amp;BD!$M$15:$M$1979&amp;BD!$N$15:$N$1979,0)),"")</f>
        <v>41.5</v>
      </c>
      <c r="I44" s="160" t="str">
        <f t="array" ref="I44">IFERROR(INDEX(BD!$H$15:$H$1979,MATCH('Tab1'!E44&amp;'Tab1'!$I$11&amp;'Tab1'!$I$12,BD!$F$15:$F$1979&amp;BD!$M$15:$M$1979&amp;BD!$N$15:$N$1979,0)),"")</f>
        <v/>
      </c>
      <c r="J44" s="160" t="str">
        <f t="array" ref="J44">IFERROR(INDEX(BD!$H$15:$H$1979,MATCH('Tab1'!E44&amp;'Tab1'!$I$11&amp;'Tab1'!$J$12,BD!$F$15:$F$1979&amp;BD!$M$15:$M$1979&amp;BD!$N$15:$N$1979,0)),"")</f>
        <v/>
      </c>
      <c r="K44" s="160">
        <f t="array" ref="K44">IFERROR(INDEX(BD!$H$15:$H$1979,MATCH('Tab1'!E44&amp;'Tab1'!$I$11&amp;'Tab1'!$K$12,BD!$F$15:$F$1979&amp;BD!$M$15:$M$1979&amp;BD!$N$15:$N$1979,0)),"")</f>
        <v>42.5</v>
      </c>
      <c r="L44" s="160" t="str">
        <f t="array" ref="L44">IFERROR(INDEX(BD!$H$15:$H$1979,MATCH('Tab1'!E44&amp;'Tab1'!$L$11&amp;'Tab1'!$L$12,BD!$F$15:$F$1979&amp;BD!$M$15:$M$1979&amp;BD!$N$15:$N$1979,0)),"")</f>
        <v/>
      </c>
      <c r="M44" s="160" t="str">
        <f t="array" ref="M44">IFERROR(INDEX(BD!$H$15:$H$1979,MATCH('Tab1'!E44&amp;'Tab1'!$L$11&amp;'Tab1'!$M$12,BD!$F$15:$F$1979&amp;BD!$M$15:$M$1979&amp;BD!$N$15:$N$1979,0)),"")</f>
        <v/>
      </c>
      <c r="N44" s="160">
        <f t="array" ref="N44">IFERROR(INDEX(BD!$H$15:$H$1979,MATCH('Tab1'!E44&amp;'Tab1'!$L$11&amp;'Tab1'!$N$12,BD!$F$15:$F$1979&amp;BD!$M$15:$M$1979&amp;BD!$N$15:$N$1979,0)),"")</f>
        <v>43.5</v>
      </c>
      <c r="O44" s="160"/>
      <c r="P44" s="160"/>
      <c r="Q44" s="160"/>
      <c r="R44" s="30"/>
      <c r="S44" s="30"/>
      <c r="T44" s="30"/>
      <c r="U44" s="30"/>
      <c r="V44" s="30"/>
      <c r="W44" s="30"/>
    </row>
    <row r="45" spans="1:23" ht="19.5" x14ac:dyDescent="0.25">
      <c r="A45" s="41"/>
      <c r="B45" s="61"/>
      <c r="C45" s="128" t="str">
        <f>'Cad1'!F47</f>
        <v>CLARA TP 1L</v>
      </c>
      <c r="D45" s="30"/>
      <c r="E45" s="30" t="str">
        <f t="shared" si="1"/>
        <v>CLARA TP 1L</v>
      </c>
      <c r="F45" s="160" t="str">
        <f t="array" ref="F45">IFERROR(INDEX(BD!$H$15:$H$1979,MATCH('Tab1'!E45&amp;'Tab1'!$F$11:$H$11&amp;'Tab1'!$F$12,BD!$F$15:$F$1979&amp;BD!$M$15:$M$1979&amp;BD!$N$15:$N$1979,0)),"")</f>
        <v/>
      </c>
      <c r="G45" s="160" t="str">
        <f t="array" ref="G45">IFERROR(INDEX(BD!$H$15:$H$1979,MATCH('Tab1'!E45&amp;'Tab1'!$F$11:$H$11&amp;$G$12,BD!$F$15:$F$1979&amp;BD!$M$15:$M$1979&amp;BD!$N$15:$N$1979,0)),"")</f>
        <v/>
      </c>
      <c r="H45" s="160">
        <f t="array" ref="H45">IFERROR(INDEX(BD!$H$15:$H$1979,MATCH('Tab1'!E45&amp;'Tab1'!$F$11:$H$11&amp;'Tab1'!$H$12,BD!$F$15:$F$1979&amp;BD!$M$15:$M$1979&amp;BD!$N$15:$N$1979,0)),"")</f>
        <v>17.5</v>
      </c>
      <c r="I45" s="160" t="str">
        <f t="array" ref="I45">IFERROR(INDEX(BD!$H$15:$H$1979,MATCH('Tab1'!E45&amp;'Tab1'!$I$11&amp;'Tab1'!$I$12,BD!$F$15:$F$1979&amp;BD!$M$15:$M$1979&amp;BD!$N$15:$N$1979,0)),"")</f>
        <v/>
      </c>
      <c r="J45" s="160" t="str">
        <f t="array" ref="J45">IFERROR(INDEX(BD!$H$15:$H$1979,MATCH('Tab1'!E45&amp;'Tab1'!$I$11&amp;'Tab1'!$J$12,BD!$F$15:$F$1979&amp;BD!$M$15:$M$1979&amp;BD!$N$15:$N$1979,0)),"")</f>
        <v/>
      </c>
      <c r="K45" s="160">
        <f t="array" ref="K45">IFERROR(INDEX(BD!$H$15:$H$1979,MATCH('Tab1'!E45&amp;'Tab1'!$I$11&amp;'Tab1'!$K$12,BD!$F$15:$F$1979&amp;BD!$M$15:$M$1979&amp;BD!$N$15:$N$1979,0)),"")</f>
        <v>18.5</v>
      </c>
      <c r="L45" s="160" t="str">
        <f t="array" ref="L45">IFERROR(INDEX(BD!$H$15:$H$1979,MATCH('Tab1'!E45&amp;'Tab1'!$L$11&amp;'Tab1'!$L$12,BD!$F$15:$F$1979&amp;BD!$M$15:$M$1979&amp;BD!$N$15:$N$1979,0)),"")</f>
        <v/>
      </c>
      <c r="M45" s="160" t="str">
        <f t="array" ref="M45">IFERROR(INDEX(BD!$H$15:$H$1979,MATCH('Tab1'!E45&amp;'Tab1'!$L$11&amp;'Tab1'!$M$12,BD!$F$15:$F$1979&amp;BD!$M$15:$M$1979&amp;BD!$N$15:$N$1979,0)),"")</f>
        <v/>
      </c>
      <c r="N45" s="160">
        <f t="array" ref="N45">IFERROR(INDEX(BD!$H$15:$H$1979,MATCH('Tab1'!E45&amp;'Tab1'!$L$11&amp;'Tab1'!$N$12,BD!$F$15:$F$1979&amp;BD!$M$15:$M$1979&amp;BD!$N$15:$N$1979,0)),"")</f>
        <v>19.5</v>
      </c>
      <c r="O45" s="160"/>
      <c r="P45" s="160"/>
      <c r="Q45" s="160"/>
      <c r="R45" s="30"/>
      <c r="S45" s="30"/>
      <c r="T45" s="30"/>
      <c r="U45" s="30"/>
      <c r="V45" s="30"/>
      <c r="W45" s="30"/>
    </row>
    <row r="46" spans="1:23" x14ac:dyDescent="0.25">
      <c r="A46" s="41"/>
      <c r="B46" s="62"/>
      <c r="C46" s="128" t="str">
        <f>'Cad1'!F48</f>
        <v>Pão de queijo Tradicional</v>
      </c>
      <c r="D46" s="30"/>
      <c r="E46" s="30" t="str">
        <f t="shared" si="1"/>
        <v>Pão de queijo Tradicional</v>
      </c>
      <c r="F46" s="160">
        <f t="array" ref="F46">IFERROR(INDEX(BD!$H$15:$H$1979,MATCH('Tab1'!E46&amp;'Tab1'!$F$11:$H$11&amp;'Tab1'!$F$12,BD!$F$15:$F$1979&amp;BD!$M$15:$M$1979&amp;BD!$N$15:$N$1979,0)),"")</f>
        <v>20</v>
      </c>
      <c r="G46" s="160">
        <f t="array" ref="G46">IFERROR(INDEX(BD!$H$15:$H$1979,MATCH('Tab1'!E46&amp;'Tab1'!$F$11:$H$11&amp;$G$12,BD!$F$15:$F$1979&amp;BD!$M$15:$M$1979&amp;BD!$N$15:$N$1979,0)),"")</f>
        <v>21.5</v>
      </c>
      <c r="H46" s="160">
        <f t="array" ref="H46">IFERROR(INDEX(BD!$H$15:$H$1979,MATCH('Tab1'!E46&amp;'Tab1'!$F$11:$H$11&amp;'Tab1'!$H$12,BD!$F$15:$F$1979&amp;BD!$M$15:$M$1979&amp;BD!$N$15:$N$1979,0)),"")</f>
        <v>26</v>
      </c>
      <c r="I46" s="160">
        <f t="array" ref="I46">IFERROR(INDEX(BD!$H$15:$H$1979,MATCH('Tab1'!E46&amp;'Tab1'!$I$11&amp;'Tab1'!$I$12,BD!$F$15:$F$1979&amp;BD!$M$15:$M$1979&amp;BD!$N$15:$N$1979,0)),"")</f>
        <v>21</v>
      </c>
      <c r="J46" s="160">
        <f t="array" ref="J46">IFERROR(INDEX(BD!$H$15:$H$1979,MATCH('Tab1'!E46&amp;'Tab1'!$I$11&amp;'Tab1'!$J$12,BD!$F$15:$F$1979&amp;BD!$M$15:$M$1979&amp;BD!$N$15:$N$1979,0)),"")</f>
        <v>22.5</v>
      </c>
      <c r="K46" s="160">
        <f t="array" ref="K46">IFERROR(INDEX(BD!$H$15:$H$1979,MATCH('Tab1'!E46&amp;'Tab1'!$I$11&amp;'Tab1'!$K$12,BD!$F$15:$F$1979&amp;BD!$M$15:$M$1979&amp;BD!$N$15:$N$1979,0)),"")</f>
        <v>27</v>
      </c>
      <c r="L46" s="160">
        <f t="array" ref="L46">IFERROR(INDEX(BD!$H$15:$H$1979,MATCH('Tab1'!E46&amp;'Tab1'!$L$11&amp;'Tab1'!$L$12,BD!$F$15:$F$1979&amp;BD!$M$15:$M$1979&amp;BD!$N$15:$N$1979,0)),"")</f>
        <v>22</v>
      </c>
      <c r="M46" s="160">
        <f t="array" ref="M46">IFERROR(INDEX(BD!$H$15:$H$1979,MATCH('Tab1'!E46&amp;'Tab1'!$L$11&amp;'Tab1'!$M$12,BD!$F$15:$F$1979&amp;BD!$M$15:$M$1979&amp;BD!$N$15:$N$1979,0)),"")</f>
        <v>23.5</v>
      </c>
      <c r="N46" s="160">
        <f t="array" ref="N46">IFERROR(INDEX(BD!$H$15:$H$1979,MATCH('Tab1'!E46&amp;'Tab1'!$L$11&amp;'Tab1'!$N$12,BD!$F$15:$F$1979&amp;BD!$M$15:$M$1979&amp;BD!$N$15:$N$1979,0)),"")</f>
        <v>28</v>
      </c>
      <c r="O46" s="160"/>
      <c r="P46" s="160"/>
      <c r="Q46" s="160"/>
      <c r="R46" s="30"/>
      <c r="S46" s="30"/>
      <c r="T46" s="30"/>
      <c r="U46" s="30"/>
      <c r="V46" s="30"/>
      <c r="W46" s="30"/>
    </row>
    <row r="47" spans="1:23" x14ac:dyDescent="0.25">
      <c r="A47" s="41"/>
      <c r="B47" s="41"/>
      <c r="C47" s="128" t="str">
        <f>'Cad1'!F49</f>
        <v>Pão de queijo Recheado</v>
      </c>
      <c r="D47" s="30"/>
      <c r="E47" s="30" t="str">
        <f t="shared" si="1"/>
        <v>Pão de queijo Recheado</v>
      </c>
      <c r="F47" s="160">
        <f t="array" ref="F47">IFERROR(INDEX(BD!$H$15:$H$1979,MATCH('Tab1'!E47&amp;'Tab1'!$F$11:$H$11&amp;'Tab1'!$F$12,BD!$F$15:$F$1979&amp;BD!$M$15:$M$1979&amp;BD!$N$15:$N$1979,0)),"")</f>
        <v>28.5</v>
      </c>
      <c r="G47" s="160">
        <f t="array" ref="G47">IFERROR(INDEX(BD!$H$15:$H$1979,MATCH('Tab1'!E47&amp;'Tab1'!$F$11:$H$11&amp;$G$12,BD!$F$15:$F$1979&amp;BD!$M$15:$M$1979&amp;BD!$N$15:$N$1979,0)),"")</f>
        <v>31</v>
      </c>
      <c r="H47" s="160">
        <f t="array" ref="H47">IFERROR(INDEX(BD!$H$15:$H$1979,MATCH('Tab1'!E47&amp;'Tab1'!$F$11:$H$11&amp;'Tab1'!$H$12,BD!$F$15:$F$1979&amp;BD!$M$15:$M$1979&amp;BD!$N$15:$N$1979,0)),"")</f>
        <v>37</v>
      </c>
      <c r="I47" s="160">
        <f t="array" ref="I47">IFERROR(INDEX(BD!$H$15:$H$1979,MATCH('Tab1'!E47&amp;'Tab1'!$I$11&amp;'Tab1'!$I$12,BD!$F$15:$F$1979&amp;BD!$M$15:$M$1979&amp;BD!$N$15:$N$1979,0)),"")</f>
        <v>29.5</v>
      </c>
      <c r="J47" s="160">
        <f t="array" ref="J47">IFERROR(INDEX(BD!$H$15:$H$1979,MATCH('Tab1'!E47&amp;'Tab1'!$I$11&amp;'Tab1'!$J$12,BD!$F$15:$F$1979&amp;BD!$M$15:$M$1979&amp;BD!$N$15:$N$1979,0)),"")</f>
        <v>32</v>
      </c>
      <c r="K47" s="160">
        <f t="array" ref="K47">IFERROR(INDEX(BD!$H$15:$H$1979,MATCH('Tab1'!E47&amp;'Tab1'!$I$11&amp;'Tab1'!$K$12,BD!$F$15:$F$1979&amp;BD!$M$15:$M$1979&amp;BD!$N$15:$N$1979,0)),"")</f>
        <v>38</v>
      </c>
      <c r="L47" s="160">
        <f t="array" ref="L47">IFERROR(INDEX(BD!$H$15:$H$1979,MATCH('Tab1'!E47&amp;'Tab1'!$L$11&amp;'Tab1'!$L$12,BD!$F$15:$F$1979&amp;BD!$M$15:$M$1979&amp;BD!$N$15:$N$1979,0)),"")</f>
        <v>30.5</v>
      </c>
      <c r="M47" s="160">
        <f t="array" ref="M47">IFERROR(INDEX(BD!$H$15:$H$1979,MATCH('Tab1'!E47&amp;'Tab1'!$L$11&amp;'Tab1'!$M$12,BD!$F$15:$F$1979&amp;BD!$M$15:$M$1979&amp;BD!$N$15:$N$1979,0)),"")</f>
        <v>33</v>
      </c>
      <c r="N47" s="160">
        <f t="array" ref="N47">IFERROR(INDEX(BD!$H$15:$H$1979,MATCH('Tab1'!E47&amp;'Tab1'!$L$11&amp;'Tab1'!$N$12,BD!$F$15:$F$1979&amp;BD!$M$15:$M$1979&amp;BD!$N$15:$N$1979,0)),"")</f>
        <v>39</v>
      </c>
      <c r="O47" s="160"/>
      <c r="P47" s="160"/>
      <c r="Q47" s="160"/>
      <c r="R47" s="30"/>
      <c r="S47" s="30"/>
      <c r="T47" s="30"/>
      <c r="U47" s="30"/>
      <c r="V47" s="30"/>
      <c r="W47" s="30"/>
    </row>
    <row r="48" spans="1:23" x14ac:dyDescent="0.25">
      <c r="A48" s="41"/>
      <c r="B48" s="41"/>
      <c r="C48" s="128" t="str">
        <f>'Cad1'!F50</f>
        <v>Abacaxi Congelado 500g</v>
      </c>
      <c r="D48" s="30"/>
      <c r="E48" s="30" t="str">
        <f t="shared" si="1"/>
        <v>Abacaxi Congelado 500g</v>
      </c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30"/>
      <c r="S48" s="30"/>
      <c r="T48" s="30"/>
      <c r="U48" s="30"/>
      <c r="V48" s="30"/>
      <c r="W48" s="30"/>
    </row>
    <row r="49" spans="1:23" x14ac:dyDescent="0.25">
      <c r="A49" s="41"/>
      <c r="B49" s="41"/>
      <c r="C49" s="128" t="str">
        <f>'Cad1'!F51</f>
        <v>Morango Congelado 500g</v>
      </c>
      <c r="D49" s="30"/>
      <c r="E49" s="30" t="str">
        <f t="shared" si="1"/>
        <v>Morango Congelado 500g</v>
      </c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30"/>
      <c r="S49" s="30"/>
      <c r="T49" s="30"/>
      <c r="U49" s="30"/>
      <c r="V49" s="30"/>
      <c r="W49" s="30"/>
    </row>
    <row r="50" spans="1:23" x14ac:dyDescent="0.25">
      <c r="A50" s="41"/>
      <c r="B50" s="252"/>
      <c r="C50" s="128">
        <f>'Cad1'!F52</f>
        <v>0</v>
      </c>
      <c r="D50" s="30"/>
      <c r="E50" s="30" t="str">
        <f t="shared" si="1"/>
        <v/>
      </c>
      <c r="F50" s="160" t="str">
        <f t="array" ref="F50">IFERROR(INDEX(BD!$H$15:$H$1979,MATCH('Tab1'!E50&amp;'Tab1'!$F$11:$H$11&amp;'Tab1'!$F$12,BD!$F$15:$F$1979&amp;BD!$M$15:$M$1979&amp;BD!$N$15:$N$1979,0)),"")</f>
        <v/>
      </c>
      <c r="G50" s="160" t="str">
        <f t="array" ref="G50">IFERROR(INDEX(BD!$H$15:$H$1979,MATCH('Tab1'!E50&amp;'Tab1'!$F$11:$H$11&amp;$G$12,BD!$F$15:$F$1979&amp;BD!$M$15:$M$1979&amp;BD!$N$15:$N$1979,0)),"")</f>
        <v/>
      </c>
      <c r="H50" s="160" t="str">
        <f t="array" ref="H50">IFERROR(INDEX(BD!$H$15:$H$1979,MATCH('Tab1'!E50&amp;'Tab1'!$F$11:$H$11&amp;'Tab1'!$H$12,BD!$F$15:$F$1979&amp;BD!$M$15:$M$1979&amp;BD!$N$15:$N$1979,0)),"")</f>
        <v/>
      </c>
      <c r="I50" s="160" t="str">
        <f t="array" ref="I50">IFERROR(INDEX(BD!$H$15:$H$1979,MATCH('Tab1'!E50&amp;'Tab1'!$I$11&amp;'Tab1'!$I$12,BD!$F$15:$F$1979&amp;BD!$M$15:$M$1979&amp;BD!$N$15:$N$1979,0)),"")</f>
        <v/>
      </c>
      <c r="J50" s="160" t="str">
        <f t="array" ref="J50">IFERROR(INDEX(BD!$H$15:$H$1979,MATCH('Tab1'!E50&amp;'Tab1'!$I$11&amp;'Tab1'!$J$12,BD!$F$15:$F$1979&amp;BD!$M$15:$M$1979&amp;BD!$N$15:$N$1979,0)),"")</f>
        <v/>
      </c>
      <c r="K50" s="160" t="str">
        <f t="array" ref="K50">IFERROR(INDEX(BD!$H$15:$H$1979,MATCH('Tab1'!E50&amp;'Tab1'!$I$11&amp;'Tab1'!$K$12,BD!$F$15:$F$1979&amp;BD!$M$15:$M$1979&amp;BD!$N$15:$N$1979,0)),"")</f>
        <v/>
      </c>
      <c r="L50" s="160" t="str">
        <f t="array" ref="L50">IFERROR(INDEX(BD!$H$15:$H$1979,MATCH('Tab1'!E50&amp;'Tab1'!$L$11&amp;'Tab1'!$L$12,BD!$F$15:$F$1979&amp;BD!$M$15:$M$1979&amp;BD!$N$15:$N$1979,0)),"")</f>
        <v/>
      </c>
      <c r="M50" s="160" t="str">
        <f t="array" ref="M50">IFERROR(INDEX(BD!$H$15:$H$1979,MATCH('Tab1'!E50&amp;'Tab1'!$L$11&amp;'Tab1'!$M$12,BD!$F$15:$F$1979&amp;BD!$M$15:$M$1979&amp;BD!$N$15:$N$1979,0)),"")</f>
        <v/>
      </c>
      <c r="N50" s="160" t="str">
        <f t="array" ref="N50">IFERROR(INDEX(BD!$H$15:$H$1979,MATCH('Tab1'!E50&amp;'Tab1'!$L$11&amp;'Tab1'!$N$12,BD!$F$15:$F$1979&amp;BD!$M$15:$M$1979&amp;BD!$N$15:$N$1979,0)),"")</f>
        <v/>
      </c>
      <c r="O50" s="160">
        <f t="array" ref="O50">IFERROR(INDEX(BD!$H$15:$H$1979,MATCH('Tab1'!E50&amp;'Tab1'!$O$11&amp;'Tab1'!$O$12,BD!$F$15:$F$1979&amp;BD!$M$15:$M$1979&amp;BD!$N$15:$N$1979,0)),"")</f>
        <v>0</v>
      </c>
      <c r="P50" s="160">
        <f t="array" ref="P50">IFERROR(INDEX(BD!$H$15:$H$1979,MATCH('Tab1'!E50&amp;'Tab1'!$O$11&amp;'Tab1'!$P$12,BD!$F$15:$F$1979&amp;BD!$M$15:$M$1979&amp;BD!$N$15:$N$1979,0)),"")</f>
        <v>0</v>
      </c>
      <c r="Q50" s="160">
        <f t="array" ref="Q50">IFERROR(INDEX(BD!$H$15:$H$1979,MATCH('Tab1'!E50&amp;'Tab1'!$O$11&amp;'Tab1'!$Q$12,BD!$F$15:$F$1979&amp;BD!$M$15:$M$1979&amp;BD!$N$15:$N$1979,0)),"")</f>
        <v>0</v>
      </c>
      <c r="R50" s="30"/>
      <c r="S50" s="30"/>
      <c r="T50" s="30"/>
      <c r="U50" s="30"/>
      <c r="V50" s="30"/>
      <c r="W50" s="30"/>
    </row>
    <row r="51" spans="1:23" x14ac:dyDescent="0.25">
      <c r="A51" s="41"/>
      <c r="B51" s="252"/>
      <c r="C51" s="128">
        <f>'Cad1'!F53</f>
        <v>0</v>
      </c>
      <c r="D51" s="30"/>
      <c r="E51" s="30" t="str">
        <f t="shared" si="1"/>
        <v/>
      </c>
      <c r="F51" s="160" t="str">
        <f t="array" ref="F51">IFERROR(INDEX(BD!$H$15:$H$1979,MATCH('Tab1'!E51&amp;'Tab1'!$F$11:$H$11&amp;'Tab1'!$F$12,BD!$F$15:$F$1979&amp;BD!$M$15:$M$1979&amp;BD!$N$15:$N$1979,0)),"")</f>
        <v/>
      </c>
      <c r="G51" s="160" t="str">
        <f t="array" ref="G51">IFERROR(INDEX(BD!$H$15:$H$1979,MATCH('Tab1'!E51&amp;'Tab1'!$F$11:$H$11&amp;$G$12,BD!$F$15:$F$1979&amp;BD!$M$15:$M$1979&amp;BD!$N$15:$N$1979,0)),"")</f>
        <v/>
      </c>
      <c r="H51" s="160" t="str">
        <f t="array" ref="H51">IFERROR(INDEX(BD!$H$15:$H$1979,MATCH('Tab1'!E51&amp;'Tab1'!$F$11:$H$11&amp;'Tab1'!$H$12,BD!$F$15:$F$1979&amp;BD!$M$15:$M$1979&amp;BD!$N$15:$N$1979,0)),"")</f>
        <v/>
      </c>
      <c r="I51" s="160" t="str">
        <f t="array" ref="I51">IFERROR(INDEX(BD!$H$15:$H$1979,MATCH('Tab1'!E51&amp;'Tab1'!$I$11&amp;'Tab1'!$I$12,BD!$F$15:$F$1979&amp;BD!$M$15:$M$1979&amp;BD!$N$15:$N$1979,0)),"")</f>
        <v/>
      </c>
      <c r="J51" s="160" t="str">
        <f t="array" ref="J51">IFERROR(INDEX(BD!$H$15:$H$1979,MATCH('Tab1'!E51&amp;'Tab1'!$I$11&amp;'Tab1'!$J$12,BD!$F$15:$F$1979&amp;BD!$M$15:$M$1979&amp;BD!$N$15:$N$1979,0)),"")</f>
        <v/>
      </c>
      <c r="K51" s="160" t="str">
        <f t="array" ref="K51">IFERROR(INDEX(BD!$H$15:$H$1979,MATCH('Tab1'!E51&amp;'Tab1'!$I$11&amp;'Tab1'!$K$12,BD!$F$15:$F$1979&amp;BD!$M$15:$M$1979&amp;BD!$N$15:$N$1979,0)),"")</f>
        <v/>
      </c>
      <c r="L51" s="160" t="str">
        <f t="array" ref="L51">IFERROR(INDEX(BD!$H$15:$H$1979,MATCH('Tab1'!E51&amp;'Tab1'!$L$11&amp;'Tab1'!$L$12,BD!$F$15:$F$1979&amp;BD!$M$15:$M$1979&amp;BD!$N$15:$N$1979,0)),"")</f>
        <v/>
      </c>
      <c r="M51" s="160" t="str">
        <f t="array" ref="M51">IFERROR(INDEX(BD!$H$15:$H$1979,MATCH('Tab1'!E51&amp;'Tab1'!$L$11&amp;'Tab1'!$M$12,BD!$F$15:$F$1979&amp;BD!$M$15:$M$1979&amp;BD!$N$15:$N$1979,0)),"")</f>
        <v/>
      </c>
      <c r="N51" s="160" t="str">
        <f t="array" ref="N51">IFERROR(INDEX(BD!$H$15:$H$1979,MATCH('Tab1'!E51&amp;'Tab1'!$L$11&amp;'Tab1'!$N$12,BD!$F$15:$F$1979&amp;BD!$M$15:$M$1979&amp;BD!$N$15:$N$1979,0)),"")</f>
        <v/>
      </c>
      <c r="O51" s="160">
        <f t="array" ref="O51">IFERROR(INDEX(BD!$H$15:$H$1979,MATCH('Tab1'!E51&amp;'Tab1'!$O$11&amp;'Tab1'!$O$12,BD!$F$15:$F$1979&amp;BD!$M$15:$M$1979&amp;BD!$N$15:$N$1979,0)),"")</f>
        <v>0</v>
      </c>
      <c r="P51" s="160">
        <f t="array" ref="P51">IFERROR(INDEX(BD!$H$15:$H$1979,MATCH('Tab1'!E51&amp;'Tab1'!$O$11&amp;'Tab1'!$P$12,BD!$F$15:$F$1979&amp;BD!$M$15:$M$1979&amp;BD!$N$15:$N$1979,0)),"")</f>
        <v>0</v>
      </c>
      <c r="Q51" s="160">
        <f t="array" ref="Q51">IFERROR(INDEX(BD!$H$15:$H$1979,MATCH('Tab1'!E51&amp;'Tab1'!$O$11&amp;'Tab1'!$Q$12,BD!$F$15:$F$1979&amp;BD!$M$15:$M$1979&amp;BD!$N$15:$N$1979,0)),"")</f>
        <v>0</v>
      </c>
      <c r="R51" s="30"/>
      <c r="S51" s="30"/>
      <c r="T51" s="30"/>
      <c r="U51" s="30"/>
      <c r="V51" s="30"/>
      <c r="W51" s="30"/>
    </row>
    <row r="52" spans="1:23" x14ac:dyDescent="0.25">
      <c r="A52" s="41"/>
      <c r="B52" s="252"/>
      <c r="C52" s="128">
        <f>'Cad1'!F54</f>
        <v>0</v>
      </c>
      <c r="D52" s="30"/>
      <c r="E52" s="30" t="str">
        <f t="shared" si="1"/>
        <v/>
      </c>
      <c r="F52" s="160" t="str">
        <f t="array" ref="F52">IFERROR(INDEX(BD!$H$15:$H$1979,MATCH('Tab1'!E52&amp;'Tab1'!$F$11:$H$11&amp;'Tab1'!$F$12,BD!$F$15:$F$1979&amp;BD!$M$15:$M$1979&amp;BD!$N$15:$N$1979,0)),"")</f>
        <v/>
      </c>
      <c r="G52" s="160" t="str">
        <f t="array" ref="G52">IFERROR(INDEX(BD!$H$15:$H$1979,MATCH('Tab1'!E52&amp;'Tab1'!$F$11:$H$11&amp;$G$12,BD!$F$15:$F$1979&amp;BD!$M$15:$M$1979&amp;BD!$N$15:$N$1979,0)),"")</f>
        <v/>
      </c>
      <c r="H52" s="160" t="str">
        <f t="array" ref="H52">IFERROR(INDEX(BD!$H$15:$H$1979,MATCH('Tab1'!E52&amp;'Tab1'!$F$11:$H$11&amp;'Tab1'!$H$12,BD!$F$15:$F$1979&amp;BD!$M$15:$M$1979&amp;BD!$N$15:$N$1979,0)),"")</f>
        <v/>
      </c>
      <c r="I52" s="160" t="str">
        <f t="array" ref="I52">IFERROR(INDEX(BD!$H$15:$H$1979,MATCH('Tab1'!E52&amp;'Tab1'!$I$11&amp;'Tab1'!$I$12,BD!$F$15:$F$1979&amp;BD!$M$15:$M$1979&amp;BD!$N$15:$N$1979,0)),"")</f>
        <v/>
      </c>
      <c r="J52" s="160" t="str">
        <f t="array" ref="J52">IFERROR(INDEX(BD!$H$15:$H$1979,MATCH('Tab1'!E52&amp;'Tab1'!$I$11&amp;'Tab1'!$J$12,BD!$F$15:$F$1979&amp;BD!$M$15:$M$1979&amp;BD!$N$15:$N$1979,0)),"")</f>
        <v/>
      </c>
      <c r="K52" s="160" t="str">
        <f t="array" ref="K52">IFERROR(INDEX(BD!$H$15:$H$1979,MATCH('Tab1'!E52&amp;'Tab1'!$I$11&amp;'Tab1'!$K$12,BD!$F$15:$F$1979&amp;BD!$M$15:$M$1979&amp;BD!$N$15:$N$1979,0)),"")</f>
        <v/>
      </c>
      <c r="L52" s="160" t="str">
        <f t="array" ref="L52">IFERROR(INDEX(BD!$H$15:$H$1979,MATCH('Tab1'!E52&amp;'Tab1'!$L$11&amp;'Tab1'!$L$12,BD!$F$15:$F$1979&amp;BD!$M$15:$M$1979&amp;BD!$N$15:$N$1979,0)),"")</f>
        <v/>
      </c>
      <c r="M52" s="160" t="str">
        <f t="array" ref="M52">IFERROR(INDEX(BD!$H$15:$H$1979,MATCH('Tab1'!E52&amp;'Tab1'!$L$11&amp;'Tab1'!$M$12,BD!$F$15:$F$1979&amp;BD!$M$15:$M$1979&amp;BD!$N$15:$N$1979,0)),"")</f>
        <v/>
      </c>
      <c r="N52" s="160" t="str">
        <f t="array" ref="N52">IFERROR(INDEX(BD!$H$15:$H$1979,MATCH('Tab1'!E52&amp;'Tab1'!$L$11&amp;'Tab1'!$N$12,BD!$F$15:$F$1979&amp;BD!$M$15:$M$1979&amp;BD!$N$15:$N$1979,0)),"")</f>
        <v/>
      </c>
      <c r="O52" s="160">
        <f t="array" ref="O52">IFERROR(INDEX(BD!$H$15:$H$1979,MATCH('Tab1'!E52&amp;'Tab1'!$O$11&amp;'Tab1'!$O$12,BD!$F$15:$F$1979&amp;BD!$M$15:$M$1979&amp;BD!$N$15:$N$1979,0)),"")</f>
        <v>0</v>
      </c>
      <c r="P52" s="160">
        <f t="array" ref="P52">IFERROR(INDEX(BD!$H$15:$H$1979,MATCH('Tab1'!E52&amp;'Tab1'!$O$11&amp;'Tab1'!$P$12,BD!$F$15:$F$1979&amp;BD!$M$15:$M$1979&amp;BD!$N$15:$N$1979,0)),"")</f>
        <v>0</v>
      </c>
      <c r="Q52" s="160">
        <f t="array" ref="Q52">IFERROR(INDEX(BD!$H$15:$H$1979,MATCH('Tab1'!E52&amp;'Tab1'!$O$11&amp;'Tab1'!$Q$12,BD!$F$15:$F$1979&amp;BD!$M$15:$M$1979&amp;BD!$N$15:$N$1979,0)),"")</f>
        <v>0</v>
      </c>
      <c r="R52" s="30"/>
      <c r="S52" s="30"/>
      <c r="T52" s="30"/>
      <c r="U52" s="30"/>
      <c r="V52" s="30"/>
      <c r="W52" s="30"/>
    </row>
    <row r="53" spans="1:23" x14ac:dyDescent="0.25">
      <c r="A53" s="41"/>
      <c r="B53" s="252"/>
      <c r="C53" s="128">
        <f>'Cad1'!F55</f>
        <v>0</v>
      </c>
      <c r="D53" s="30"/>
      <c r="E53" s="30" t="str">
        <f t="shared" si="1"/>
        <v/>
      </c>
      <c r="F53" s="160" t="str">
        <f t="array" ref="F53">IFERROR(INDEX(BD!$H$15:$H$1979,MATCH('Tab1'!E53&amp;'Tab1'!$F$11:$H$11&amp;'Tab1'!$F$12,BD!$F$15:$F$1979&amp;BD!$M$15:$M$1979&amp;BD!$N$15:$N$1979,0)),"")</f>
        <v/>
      </c>
      <c r="G53" s="160" t="str">
        <f t="array" ref="G53">IFERROR(INDEX(BD!$H$15:$H$1979,MATCH('Tab1'!E53&amp;'Tab1'!$F$11:$H$11&amp;$G$12,BD!$F$15:$F$1979&amp;BD!$M$15:$M$1979&amp;BD!$N$15:$N$1979,0)),"")</f>
        <v/>
      </c>
      <c r="H53" s="160" t="str">
        <f t="array" ref="H53">IFERROR(INDEX(BD!$H$15:$H$1979,MATCH('Tab1'!E53&amp;'Tab1'!$F$11:$H$11&amp;'Tab1'!$H$12,BD!$F$15:$F$1979&amp;BD!$M$15:$M$1979&amp;BD!$N$15:$N$1979,0)),"")</f>
        <v/>
      </c>
      <c r="I53" s="160" t="str">
        <f t="array" ref="I53">IFERROR(INDEX(BD!$H$15:$H$1979,MATCH('Tab1'!E53&amp;'Tab1'!$I$11&amp;'Tab1'!$I$12,BD!$F$15:$F$1979&amp;BD!$M$15:$M$1979&amp;BD!$N$15:$N$1979,0)),"")</f>
        <v/>
      </c>
      <c r="J53" s="160" t="str">
        <f t="array" ref="J53">IFERROR(INDEX(BD!$H$15:$H$1979,MATCH('Tab1'!E53&amp;'Tab1'!$I$11&amp;'Tab1'!$J$12,BD!$F$15:$F$1979&amp;BD!$M$15:$M$1979&amp;BD!$N$15:$N$1979,0)),"")</f>
        <v/>
      </c>
      <c r="K53" s="160" t="str">
        <f t="array" ref="K53">IFERROR(INDEX(BD!$H$15:$H$1979,MATCH('Tab1'!E53&amp;'Tab1'!$I$11&amp;'Tab1'!$K$12,BD!$F$15:$F$1979&amp;BD!$M$15:$M$1979&amp;BD!$N$15:$N$1979,0)),"")</f>
        <v/>
      </c>
      <c r="L53" s="160" t="str">
        <f t="array" ref="L53">IFERROR(INDEX(BD!$H$15:$H$1979,MATCH('Tab1'!E53&amp;'Tab1'!$L$11&amp;'Tab1'!$L$12,BD!$F$15:$F$1979&amp;BD!$M$15:$M$1979&amp;BD!$N$15:$N$1979,0)),"")</f>
        <v/>
      </c>
      <c r="M53" s="160" t="str">
        <f t="array" ref="M53">IFERROR(INDEX(BD!$H$15:$H$1979,MATCH('Tab1'!E53&amp;'Tab1'!$L$11&amp;'Tab1'!$M$12,BD!$F$15:$F$1979&amp;BD!$M$15:$M$1979&amp;BD!$N$15:$N$1979,0)),"")</f>
        <v/>
      </c>
      <c r="N53" s="160" t="str">
        <f t="array" ref="N53">IFERROR(INDEX(BD!$H$15:$H$1979,MATCH('Tab1'!E53&amp;'Tab1'!$L$11&amp;'Tab1'!$N$12,BD!$F$15:$F$1979&amp;BD!$M$15:$M$1979&amp;BD!$N$15:$N$1979,0)),"")</f>
        <v/>
      </c>
      <c r="O53" s="160">
        <f t="array" ref="O53">IFERROR(INDEX(BD!$H$15:$H$1979,MATCH('Tab1'!E53&amp;'Tab1'!$O$11&amp;'Tab1'!$O$12,BD!$F$15:$F$1979&amp;BD!$M$15:$M$1979&amp;BD!$N$15:$N$1979,0)),"")</f>
        <v>0</v>
      </c>
      <c r="P53" s="160">
        <f t="array" ref="P53">IFERROR(INDEX(BD!$H$15:$H$1979,MATCH('Tab1'!E53&amp;'Tab1'!$O$11&amp;'Tab1'!$P$12,BD!$F$15:$F$1979&amp;BD!$M$15:$M$1979&amp;BD!$N$15:$N$1979,0)),"")</f>
        <v>0</v>
      </c>
      <c r="Q53" s="160">
        <f t="array" ref="Q53">IFERROR(INDEX(BD!$H$15:$H$1979,MATCH('Tab1'!E53&amp;'Tab1'!$O$11&amp;'Tab1'!$Q$12,BD!$F$15:$F$1979&amp;BD!$M$15:$M$1979&amp;BD!$N$15:$N$1979,0)),"")</f>
        <v>0</v>
      </c>
      <c r="R53" s="30"/>
      <c r="S53" s="30"/>
      <c r="T53" s="30"/>
      <c r="U53" s="30"/>
      <c r="V53" s="30"/>
      <c r="W53" s="30"/>
    </row>
    <row r="54" spans="1:23" x14ac:dyDescent="0.25">
      <c r="A54" s="41"/>
      <c r="B54" s="41"/>
      <c r="C54" s="128">
        <f>'Cad1'!F56</f>
        <v>0</v>
      </c>
      <c r="D54" s="30"/>
      <c r="E54" s="30" t="str">
        <f t="shared" si="1"/>
        <v/>
      </c>
      <c r="F54" s="160" t="str">
        <f t="array" ref="F54">IFERROR(INDEX(BD!$H$15:$H$1979,MATCH('Tab1'!E54&amp;'Tab1'!$F$11:$H$11&amp;'Tab1'!$F$12,BD!$F$15:$F$1979&amp;BD!$M$15:$M$1979&amp;BD!$N$15:$N$1979,0)),"")</f>
        <v/>
      </c>
      <c r="G54" s="160" t="str">
        <f t="array" ref="G54">IFERROR(INDEX(BD!$H$15:$H$1979,MATCH('Tab1'!E54&amp;'Tab1'!$F$11:$H$11&amp;$G$12,BD!$F$15:$F$1979&amp;BD!$M$15:$M$1979&amp;BD!$N$15:$N$1979,0)),"")</f>
        <v/>
      </c>
      <c r="H54" s="160" t="str">
        <f t="array" ref="H54">IFERROR(INDEX(BD!$H$15:$H$1979,MATCH('Tab1'!E54&amp;'Tab1'!$F$11:$H$11&amp;'Tab1'!$H$12,BD!$F$15:$F$1979&amp;BD!$M$15:$M$1979&amp;BD!$N$15:$N$1979,0)),"")</f>
        <v/>
      </c>
      <c r="I54" s="160" t="str">
        <f t="array" ref="I54">IFERROR(INDEX(BD!$H$15:$H$1979,MATCH('Tab1'!E54&amp;'Tab1'!$I$11&amp;'Tab1'!$I$12,BD!$F$15:$F$1979&amp;BD!$M$15:$M$1979&amp;BD!$N$15:$N$1979,0)),"")</f>
        <v/>
      </c>
      <c r="J54" s="160" t="str">
        <f t="array" ref="J54">IFERROR(INDEX(BD!$H$15:$H$1979,MATCH('Tab1'!E54&amp;'Tab1'!$I$11&amp;'Tab1'!$J$12,BD!$F$15:$F$1979&amp;BD!$M$15:$M$1979&amp;BD!$N$15:$N$1979,0)),"")</f>
        <v/>
      </c>
      <c r="K54" s="160" t="str">
        <f t="array" ref="K54">IFERROR(INDEX(BD!$H$15:$H$1979,MATCH('Tab1'!E54&amp;'Tab1'!$I$11&amp;'Tab1'!$K$12,BD!$F$15:$F$1979&amp;BD!$M$15:$M$1979&amp;BD!$N$15:$N$1979,0)),"")</f>
        <v/>
      </c>
      <c r="L54" s="160" t="str">
        <f t="array" ref="L54">IFERROR(INDEX(BD!$H$15:$H$1979,MATCH('Tab1'!E54&amp;'Tab1'!$L$11&amp;'Tab1'!$L$12,BD!$F$15:$F$1979&amp;BD!$M$15:$M$1979&amp;BD!$N$15:$N$1979,0)),"")</f>
        <v/>
      </c>
      <c r="M54" s="160" t="str">
        <f t="array" ref="M54">IFERROR(INDEX(BD!$H$15:$H$1979,MATCH('Tab1'!E54&amp;'Tab1'!$L$11&amp;'Tab1'!$M$12,BD!$F$15:$F$1979&amp;BD!$M$15:$M$1979&amp;BD!$N$15:$N$1979,0)),"")</f>
        <v/>
      </c>
      <c r="N54" s="160" t="str">
        <f t="array" ref="N54">IFERROR(INDEX(BD!$H$15:$H$1979,MATCH('Tab1'!E54&amp;'Tab1'!$L$11&amp;'Tab1'!$N$12,BD!$F$15:$F$1979&amp;BD!$M$15:$M$1979&amp;BD!$N$15:$N$1979,0)),"")</f>
        <v/>
      </c>
      <c r="O54" s="160">
        <f t="array" ref="O54">IFERROR(INDEX(BD!$H$15:$H$1979,MATCH('Tab1'!E54&amp;'Tab1'!$O$11&amp;'Tab1'!$O$12,BD!$F$15:$F$1979&amp;BD!$M$15:$M$1979&amp;BD!$N$15:$N$1979,0)),"")</f>
        <v>0</v>
      </c>
      <c r="P54" s="160">
        <f t="array" ref="P54">IFERROR(INDEX(BD!$H$15:$H$1979,MATCH('Tab1'!E54&amp;'Tab1'!$O$11&amp;'Tab1'!$P$12,BD!$F$15:$F$1979&amp;BD!$M$15:$M$1979&amp;BD!$N$15:$N$1979,0)),"")</f>
        <v>0</v>
      </c>
      <c r="Q54" s="160">
        <f t="array" ref="Q54">IFERROR(INDEX(BD!$H$15:$H$1979,MATCH('Tab1'!E54&amp;'Tab1'!$O$11&amp;'Tab1'!$Q$12,BD!$F$15:$F$1979&amp;BD!$M$15:$M$1979&amp;BD!$N$15:$N$1979,0)),"")</f>
        <v>0</v>
      </c>
      <c r="R54" s="30"/>
      <c r="S54" s="30"/>
      <c r="T54" s="30"/>
      <c r="U54" s="30"/>
      <c r="V54" s="30"/>
      <c r="W54" s="30"/>
    </row>
    <row r="55" spans="1:23" x14ac:dyDescent="0.25">
      <c r="A55" s="41"/>
      <c r="B55" s="41"/>
      <c r="C55" s="128">
        <f>'Cad1'!F57</f>
        <v>0</v>
      </c>
      <c r="D55" s="30"/>
      <c r="E55" s="30" t="str">
        <f t="shared" si="1"/>
        <v/>
      </c>
      <c r="F55" s="160" t="str">
        <f t="array" ref="F55">IFERROR(INDEX(BD!$H$15:$H$1979,MATCH('Tab1'!E55&amp;'Tab1'!$F$11:$H$11&amp;'Tab1'!$F$12,BD!$F$15:$F$1979&amp;BD!$M$15:$M$1979&amp;BD!$N$15:$N$1979,0)),"")</f>
        <v/>
      </c>
      <c r="G55" s="160" t="str">
        <f t="array" ref="G55">IFERROR(INDEX(BD!$H$15:$H$1979,MATCH('Tab1'!E55&amp;'Tab1'!$F$11:$H$11&amp;$G$12,BD!$F$15:$F$1979&amp;BD!$M$15:$M$1979&amp;BD!$N$15:$N$1979,0)),"")</f>
        <v/>
      </c>
      <c r="H55" s="160" t="str">
        <f t="array" ref="H55">IFERROR(INDEX(BD!$H$15:$H$1979,MATCH('Tab1'!E55&amp;'Tab1'!$F$11:$H$11&amp;'Tab1'!$H$12,BD!$F$15:$F$1979&amp;BD!$M$15:$M$1979&amp;BD!$N$15:$N$1979,0)),"")</f>
        <v/>
      </c>
      <c r="I55" s="160" t="str">
        <f t="array" ref="I55">IFERROR(INDEX(BD!$H$15:$H$1979,MATCH('Tab1'!E55&amp;'Tab1'!$I$11&amp;'Tab1'!$I$12,BD!$F$15:$F$1979&amp;BD!$M$15:$M$1979&amp;BD!$N$15:$N$1979,0)),"")</f>
        <v/>
      </c>
      <c r="J55" s="160" t="str">
        <f t="array" ref="J55">IFERROR(INDEX(BD!$H$15:$H$1979,MATCH('Tab1'!E55&amp;'Tab1'!$I$11&amp;'Tab1'!$J$12,BD!$F$15:$F$1979&amp;BD!$M$15:$M$1979&amp;BD!$N$15:$N$1979,0)),"")</f>
        <v/>
      </c>
      <c r="K55" s="160" t="str">
        <f t="array" ref="K55">IFERROR(INDEX(BD!$H$15:$H$1979,MATCH('Tab1'!E55&amp;'Tab1'!$I$11&amp;'Tab1'!$K$12,BD!$F$15:$F$1979&amp;BD!$M$15:$M$1979&amp;BD!$N$15:$N$1979,0)),"")</f>
        <v/>
      </c>
      <c r="L55" s="160" t="str">
        <f t="array" ref="L55">IFERROR(INDEX(BD!$H$15:$H$1979,MATCH('Tab1'!E55&amp;'Tab1'!$L$11&amp;'Tab1'!$L$12,BD!$F$15:$F$1979&amp;BD!$M$15:$M$1979&amp;BD!$N$15:$N$1979,0)),"")</f>
        <v/>
      </c>
      <c r="M55" s="160" t="str">
        <f t="array" ref="M55">IFERROR(INDEX(BD!$H$15:$H$1979,MATCH('Tab1'!E55&amp;'Tab1'!$L$11&amp;'Tab1'!$M$12,BD!$F$15:$F$1979&amp;BD!$M$15:$M$1979&amp;BD!$N$15:$N$1979,0)),"")</f>
        <v/>
      </c>
      <c r="N55" s="160" t="str">
        <f t="array" ref="N55">IFERROR(INDEX(BD!$H$15:$H$1979,MATCH('Tab1'!E55&amp;'Tab1'!$L$11&amp;'Tab1'!$N$12,BD!$F$15:$F$1979&amp;BD!$M$15:$M$1979&amp;BD!$N$15:$N$1979,0)),"")</f>
        <v/>
      </c>
      <c r="O55" s="160">
        <f t="array" ref="O55">IFERROR(INDEX(BD!$H$15:$H$1979,MATCH('Tab1'!E55&amp;'Tab1'!$O$11&amp;'Tab1'!$O$12,BD!$F$15:$F$1979&amp;BD!$M$15:$M$1979&amp;BD!$N$15:$N$1979,0)),"")</f>
        <v>0</v>
      </c>
      <c r="P55" s="160">
        <f t="array" ref="P55">IFERROR(INDEX(BD!$H$15:$H$1979,MATCH('Tab1'!E55&amp;'Tab1'!$O$11&amp;'Tab1'!$P$12,BD!$F$15:$F$1979&amp;BD!$M$15:$M$1979&amp;BD!$N$15:$N$1979,0)),"")</f>
        <v>0</v>
      </c>
      <c r="Q55" s="160">
        <f t="array" ref="Q55">IFERROR(INDEX(BD!$H$15:$H$1979,MATCH('Tab1'!E55&amp;'Tab1'!$O$11&amp;'Tab1'!$Q$12,BD!$F$15:$F$1979&amp;BD!$M$15:$M$1979&amp;BD!$N$15:$N$1979,0)),"")</f>
        <v>0</v>
      </c>
      <c r="R55" s="30"/>
      <c r="S55" s="30"/>
      <c r="T55" s="30"/>
      <c r="U55" s="30"/>
      <c r="V55" s="30"/>
      <c r="W55" s="30"/>
    </row>
    <row r="56" spans="1:23" x14ac:dyDescent="0.25">
      <c r="A56" s="41"/>
      <c r="B56" s="41"/>
      <c r="C56" s="128">
        <f>'Cad1'!F58</f>
        <v>0</v>
      </c>
      <c r="D56" s="30"/>
      <c r="E56" s="30" t="str">
        <f t="shared" si="1"/>
        <v/>
      </c>
      <c r="F56" s="160" t="str">
        <f t="array" ref="F56">IFERROR(INDEX(BD!$H$15:$H$1979,MATCH('Tab1'!E56&amp;'Tab1'!$F$11:$H$11&amp;'Tab1'!$F$12,BD!$F$15:$F$1979&amp;BD!$M$15:$M$1979&amp;BD!$N$15:$N$1979,0)),"")</f>
        <v/>
      </c>
      <c r="G56" s="160" t="str">
        <f t="array" ref="G56">IFERROR(INDEX(BD!$H$15:$H$1979,MATCH('Tab1'!E56&amp;'Tab1'!$F$11:$H$11&amp;$G$12,BD!$F$15:$F$1979&amp;BD!$M$15:$M$1979&amp;BD!$N$15:$N$1979,0)),"")</f>
        <v/>
      </c>
      <c r="H56" s="160" t="str">
        <f t="array" ref="H56">IFERROR(INDEX(BD!$H$15:$H$1979,MATCH('Tab1'!E56&amp;'Tab1'!$F$11:$H$11&amp;'Tab1'!$H$12,BD!$F$15:$F$1979&amp;BD!$M$15:$M$1979&amp;BD!$N$15:$N$1979,0)),"")</f>
        <v/>
      </c>
      <c r="I56" s="160" t="str">
        <f t="array" ref="I56">IFERROR(INDEX(BD!$H$15:$H$1979,MATCH('Tab1'!E56&amp;'Tab1'!$I$11&amp;'Tab1'!$I$12,BD!$F$15:$F$1979&amp;BD!$M$15:$M$1979&amp;BD!$N$15:$N$1979,0)),"")</f>
        <v/>
      </c>
      <c r="J56" s="160" t="str">
        <f t="array" ref="J56">IFERROR(INDEX(BD!$H$15:$H$1979,MATCH('Tab1'!E56&amp;'Tab1'!$I$11&amp;'Tab1'!$J$12,BD!$F$15:$F$1979&amp;BD!$M$15:$M$1979&amp;BD!$N$15:$N$1979,0)),"")</f>
        <v/>
      </c>
      <c r="K56" s="160" t="str">
        <f t="array" ref="K56">IFERROR(INDEX(BD!$H$15:$H$1979,MATCH('Tab1'!E56&amp;'Tab1'!$I$11&amp;'Tab1'!$K$12,BD!$F$15:$F$1979&amp;BD!$M$15:$M$1979&amp;BD!$N$15:$N$1979,0)),"")</f>
        <v/>
      </c>
      <c r="L56" s="160" t="str">
        <f t="array" ref="L56">IFERROR(INDEX(BD!$H$15:$H$1979,MATCH('Tab1'!E56&amp;'Tab1'!$L$11&amp;'Tab1'!$L$12,BD!$F$15:$F$1979&amp;BD!$M$15:$M$1979&amp;BD!$N$15:$N$1979,0)),"")</f>
        <v/>
      </c>
      <c r="M56" s="160" t="str">
        <f t="array" ref="M56">IFERROR(INDEX(BD!$H$15:$H$1979,MATCH('Tab1'!E56&amp;'Tab1'!$L$11&amp;'Tab1'!$M$12,BD!$F$15:$F$1979&amp;BD!$M$15:$M$1979&amp;BD!$N$15:$N$1979,0)),"")</f>
        <v/>
      </c>
      <c r="N56" s="160" t="str">
        <f t="array" ref="N56">IFERROR(INDEX(BD!$H$15:$H$1979,MATCH('Tab1'!E56&amp;'Tab1'!$L$11&amp;'Tab1'!$N$12,BD!$F$15:$F$1979&amp;BD!$M$15:$M$1979&amp;BD!$N$15:$N$1979,0)),"")</f>
        <v/>
      </c>
      <c r="O56" s="160">
        <f t="array" ref="O56">IFERROR(INDEX(BD!$H$15:$H$1979,MATCH('Tab1'!E56&amp;'Tab1'!$O$11&amp;'Tab1'!$O$12,BD!$F$15:$F$1979&amp;BD!$M$15:$M$1979&amp;BD!$N$15:$N$1979,0)),"")</f>
        <v>0</v>
      </c>
      <c r="P56" s="160">
        <f t="array" ref="P56">IFERROR(INDEX(BD!$H$15:$H$1979,MATCH('Tab1'!E56&amp;'Tab1'!$O$11&amp;'Tab1'!$P$12,BD!$F$15:$F$1979&amp;BD!$M$15:$M$1979&amp;BD!$N$15:$N$1979,0)),"")</f>
        <v>0</v>
      </c>
      <c r="Q56" s="160">
        <f t="array" ref="Q56">IFERROR(INDEX(BD!$H$15:$H$1979,MATCH('Tab1'!E56&amp;'Tab1'!$O$11&amp;'Tab1'!$Q$12,BD!$F$15:$F$1979&amp;BD!$M$15:$M$1979&amp;BD!$N$15:$N$1979,0)),"")</f>
        <v>0</v>
      </c>
      <c r="R56" s="30"/>
      <c r="S56" s="30"/>
      <c r="T56" s="30"/>
      <c r="U56" s="30"/>
      <c r="V56" s="30"/>
      <c r="W56" s="30"/>
    </row>
    <row r="57" spans="1:23" x14ac:dyDescent="0.25">
      <c r="A57" s="41"/>
      <c r="B57" s="41"/>
      <c r="C57" s="128">
        <f>'Cad1'!F59</f>
        <v>0</v>
      </c>
      <c r="D57" s="30"/>
      <c r="E57" s="30" t="str">
        <f t="shared" si="1"/>
        <v/>
      </c>
      <c r="F57" s="160" t="str">
        <f t="array" ref="F57">IFERROR(INDEX(BD!$H$15:$H$1979,MATCH('Tab1'!E57&amp;'Tab1'!$F$11:$H$11&amp;'Tab1'!$F$12,BD!$F$15:$F$1979&amp;BD!$M$15:$M$1979&amp;BD!$N$15:$N$1979,0)),"")</f>
        <v/>
      </c>
      <c r="G57" s="160" t="str">
        <f t="array" ref="G57">IFERROR(INDEX(BD!$H$15:$H$1979,MATCH('Tab1'!E57&amp;'Tab1'!$F$11:$H$11&amp;$G$12,BD!$F$15:$F$1979&amp;BD!$M$15:$M$1979&amp;BD!$N$15:$N$1979,0)),"")</f>
        <v/>
      </c>
      <c r="H57" s="160" t="str">
        <f t="array" ref="H57">IFERROR(INDEX(BD!$H$15:$H$1979,MATCH('Tab1'!E57&amp;'Tab1'!$F$11:$H$11&amp;'Tab1'!$H$12,BD!$F$15:$F$1979&amp;BD!$M$15:$M$1979&amp;BD!$N$15:$N$1979,0)),"")</f>
        <v/>
      </c>
      <c r="I57" s="160" t="str">
        <f t="array" ref="I57">IFERROR(INDEX(BD!$H$15:$H$1979,MATCH('Tab1'!E57&amp;'Tab1'!$I$11&amp;'Tab1'!$I$12,BD!$F$15:$F$1979&amp;BD!$M$15:$M$1979&amp;BD!$N$15:$N$1979,0)),"")</f>
        <v/>
      </c>
      <c r="J57" s="160" t="str">
        <f t="array" ref="J57">IFERROR(INDEX(BD!$H$15:$H$1979,MATCH('Tab1'!E57&amp;'Tab1'!$I$11&amp;'Tab1'!$J$12,BD!$F$15:$F$1979&amp;BD!$M$15:$M$1979&amp;BD!$N$15:$N$1979,0)),"")</f>
        <v/>
      </c>
      <c r="K57" s="160" t="str">
        <f t="array" ref="K57">IFERROR(INDEX(BD!$H$15:$H$1979,MATCH('Tab1'!E57&amp;'Tab1'!$I$11&amp;'Tab1'!$K$12,BD!$F$15:$F$1979&amp;BD!$M$15:$M$1979&amp;BD!$N$15:$N$1979,0)),"")</f>
        <v/>
      </c>
      <c r="L57" s="160" t="str">
        <f t="array" ref="L57">IFERROR(INDEX(BD!$H$15:$H$1979,MATCH('Tab1'!E57&amp;'Tab1'!$L$11&amp;'Tab1'!$L$12,BD!$F$15:$F$1979&amp;BD!$M$15:$M$1979&amp;BD!$N$15:$N$1979,0)),"")</f>
        <v/>
      </c>
      <c r="M57" s="160" t="str">
        <f t="array" ref="M57">IFERROR(INDEX(BD!$H$15:$H$1979,MATCH('Tab1'!E57&amp;'Tab1'!$L$11&amp;'Tab1'!$M$12,BD!$F$15:$F$1979&amp;BD!$M$15:$M$1979&amp;BD!$N$15:$N$1979,0)),"")</f>
        <v/>
      </c>
      <c r="N57" s="160" t="str">
        <f t="array" ref="N57">IFERROR(INDEX(BD!$H$15:$H$1979,MATCH('Tab1'!E57&amp;'Tab1'!$L$11&amp;'Tab1'!$N$12,BD!$F$15:$F$1979&amp;BD!$M$15:$M$1979&amp;BD!$N$15:$N$1979,0)),"")</f>
        <v/>
      </c>
      <c r="O57" s="160">
        <f t="array" ref="O57">IFERROR(INDEX(BD!$H$15:$H$1979,MATCH('Tab1'!E57&amp;'Tab1'!$O$11&amp;'Tab1'!$O$12,BD!$F$15:$F$1979&amp;BD!$M$15:$M$1979&amp;BD!$N$15:$N$1979,0)),"")</f>
        <v>0</v>
      </c>
      <c r="P57" s="160">
        <f t="array" ref="P57">IFERROR(INDEX(BD!$H$15:$H$1979,MATCH('Tab1'!E57&amp;'Tab1'!$O$11&amp;'Tab1'!$P$12,BD!$F$15:$F$1979&amp;BD!$M$15:$M$1979&amp;BD!$N$15:$N$1979,0)),"")</f>
        <v>0</v>
      </c>
      <c r="Q57" s="160">
        <f t="array" ref="Q57">IFERROR(INDEX(BD!$H$15:$H$1979,MATCH('Tab1'!E57&amp;'Tab1'!$O$11&amp;'Tab1'!$Q$12,BD!$F$15:$F$1979&amp;BD!$M$15:$M$1979&amp;BD!$N$15:$N$1979,0)),"")</f>
        <v>0</v>
      </c>
      <c r="R57" s="30"/>
      <c r="S57" s="30"/>
      <c r="T57" s="30"/>
      <c r="U57" s="30"/>
      <c r="V57" s="30"/>
      <c r="W57" s="30"/>
    </row>
    <row r="58" spans="1:23" x14ac:dyDescent="0.25">
      <c r="A58" s="41"/>
      <c r="B58" s="41"/>
      <c r="C58" s="128">
        <f>'Cad1'!F60</f>
        <v>0</v>
      </c>
      <c r="D58" s="30"/>
      <c r="E58" s="30" t="str">
        <f t="shared" si="1"/>
        <v/>
      </c>
      <c r="F58" s="160" t="str">
        <f t="array" ref="F58">IFERROR(INDEX(BD!$H$15:$H$1979,MATCH('Tab1'!E58&amp;'Tab1'!$F$11:$H$11&amp;'Tab1'!$F$12,BD!$F$15:$F$1979&amp;BD!$M$15:$M$1979&amp;BD!$N$15:$N$1979,0)),"")</f>
        <v/>
      </c>
      <c r="G58" s="160" t="str">
        <f t="array" ref="G58">IFERROR(INDEX(BD!$H$15:$H$1979,MATCH('Tab1'!E58&amp;'Tab1'!$F$11:$H$11&amp;$G$12,BD!$F$15:$F$1979&amp;BD!$M$15:$M$1979&amp;BD!$N$15:$N$1979,0)),"")</f>
        <v/>
      </c>
      <c r="H58" s="160" t="str">
        <f t="array" ref="H58">IFERROR(INDEX(BD!$H$15:$H$1979,MATCH('Tab1'!E58&amp;'Tab1'!$F$11:$H$11&amp;'Tab1'!$H$12,BD!$F$15:$F$1979&amp;BD!$M$15:$M$1979&amp;BD!$N$15:$N$1979,0)),"")</f>
        <v/>
      </c>
      <c r="I58" s="160" t="str">
        <f t="array" ref="I58">IFERROR(INDEX(BD!$H$15:$H$1979,MATCH('Tab1'!E58&amp;'Tab1'!$I$11&amp;'Tab1'!$I$12,BD!$F$15:$F$1979&amp;BD!$M$15:$M$1979&amp;BD!$N$15:$N$1979,0)),"")</f>
        <v/>
      </c>
      <c r="J58" s="160" t="str">
        <f t="array" ref="J58">IFERROR(INDEX(BD!$H$15:$H$1979,MATCH('Tab1'!E58&amp;'Tab1'!$I$11&amp;'Tab1'!$J$12,BD!$F$15:$F$1979&amp;BD!$M$15:$M$1979&amp;BD!$N$15:$N$1979,0)),"")</f>
        <v/>
      </c>
      <c r="K58" s="160" t="str">
        <f t="array" ref="K58">IFERROR(INDEX(BD!$H$15:$H$1979,MATCH('Tab1'!E58&amp;'Tab1'!$I$11&amp;'Tab1'!$K$12,BD!$F$15:$F$1979&amp;BD!$M$15:$M$1979&amp;BD!$N$15:$N$1979,0)),"")</f>
        <v/>
      </c>
      <c r="L58" s="160" t="str">
        <f t="array" ref="L58">IFERROR(INDEX(BD!$H$15:$H$1979,MATCH('Tab1'!E58&amp;'Tab1'!$L$11&amp;'Tab1'!$L$12,BD!$F$15:$F$1979&amp;BD!$M$15:$M$1979&amp;BD!$N$15:$N$1979,0)),"")</f>
        <v/>
      </c>
      <c r="M58" s="160" t="str">
        <f t="array" ref="M58">IFERROR(INDEX(BD!$H$15:$H$1979,MATCH('Tab1'!E58&amp;'Tab1'!$L$11&amp;'Tab1'!$M$12,BD!$F$15:$F$1979&amp;BD!$M$15:$M$1979&amp;BD!$N$15:$N$1979,0)),"")</f>
        <v/>
      </c>
      <c r="N58" s="160" t="str">
        <f t="array" ref="N58">IFERROR(INDEX(BD!$H$15:$H$1979,MATCH('Tab1'!E58&amp;'Tab1'!$L$11&amp;'Tab1'!$N$12,BD!$F$15:$F$1979&amp;BD!$M$15:$M$1979&amp;BD!$N$15:$N$1979,0)),"")</f>
        <v/>
      </c>
      <c r="O58" s="160">
        <f t="array" ref="O58">IFERROR(INDEX(BD!$H$15:$H$1979,MATCH('Tab1'!E58&amp;'Tab1'!$O$11&amp;'Tab1'!$O$12,BD!$F$15:$F$1979&amp;BD!$M$15:$M$1979&amp;BD!$N$15:$N$1979,0)),"")</f>
        <v>0</v>
      </c>
      <c r="P58" s="160">
        <f t="array" ref="P58">IFERROR(INDEX(BD!$H$15:$H$1979,MATCH('Tab1'!E58&amp;'Tab1'!$O$11&amp;'Tab1'!$P$12,BD!$F$15:$F$1979&amp;BD!$M$15:$M$1979&amp;BD!$N$15:$N$1979,0)),"")</f>
        <v>0</v>
      </c>
      <c r="Q58" s="160">
        <f t="array" ref="Q58">IFERROR(INDEX(BD!$H$15:$H$1979,MATCH('Tab1'!E58&amp;'Tab1'!$O$11&amp;'Tab1'!$Q$12,BD!$F$15:$F$1979&amp;BD!$M$15:$M$1979&amp;BD!$N$15:$N$1979,0)),"")</f>
        <v>0</v>
      </c>
      <c r="R58" s="30"/>
      <c r="S58" s="30"/>
      <c r="T58" s="30"/>
      <c r="U58" s="30"/>
      <c r="V58" s="30"/>
      <c r="W58" s="30"/>
    </row>
    <row r="59" spans="1:23" x14ac:dyDescent="0.25">
      <c r="A59" s="41"/>
      <c r="B59" s="41"/>
      <c r="C59" s="128">
        <f>'Cad1'!F61</f>
        <v>0</v>
      </c>
      <c r="D59" s="30"/>
      <c r="E59" s="30" t="str">
        <f t="shared" si="1"/>
        <v/>
      </c>
      <c r="F59" s="160" t="str">
        <f t="array" ref="F59">IFERROR(INDEX(BD!$H$15:$H$1979,MATCH('Tab1'!E59&amp;'Tab1'!$F$11:$H$11&amp;'Tab1'!$F$12,BD!$F$15:$F$1979&amp;BD!$M$15:$M$1979&amp;BD!$N$15:$N$1979,0)),"")</f>
        <v/>
      </c>
      <c r="G59" s="160" t="str">
        <f t="array" ref="G59">IFERROR(INDEX(BD!$H$15:$H$1979,MATCH('Tab1'!E59&amp;'Tab1'!$F$11:$H$11&amp;$G$12,BD!$F$15:$F$1979&amp;BD!$M$15:$M$1979&amp;BD!$N$15:$N$1979,0)),"")</f>
        <v/>
      </c>
      <c r="H59" s="160" t="str">
        <f t="array" ref="H59">IFERROR(INDEX(BD!$H$15:$H$1979,MATCH('Tab1'!E59&amp;'Tab1'!$F$11:$H$11&amp;'Tab1'!$H$12,BD!$F$15:$F$1979&amp;BD!$M$15:$M$1979&amp;BD!$N$15:$N$1979,0)),"")</f>
        <v/>
      </c>
      <c r="I59" s="160" t="str">
        <f t="array" ref="I59">IFERROR(INDEX(BD!$H$15:$H$1979,MATCH('Tab1'!E59&amp;'Tab1'!$I$11&amp;'Tab1'!$I$12,BD!$F$15:$F$1979&amp;BD!$M$15:$M$1979&amp;BD!$N$15:$N$1979,0)),"")</f>
        <v/>
      </c>
      <c r="J59" s="160" t="str">
        <f t="array" ref="J59">IFERROR(INDEX(BD!$H$15:$H$1979,MATCH('Tab1'!E59&amp;'Tab1'!$I$11&amp;'Tab1'!$J$12,BD!$F$15:$F$1979&amp;BD!$M$15:$M$1979&amp;BD!$N$15:$N$1979,0)),"")</f>
        <v/>
      </c>
      <c r="K59" s="160" t="str">
        <f t="array" ref="K59">IFERROR(INDEX(BD!$H$15:$H$1979,MATCH('Tab1'!E59&amp;'Tab1'!$I$11&amp;'Tab1'!$K$12,BD!$F$15:$F$1979&amp;BD!$M$15:$M$1979&amp;BD!$N$15:$N$1979,0)),"")</f>
        <v/>
      </c>
      <c r="L59" s="160" t="str">
        <f t="array" ref="L59">IFERROR(INDEX(BD!$H$15:$H$1979,MATCH('Tab1'!E59&amp;'Tab1'!$L$11&amp;'Tab1'!$L$12,BD!$F$15:$F$1979&amp;BD!$M$15:$M$1979&amp;BD!$N$15:$N$1979,0)),"")</f>
        <v/>
      </c>
      <c r="M59" s="160" t="str">
        <f t="array" ref="M59">IFERROR(INDEX(BD!$H$15:$H$1979,MATCH('Tab1'!E59&amp;'Tab1'!$L$11&amp;'Tab1'!$M$12,BD!$F$15:$F$1979&amp;BD!$M$15:$M$1979&amp;BD!$N$15:$N$1979,0)),"")</f>
        <v/>
      </c>
      <c r="N59" s="160" t="str">
        <f t="array" ref="N59">IFERROR(INDEX(BD!$H$15:$H$1979,MATCH('Tab1'!E59&amp;'Tab1'!$L$11&amp;'Tab1'!$N$12,BD!$F$15:$F$1979&amp;BD!$M$15:$M$1979&amp;BD!$N$15:$N$1979,0)),"")</f>
        <v/>
      </c>
      <c r="O59" s="160">
        <f t="array" ref="O59">IFERROR(INDEX(BD!$H$15:$H$1979,MATCH('Tab1'!E59&amp;'Tab1'!$O$11&amp;'Tab1'!$O$12,BD!$F$15:$F$1979&amp;BD!$M$15:$M$1979&amp;BD!$N$15:$N$1979,0)),"")</f>
        <v>0</v>
      </c>
      <c r="P59" s="160">
        <f t="array" ref="P59">IFERROR(INDEX(BD!$H$15:$H$1979,MATCH('Tab1'!E59&amp;'Tab1'!$O$11&amp;'Tab1'!$P$12,BD!$F$15:$F$1979&amp;BD!$M$15:$M$1979&amp;BD!$N$15:$N$1979,0)),"")</f>
        <v>0</v>
      </c>
      <c r="Q59" s="160">
        <f t="array" ref="Q59">IFERROR(INDEX(BD!$H$15:$H$1979,MATCH('Tab1'!E59&amp;'Tab1'!$O$11&amp;'Tab1'!$Q$12,BD!$F$15:$F$1979&amp;BD!$M$15:$M$1979&amp;BD!$N$15:$N$1979,0)),"")</f>
        <v>0</v>
      </c>
      <c r="R59" s="30"/>
      <c r="S59" s="30"/>
      <c r="T59" s="30"/>
      <c r="U59" s="30"/>
      <c r="V59" s="30"/>
      <c r="W59" s="30"/>
    </row>
    <row r="60" spans="1:23" x14ac:dyDescent="0.25">
      <c r="A60" s="41"/>
      <c r="B60" s="41"/>
      <c r="C60" s="128">
        <f>'Cad1'!F62</f>
        <v>0</v>
      </c>
      <c r="D60" s="30"/>
      <c r="E60" s="30" t="str">
        <f t="shared" si="1"/>
        <v/>
      </c>
      <c r="F60" s="160" t="str">
        <f t="array" ref="F60">IFERROR(INDEX(BD!$H$15:$H$1979,MATCH('Tab1'!E60&amp;'Tab1'!$F$11:$H$11&amp;'Tab1'!$F$12,BD!$F$15:$F$1979&amp;BD!$M$15:$M$1979&amp;BD!$N$15:$N$1979,0)),"")</f>
        <v/>
      </c>
      <c r="G60" s="160" t="str">
        <f t="array" ref="G60">IFERROR(INDEX(BD!$H$15:$H$1979,MATCH('Tab1'!E60&amp;'Tab1'!$F$11:$H$11&amp;$G$12,BD!$F$15:$F$1979&amp;BD!$M$15:$M$1979&amp;BD!$N$15:$N$1979,0)),"")</f>
        <v/>
      </c>
      <c r="H60" s="160" t="str">
        <f t="array" ref="H60">IFERROR(INDEX(BD!$H$15:$H$1979,MATCH('Tab1'!E60&amp;'Tab1'!$F$11:$H$11&amp;'Tab1'!$H$12,BD!$F$15:$F$1979&amp;BD!$M$15:$M$1979&amp;BD!$N$15:$N$1979,0)),"")</f>
        <v/>
      </c>
      <c r="I60" s="160" t="str">
        <f t="array" ref="I60">IFERROR(INDEX(BD!$H$15:$H$1979,MATCH('Tab1'!E60&amp;'Tab1'!$I$11&amp;'Tab1'!$I$12,BD!$F$15:$F$1979&amp;BD!$M$15:$M$1979&amp;BD!$N$15:$N$1979,0)),"")</f>
        <v/>
      </c>
      <c r="J60" s="160" t="str">
        <f t="array" ref="J60">IFERROR(INDEX(BD!$H$15:$H$1979,MATCH('Tab1'!E60&amp;'Tab1'!$I$11&amp;'Tab1'!$J$12,BD!$F$15:$F$1979&amp;BD!$M$15:$M$1979&amp;BD!$N$15:$N$1979,0)),"")</f>
        <v/>
      </c>
      <c r="K60" s="160" t="str">
        <f t="array" ref="K60">IFERROR(INDEX(BD!$H$15:$H$1979,MATCH('Tab1'!E60&amp;'Tab1'!$I$11&amp;'Tab1'!$K$12,BD!$F$15:$F$1979&amp;BD!$M$15:$M$1979&amp;BD!$N$15:$N$1979,0)),"")</f>
        <v/>
      </c>
      <c r="L60" s="160" t="str">
        <f t="array" ref="L60">IFERROR(INDEX(BD!$H$15:$H$1979,MATCH('Tab1'!E60&amp;'Tab1'!$L$11&amp;'Tab1'!$L$12,BD!$F$15:$F$1979&amp;BD!$M$15:$M$1979&amp;BD!$N$15:$N$1979,0)),"")</f>
        <v/>
      </c>
      <c r="M60" s="160" t="str">
        <f t="array" ref="M60">IFERROR(INDEX(BD!$H$15:$H$1979,MATCH('Tab1'!E60&amp;'Tab1'!$L$11&amp;'Tab1'!$M$12,BD!$F$15:$F$1979&amp;BD!$M$15:$M$1979&amp;BD!$N$15:$N$1979,0)),"")</f>
        <v/>
      </c>
      <c r="N60" s="160" t="str">
        <f t="array" ref="N60">IFERROR(INDEX(BD!$H$15:$H$1979,MATCH('Tab1'!E60&amp;'Tab1'!$L$11&amp;'Tab1'!$N$12,BD!$F$15:$F$1979&amp;BD!$M$15:$M$1979&amp;BD!$N$15:$N$1979,0)),"")</f>
        <v/>
      </c>
      <c r="O60" s="160">
        <f t="array" ref="O60">IFERROR(INDEX(BD!$H$15:$H$1979,MATCH('Tab1'!E60&amp;'Tab1'!$O$11&amp;'Tab1'!$O$12,BD!$F$15:$F$1979&amp;BD!$M$15:$M$1979&amp;BD!$N$15:$N$1979,0)),"")</f>
        <v>0</v>
      </c>
      <c r="P60" s="160">
        <f t="array" ref="P60">IFERROR(INDEX(BD!$H$15:$H$1979,MATCH('Tab1'!E60&amp;'Tab1'!$O$11&amp;'Tab1'!$P$12,BD!$F$15:$F$1979&amp;BD!$M$15:$M$1979&amp;BD!$N$15:$N$1979,0)),"")</f>
        <v>0</v>
      </c>
      <c r="Q60" s="160">
        <f t="array" ref="Q60">IFERROR(INDEX(BD!$H$15:$H$1979,MATCH('Tab1'!E60&amp;'Tab1'!$O$11&amp;'Tab1'!$Q$12,BD!$F$15:$F$1979&amp;BD!$M$15:$M$1979&amp;BD!$N$15:$N$1979,0)),"")</f>
        <v>0</v>
      </c>
      <c r="R60" s="30"/>
      <c r="S60" s="30"/>
      <c r="T60" s="30"/>
      <c r="U60" s="30"/>
      <c r="V60" s="30"/>
      <c r="W60" s="30"/>
    </row>
    <row r="61" spans="1:23" x14ac:dyDescent="0.25">
      <c r="A61" s="41"/>
      <c r="B61" s="41"/>
      <c r="C61" s="128">
        <f>'Cad1'!F63</f>
        <v>0</v>
      </c>
      <c r="D61" s="30"/>
      <c r="E61" s="30" t="str">
        <f t="shared" si="1"/>
        <v/>
      </c>
      <c r="F61" s="160" t="str">
        <f t="array" ref="F61">IFERROR(INDEX(BD!$H$15:$H$1979,MATCH('Tab1'!E61&amp;'Tab1'!$F$11:$H$11&amp;'Tab1'!$F$12,BD!$F$15:$F$1979&amp;BD!$M$15:$M$1979&amp;BD!$N$15:$N$1979,0)),"")</f>
        <v/>
      </c>
      <c r="G61" s="160" t="str">
        <f t="array" ref="G61">IFERROR(INDEX(BD!$H$15:$H$1979,MATCH('Tab1'!E61&amp;'Tab1'!$F$11:$H$11&amp;$G$12,BD!$F$15:$F$1979&amp;BD!$M$15:$M$1979&amp;BD!$N$15:$N$1979,0)),"")</f>
        <v/>
      </c>
      <c r="H61" s="160" t="str">
        <f t="array" ref="H61">IFERROR(INDEX(BD!$H$15:$H$1979,MATCH('Tab1'!E61&amp;'Tab1'!$F$11:$H$11&amp;'Tab1'!$H$12,BD!$F$15:$F$1979&amp;BD!$M$15:$M$1979&amp;BD!$N$15:$N$1979,0)),"")</f>
        <v/>
      </c>
      <c r="I61" s="160" t="str">
        <f t="array" ref="I61">IFERROR(INDEX(BD!$H$15:$H$1979,MATCH('Tab1'!E61&amp;'Tab1'!$I$11&amp;'Tab1'!$I$12,BD!$F$15:$F$1979&amp;BD!$M$15:$M$1979&amp;BD!$N$15:$N$1979,0)),"")</f>
        <v/>
      </c>
      <c r="J61" s="160" t="str">
        <f t="array" ref="J61">IFERROR(INDEX(BD!$H$15:$H$1979,MATCH('Tab1'!E61&amp;'Tab1'!$I$11&amp;'Tab1'!$J$12,BD!$F$15:$F$1979&amp;BD!$M$15:$M$1979&amp;BD!$N$15:$N$1979,0)),"")</f>
        <v/>
      </c>
      <c r="K61" s="160" t="str">
        <f t="array" ref="K61">IFERROR(INDEX(BD!$H$15:$H$1979,MATCH('Tab1'!E61&amp;'Tab1'!$I$11&amp;'Tab1'!$K$12,BD!$F$15:$F$1979&amp;BD!$M$15:$M$1979&amp;BD!$N$15:$N$1979,0)),"")</f>
        <v/>
      </c>
      <c r="L61" s="160" t="str">
        <f t="array" ref="L61">IFERROR(INDEX(BD!$H$15:$H$1979,MATCH('Tab1'!E61&amp;'Tab1'!$L$11&amp;'Tab1'!$L$12,BD!$F$15:$F$1979&amp;BD!$M$15:$M$1979&amp;BD!$N$15:$N$1979,0)),"")</f>
        <v/>
      </c>
      <c r="M61" s="160" t="str">
        <f t="array" ref="M61">IFERROR(INDEX(BD!$H$15:$H$1979,MATCH('Tab1'!E61&amp;'Tab1'!$L$11&amp;'Tab1'!$M$12,BD!$F$15:$F$1979&amp;BD!$M$15:$M$1979&amp;BD!$N$15:$N$1979,0)),"")</f>
        <v/>
      </c>
      <c r="N61" s="160" t="str">
        <f t="array" ref="N61">IFERROR(INDEX(BD!$H$15:$H$1979,MATCH('Tab1'!E61&amp;'Tab1'!$L$11&amp;'Tab1'!$N$12,BD!$F$15:$F$1979&amp;BD!$M$15:$M$1979&amp;BD!$N$15:$N$1979,0)),"")</f>
        <v/>
      </c>
      <c r="O61" s="160">
        <f t="array" ref="O61">IFERROR(INDEX(BD!$H$15:$H$1979,MATCH('Tab1'!E61&amp;'Tab1'!$O$11&amp;'Tab1'!$O$12,BD!$F$15:$F$1979&amp;BD!$M$15:$M$1979&amp;BD!$N$15:$N$1979,0)),"")</f>
        <v>0</v>
      </c>
      <c r="P61" s="160">
        <f t="array" ref="P61">IFERROR(INDEX(BD!$H$15:$H$1979,MATCH('Tab1'!E61&amp;'Tab1'!$O$11&amp;'Tab1'!$P$12,BD!$F$15:$F$1979&amp;BD!$M$15:$M$1979&amp;BD!$N$15:$N$1979,0)),"")</f>
        <v>0</v>
      </c>
      <c r="Q61" s="160">
        <f t="array" ref="Q61">IFERROR(INDEX(BD!$H$15:$H$1979,MATCH('Tab1'!E61&amp;'Tab1'!$O$11&amp;'Tab1'!$Q$12,BD!$F$15:$F$1979&amp;BD!$M$15:$M$1979&amp;BD!$N$15:$N$1979,0)),"")</f>
        <v>0</v>
      </c>
      <c r="R61" s="30"/>
      <c r="S61" s="30"/>
      <c r="T61" s="30"/>
      <c r="U61" s="30"/>
      <c r="V61" s="30"/>
      <c r="W61" s="30"/>
    </row>
    <row r="62" spans="1:23" x14ac:dyDescent="0.25">
      <c r="A62" s="2"/>
      <c r="B62" s="2"/>
      <c r="C62" s="18">
        <f>'Cad1'!F64</f>
        <v>0</v>
      </c>
      <c r="E62" s="30" t="str">
        <f t="shared" si="1"/>
        <v/>
      </c>
      <c r="F62" s="160" t="str">
        <f t="array" ref="F62">IFERROR(INDEX(BD!$H$15:$H$1979,MATCH('Tab1'!E62&amp;'Tab1'!$F$11:$H$11&amp;'Tab1'!$F$12,BD!$F$15:$F$1979&amp;BD!$M$15:$M$1979&amp;BD!$N$15:$N$1979,0)),"")</f>
        <v/>
      </c>
      <c r="G62" s="160" t="str">
        <f t="array" ref="G62">IFERROR(INDEX(BD!$H$15:$H$1979,MATCH('Tab1'!E62&amp;'Tab1'!$F$11:$H$11&amp;$G$12,BD!$F$15:$F$1979&amp;BD!$M$15:$M$1979&amp;BD!$N$15:$N$1979,0)),"")</f>
        <v/>
      </c>
      <c r="H62" s="160" t="str">
        <f t="array" ref="H62">IFERROR(INDEX(BD!$H$15:$H$1979,MATCH('Tab1'!E62&amp;'Tab1'!$F$11:$H$11&amp;'Tab1'!$H$12,BD!$F$15:$F$1979&amp;BD!$M$15:$M$1979&amp;BD!$N$15:$N$1979,0)),"")</f>
        <v/>
      </c>
      <c r="I62" s="160" t="str">
        <f t="array" ref="I62">IFERROR(INDEX(BD!$H$15:$H$1979,MATCH('Tab1'!E62&amp;'Tab1'!$I$11&amp;'Tab1'!$I$12,BD!$F$15:$F$1979&amp;BD!$M$15:$M$1979&amp;BD!$N$15:$N$1979,0)),"")</f>
        <v/>
      </c>
      <c r="J62" s="160" t="str">
        <f t="array" ref="J62">IFERROR(INDEX(BD!$H$15:$H$1979,MATCH('Tab1'!E62&amp;'Tab1'!$I$11&amp;'Tab1'!$J$12,BD!$F$15:$F$1979&amp;BD!$M$15:$M$1979&amp;BD!$N$15:$N$1979,0)),"")</f>
        <v/>
      </c>
      <c r="K62" s="160" t="str">
        <f t="array" ref="K62">IFERROR(INDEX(BD!$H$15:$H$1979,MATCH('Tab1'!E62&amp;'Tab1'!$I$11&amp;'Tab1'!$K$12,BD!$F$15:$F$1979&amp;BD!$M$15:$M$1979&amp;BD!$N$15:$N$1979,0)),"")</f>
        <v/>
      </c>
      <c r="L62" s="160" t="str">
        <f t="array" ref="L62">IFERROR(INDEX(BD!$H$15:$H$1979,MATCH('Tab1'!E62&amp;'Tab1'!$L$11&amp;'Tab1'!$L$12,BD!$F$15:$F$1979&amp;BD!$M$15:$M$1979&amp;BD!$N$15:$N$1979,0)),"")</f>
        <v/>
      </c>
      <c r="M62" s="160" t="str">
        <f t="array" ref="M62">IFERROR(INDEX(BD!$H$15:$H$1979,MATCH('Tab1'!E62&amp;'Tab1'!$L$11&amp;'Tab1'!$M$12,BD!$F$15:$F$1979&amp;BD!$M$15:$M$1979&amp;BD!$N$15:$N$1979,0)),"")</f>
        <v/>
      </c>
      <c r="N62" s="160" t="str">
        <f t="array" ref="N62">IFERROR(INDEX(BD!$H$15:$H$1979,MATCH('Tab1'!E62&amp;'Tab1'!$L$11&amp;'Tab1'!$N$12,BD!$F$15:$F$1979&amp;BD!$M$15:$M$1979&amp;BD!$N$15:$N$1979,0)),"")</f>
        <v/>
      </c>
      <c r="O62" s="160">
        <f t="array" ref="O62">IFERROR(INDEX(BD!$H$15:$H$1979,MATCH('Tab1'!E62&amp;'Tab1'!$O$11&amp;'Tab1'!$O$12,BD!$F$15:$F$1979&amp;BD!$M$15:$M$1979&amp;BD!$N$15:$N$1979,0)),"")</f>
        <v>0</v>
      </c>
      <c r="P62" s="160">
        <f t="array" ref="P62">IFERROR(INDEX(BD!$H$15:$H$1979,MATCH('Tab1'!E62&amp;'Tab1'!$O$11&amp;'Tab1'!$P$12,BD!$F$15:$F$1979&amp;BD!$M$15:$M$1979&amp;BD!$N$15:$N$1979,0)),"")</f>
        <v>0</v>
      </c>
      <c r="Q62" s="160">
        <f t="array" ref="Q62">IFERROR(INDEX(BD!$H$15:$H$1979,MATCH('Tab1'!E62&amp;'Tab1'!$O$11&amp;'Tab1'!$Q$12,BD!$F$15:$F$1979&amp;BD!$M$15:$M$1979&amp;BD!$N$15:$N$1979,0)),"")</f>
        <v>0</v>
      </c>
    </row>
    <row r="63" spans="1:23" x14ac:dyDescent="0.25">
      <c r="A63" s="2"/>
      <c r="B63" s="2"/>
      <c r="C63" s="18">
        <f>'Cad1'!F65</f>
        <v>0</v>
      </c>
      <c r="E63" s="30" t="str">
        <f t="shared" si="1"/>
        <v/>
      </c>
      <c r="F63" s="160" t="str">
        <f t="array" ref="F63">IFERROR(INDEX(BD!$H$15:$H$1979,MATCH('Tab1'!E63&amp;'Tab1'!$F$11:$H$11&amp;'Tab1'!$F$12,BD!$F$15:$F$1979&amp;BD!$M$15:$M$1979&amp;BD!$N$15:$N$1979,0)),"")</f>
        <v/>
      </c>
      <c r="G63" s="160" t="str">
        <f t="array" ref="G63">IFERROR(INDEX(BD!$H$15:$H$1979,MATCH('Tab1'!E63&amp;'Tab1'!$F$11:$H$11&amp;$G$12,BD!$F$15:$F$1979&amp;BD!$M$15:$M$1979&amp;BD!$N$15:$N$1979,0)),"")</f>
        <v/>
      </c>
      <c r="H63" s="160" t="str">
        <f t="array" ref="H63">IFERROR(INDEX(BD!$H$15:$H$1979,MATCH('Tab1'!E63&amp;'Tab1'!$F$11:$H$11&amp;'Tab1'!$H$12,BD!$F$15:$F$1979&amp;BD!$M$15:$M$1979&amp;BD!$N$15:$N$1979,0)),"")</f>
        <v/>
      </c>
      <c r="I63" s="160" t="str">
        <f t="array" ref="I63">IFERROR(INDEX(BD!$H$15:$H$1979,MATCH('Tab1'!E63&amp;'Tab1'!$I$11&amp;'Tab1'!$I$12,BD!$F$15:$F$1979&amp;BD!$M$15:$M$1979&amp;BD!$N$15:$N$1979,0)),"")</f>
        <v/>
      </c>
      <c r="J63" s="160" t="str">
        <f t="array" ref="J63">IFERROR(INDEX(BD!$H$15:$H$1979,MATCH('Tab1'!E63&amp;'Tab1'!$I$11&amp;'Tab1'!$J$12,BD!$F$15:$F$1979&amp;BD!$M$15:$M$1979&amp;BD!$N$15:$N$1979,0)),"")</f>
        <v/>
      </c>
      <c r="K63" s="160" t="str">
        <f t="array" ref="K63">IFERROR(INDEX(BD!$H$15:$H$1979,MATCH('Tab1'!E63&amp;'Tab1'!$I$11&amp;'Tab1'!$K$12,BD!$F$15:$F$1979&amp;BD!$M$15:$M$1979&amp;BD!$N$15:$N$1979,0)),"")</f>
        <v/>
      </c>
      <c r="L63" s="160" t="str">
        <f t="array" ref="L63">IFERROR(INDEX(BD!$H$15:$H$1979,MATCH('Tab1'!E63&amp;'Tab1'!$L$11&amp;'Tab1'!$L$12,BD!$F$15:$F$1979&amp;BD!$M$15:$M$1979&amp;BD!$N$15:$N$1979,0)),"")</f>
        <v/>
      </c>
      <c r="M63" s="160" t="str">
        <f t="array" ref="M63">IFERROR(INDEX(BD!$H$15:$H$1979,MATCH('Tab1'!E63&amp;'Tab1'!$L$11&amp;'Tab1'!$M$12,BD!$F$15:$F$1979&amp;BD!$M$15:$M$1979&amp;BD!$N$15:$N$1979,0)),"")</f>
        <v/>
      </c>
      <c r="N63" s="160" t="str">
        <f t="array" ref="N63">IFERROR(INDEX(BD!$H$15:$H$1979,MATCH('Tab1'!E63&amp;'Tab1'!$L$11&amp;'Tab1'!$N$12,BD!$F$15:$F$1979&amp;BD!$M$15:$M$1979&amp;BD!$N$15:$N$1979,0)),"")</f>
        <v/>
      </c>
      <c r="O63" s="160">
        <f t="array" ref="O63">IFERROR(INDEX(BD!$H$15:$H$1979,MATCH('Tab1'!E63&amp;'Tab1'!$O$11&amp;'Tab1'!$O$12,BD!$F$15:$F$1979&amp;BD!$M$15:$M$1979&amp;BD!$N$15:$N$1979,0)),"")</f>
        <v>0</v>
      </c>
      <c r="P63" s="160">
        <f t="array" ref="P63">IFERROR(INDEX(BD!$H$15:$H$1979,MATCH('Tab1'!E63&amp;'Tab1'!$O$11&amp;'Tab1'!$P$12,BD!$F$15:$F$1979&amp;BD!$M$15:$M$1979&amp;BD!$N$15:$N$1979,0)),"")</f>
        <v>0</v>
      </c>
      <c r="Q63" s="160">
        <f t="array" ref="Q63">IFERROR(INDEX(BD!$H$15:$H$1979,MATCH('Tab1'!E63&amp;'Tab1'!$O$11&amp;'Tab1'!$Q$12,BD!$F$15:$F$1979&amp;BD!$M$15:$M$1979&amp;BD!$N$15:$N$1979,0)),"")</f>
        <v>0</v>
      </c>
    </row>
    <row r="64" spans="1:23" x14ac:dyDescent="0.25">
      <c r="A64" s="2"/>
      <c r="B64" s="2"/>
      <c r="C64" s="18">
        <f>'Cad1'!F66</f>
        <v>0</v>
      </c>
      <c r="E64" s="30" t="str">
        <f t="shared" si="1"/>
        <v/>
      </c>
      <c r="F64" s="160" t="str">
        <f t="array" ref="F64">IFERROR(INDEX(BD!$H$15:$H$1979,MATCH('Tab1'!E64&amp;'Tab1'!$F$11:$H$11&amp;'Tab1'!$F$12,BD!$F$15:$F$1979&amp;BD!$M$15:$M$1979&amp;BD!$N$15:$N$1979,0)),"")</f>
        <v/>
      </c>
      <c r="G64" s="160" t="str">
        <f t="array" ref="G64">IFERROR(INDEX(BD!$H$15:$H$1979,MATCH('Tab1'!E64&amp;'Tab1'!$F$11:$H$11&amp;$G$12,BD!$F$15:$F$1979&amp;BD!$M$15:$M$1979&amp;BD!$N$15:$N$1979,0)),"")</f>
        <v/>
      </c>
      <c r="H64" s="160" t="str">
        <f t="array" ref="H64">IFERROR(INDEX(BD!$H$15:$H$1979,MATCH('Tab1'!E64&amp;'Tab1'!$F$11:$H$11&amp;'Tab1'!$H$12,BD!$F$15:$F$1979&amp;BD!$M$15:$M$1979&amp;BD!$N$15:$N$1979,0)),"")</f>
        <v/>
      </c>
      <c r="I64" s="160" t="str">
        <f t="array" ref="I64">IFERROR(INDEX(BD!$H$15:$H$1979,MATCH('Tab1'!E64&amp;'Tab1'!$I$11&amp;'Tab1'!$I$12,BD!$F$15:$F$1979&amp;BD!$M$15:$M$1979&amp;BD!$N$15:$N$1979,0)),"")</f>
        <v/>
      </c>
      <c r="J64" s="160" t="str">
        <f t="array" ref="J64">IFERROR(INDEX(BD!$H$15:$H$1979,MATCH('Tab1'!E64&amp;'Tab1'!$I$11&amp;'Tab1'!$J$12,BD!$F$15:$F$1979&amp;BD!$M$15:$M$1979&amp;BD!$N$15:$N$1979,0)),"")</f>
        <v/>
      </c>
      <c r="K64" s="160" t="str">
        <f t="array" ref="K64">IFERROR(INDEX(BD!$H$15:$H$1979,MATCH('Tab1'!E64&amp;'Tab1'!$I$11&amp;'Tab1'!$K$12,BD!$F$15:$F$1979&amp;BD!$M$15:$M$1979&amp;BD!$N$15:$N$1979,0)),"")</f>
        <v/>
      </c>
      <c r="L64" s="160" t="str">
        <f t="array" ref="L64">IFERROR(INDEX(BD!$H$15:$H$1979,MATCH('Tab1'!E64&amp;'Tab1'!$L$11&amp;'Tab1'!$L$12,BD!$F$15:$F$1979&amp;BD!$M$15:$M$1979&amp;BD!$N$15:$N$1979,0)),"")</f>
        <v/>
      </c>
      <c r="M64" s="160" t="str">
        <f t="array" ref="M64">IFERROR(INDEX(BD!$H$15:$H$1979,MATCH('Tab1'!E64&amp;'Tab1'!$L$11&amp;'Tab1'!$M$12,BD!$F$15:$F$1979&amp;BD!$M$15:$M$1979&amp;BD!$N$15:$N$1979,0)),"")</f>
        <v/>
      </c>
      <c r="N64" s="160" t="str">
        <f t="array" ref="N64">IFERROR(INDEX(BD!$H$15:$H$1979,MATCH('Tab1'!E64&amp;'Tab1'!$L$11&amp;'Tab1'!$N$12,BD!$F$15:$F$1979&amp;BD!$M$15:$M$1979&amp;BD!$N$15:$N$1979,0)),"")</f>
        <v/>
      </c>
      <c r="O64" s="160">
        <f t="array" ref="O64">IFERROR(INDEX(BD!$H$15:$H$1979,MATCH('Tab1'!E64&amp;'Tab1'!$O$11&amp;'Tab1'!$O$12,BD!$F$15:$F$1979&amp;BD!$M$15:$M$1979&amp;BD!$N$15:$N$1979,0)),"")</f>
        <v>0</v>
      </c>
      <c r="P64" s="160">
        <f t="array" ref="P64">IFERROR(INDEX(BD!$H$15:$H$1979,MATCH('Tab1'!E64&amp;'Tab1'!$O$11&amp;'Tab1'!$P$12,BD!$F$15:$F$1979&amp;BD!$M$15:$M$1979&amp;BD!$N$15:$N$1979,0)),"")</f>
        <v>0</v>
      </c>
      <c r="Q64" s="160">
        <f t="array" ref="Q64">IFERROR(INDEX(BD!$H$15:$H$1979,MATCH('Tab1'!E64&amp;'Tab1'!$O$11&amp;'Tab1'!$Q$12,BD!$F$15:$F$1979&amp;BD!$M$15:$M$1979&amp;BD!$N$15:$N$1979,0)),"")</f>
        <v>0</v>
      </c>
    </row>
    <row r="65" spans="2:17" x14ac:dyDescent="0.25">
      <c r="B65" s="2"/>
      <c r="C65" s="18">
        <f>'Cad1'!F67</f>
        <v>0</v>
      </c>
      <c r="E65" s="30" t="str">
        <f t="shared" si="1"/>
        <v/>
      </c>
      <c r="F65" s="160" t="str">
        <f t="array" ref="F65">IFERROR(INDEX(BD!$H$15:$H$1979,MATCH('Tab1'!E65&amp;'Tab1'!$F$11:$H$11&amp;'Tab1'!$F$12,BD!$F$15:$F$1979&amp;BD!$M$15:$M$1979&amp;BD!$N$15:$N$1979,0)),"")</f>
        <v/>
      </c>
      <c r="G65" s="160" t="str">
        <f t="array" ref="G65">IFERROR(INDEX(BD!$H$15:$H$1979,MATCH('Tab1'!E65&amp;'Tab1'!$F$11:$H$11&amp;$G$12,BD!$F$15:$F$1979&amp;BD!$M$15:$M$1979&amp;BD!$N$15:$N$1979,0)),"")</f>
        <v/>
      </c>
      <c r="H65" s="160" t="str">
        <f t="array" ref="H65">IFERROR(INDEX(BD!$H$15:$H$1979,MATCH('Tab1'!E65&amp;'Tab1'!$F$11:$H$11&amp;'Tab1'!$H$12,BD!$F$15:$F$1979&amp;BD!$M$15:$M$1979&amp;BD!$N$15:$N$1979,0)),"")</f>
        <v/>
      </c>
      <c r="I65" s="160" t="str">
        <f t="array" ref="I65">IFERROR(INDEX(BD!$H$15:$H$1979,MATCH('Tab1'!E65&amp;'Tab1'!$I$11&amp;'Tab1'!$I$12,BD!$F$15:$F$1979&amp;BD!$M$15:$M$1979&amp;BD!$N$15:$N$1979,0)),"")</f>
        <v/>
      </c>
      <c r="J65" s="160" t="str">
        <f t="array" ref="J65">IFERROR(INDEX(BD!$H$15:$H$1979,MATCH('Tab1'!E65&amp;'Tab1'!$I$11&amp;'Tab1'!$J$12,BD!$F$15:$F$1979&amp;BD!$M$15:$M$1979&amp;BD!$N$15:$N$1979,0)),"")</f>
        <v/>
      </c>
      <c r="K65" s="160" t="str">
        <f t="array" ref="K65">IFERROR(INDEX(BD!$H$15:$H$1979,MATCH('Tab1'!E65&amp;'Tab1'!$I$11&amp;'Tab1'!$K$12,BD!$F$15:$F$1979&amp;BD!$M$15:$M$1979&amp;BD!$N$15:$N$1979,0)),"")</f>
        <v/>
      </c>
      <c r="L65" s="160" t="str">
        <f t="array" ref="L65">IFERROR(INDEX(BD!$H$15:$H$1979,MATCH('Tab1'!E65&amp;'Tab1'!$L$11&amp;'Tab1'!$L$12,BD!$F$15:$F$1979&amp;BD!$M$15:$M$1979&amp;BD!$N$15:$N$1979,0)),"")</f>
        <v/>
      </c>
      <c r="M65" s="160" t="str">
        <f t="array" ref="M65">IFERROR(INDEX(BD!$H$15:$H$1979,MATCH('Tab1'!E65&amp;'Tab1'!$L$11&amp;'Tab1'!$M$12,BD!$F$15:$F$1979&amp;BD!$M$15:$M$1979&amp;BD!$N$15:$N$1979,0)),"")</f>
        <v/>
      </c>
      <c r="N65" s="160" t="str">
        <f t="array" ref="N65">IFERROR(INDEX(BD!$H$15:$H$1979,MATCH('Tab1'!E65&amp;'Tab1'!$L$11&amp;'Tab1'!$N$12,BD!$F$15:$F$1979&amp;BD!$M$15:$M$1979&amp;BD!$N$15:$N$1979,0)),"")</f>
        <v/>
      </c>
      <c r="O65" s="160">
        <f t="array" ref="O65">IFERROR(INDEX(BD!$H$15:$H$1979,MATCH('Tab1'!E65&amp;'Tab1'!$O$11&amp;'Tab1'!$O$12,BD!$F$15:$F$1979&amp;BD!$M$15:$M$1979&amp;BD!$N$15:$N$1979,0)),"")</f>
        <v>0</v>
      </c>
      <c r="P65" s="160">
        <f t="array" ref="P65">IFERROR(INDEX(BD!$H$15:$H$1979,MATCH('Tab1'!E65&amp;'Tab1'!$O$11&amp;'Tab1'!$P$12,BD!$F$15:$F$1979&amp;BD!$M$15:$M$1979&amp;BD!$N$15:$N$1979,0)),"")</f>
        <v>0</v>
      </c>
      <c r="Q65" s="160">
        <f t="array" ref="Q65">IFERROR(INDEX(BD!$H$15:$H$1979,MATCH('Tab1'!E65&amp;'Tab1'!$O$11&amp;'Tab1'!$Q$12,BD!$F$15:$F$1979&amp;BD!$M$15:$M$1979&amp;BD!$N$15:$N$1979,0)),"")</f>
        <v>0</v>
      </c>
    </row>
    <row r="66" spans="2:17" x14ac:dyDescent="0.25">
      <c r="B66" s="2"/>
      <c r="C66" s="18">
        <f>'Cad1'!F68</f>
        <v>0</v>
      </c>
      <c r="E66" s="30" t="str">
        <f t="shared" si="1"/>
        <v/>
      </c>
      <c r="F66" s="160" t="str">
        <f t="array" ref="F66">IFERROR(INDEX(BD!$H$15:$H$1979,MATCH('Tab1'!E66&amp;'Tab1'!$F$11:$H$11&amp;'Tab1'!$F$12,BD!$F$15:$F$1979&amp;BD!$M$15:$M$1979&amp;BD!$N$15:$N$1979,0)),"")</f>
        <v/>
      </c>
      <c r="G66" s="160" t="str">
        <f t="array" ref="G66">IFERROR(INDEX(BD!$H$15:$H$1979,MATCH('Tab1'!E66&amp;'Tab1'!$F$11:$H$11&amp;$G$12,BD!$F$15:$F$1979&amp;BD!$M$15:$M$1979&amp;BD!$N$15:$N$1979,0)),"")</f>
        <v/>
      </c>
      <c r="H66" s="160" t="str">
        <f t="array" ref="H66">IFERROR(INDEX(BD!$H$15:$H$1979,MATCH('Tab1'!E66&amp;'Tab1'!$F$11:$H$11&amp;'Tab1'!$H$12,BD!$F$15:$F$1979&amp;BD!$M$15:$M$1979&amp;BD!$N$15:$N$1979,0)),"")</f>
        <v/>
      </c>
      <c r="I66" s="160" t="str">
        <f t="array" ref="I66">IFERROR(INDEX(BD!$H$15:$H$1979,MATCH('Tab1'!E66&amp;'Tab1'!$I$11&amp;'Tab1'!$I$12,BD!$F$15:$F$1979&amp;BD!$M$15:$M$1979&amp;BD!$N$15:$N$1979,0)),"")</f>
        <v/>
      </c>
      <c r="J66" s="160" t="str">
        <f t="array" ref="J66">IFERROR(INDEX(BD!$H$15:$H$1979,MATCH('Tab1'!E66&amp;'Tab1'!$I$11&amp;'Tab1'!$J$12,BD!$F$15:$F$1979&amp;BD!$M$15:$M$1979&amp;BD!$N$15:$N$1979,0)),"")</f>
        <v/>
      </c>
      <c r="K66" s="160" t="str">
        <f t="array" ref="K66">IFERROR(INDEX(BD!$H$15:$H$1979,MATCH('Tab1'!E66&amp;'Tab1'!$I$11&amp;'Tab1'!$K$12,BD!$F$15:$F$1979&amp;BD!$M$15:$M$1979&amp;BD!$N$15:$N$1979,0)),"")</f>
        <v/>
      </c>
      <c r="L66" s="160" t="str">
        <f t="array" ref="L66">IFERROR(INDEX(BD!$H$15:$H$1979,MATCH('Tab1'!E66&amp;'Tab1'!$L$11&amp;'Tab1'!$L$12,BD!$F$15:$F$1979&amp;BD!$M$15:$M$1979&amp;BD!$N$15:$N$1979,0)),"")</f>
        <v/>
      </c>
      <c r="M66" s="160" t="str">
        <f t="array" ref="M66">IFERROR(INDEX(BD!$H$15:$H$1979,MATCH('Tab1'!E66&amp;'Tab1'!$L$11&amp;'Tab1'!$M$12,BD!$F$15:$F$1979&amp;BD!$M$15:$M$1979&amp;BD!$N$15:$N$1979,0)),"")</f>
        <v/>
      </c>
      <c r="N66" s="160" t="str">
        <f t="array" ref="N66">IFERROR(INDEX(BD!$H$15:$H$1979,MATCH('Tab1'!E66&amp;'Tab1'!$L$11&amp;'Tab1'!$N$12,BD!$F$15:$F$1979&amp;BD!$M$15:$M$1979&amp;BD!$N$15:$N$1979,0)),"")</f>
        <v/>
      </c>
      <c r="O66" s="160">
        <f t="array" ref="O66">IFERROR(INDEX(BD!$H$15:$H$1979,MATCH('Tab1'!E66&amp;'Tab1'!$O$11&amp;'Tab1'!$O$12,BD!$F$15:$F$1979&amp;BD!$M$15:$M$1979&amp;BD!$N$15:$N$1979,0)),"")</f>
        <v>0</v>
      </c>
      <c r="P66" s="160">
        <f t="array" ref="P66">IFERROR(INDEX(BD!$H$15:$H$1979,MATCH('Tab1'!E66&amp;'Tab1'!$O$11&amp;'Tab1'!$P$12,BD!$F$15:$F$1979&amp;BD!$M$15:$M$1979&amp;BD!$N$15:$N$1979,0)),"")</f>
        <v>0</v>
      </c>
      <c r="Q66" s="160">
        <f t="array" ref="Q66">IFERROR(INDEX(BD!$H$15:$H$1979,MATCH('Tab1'!E66&amp;'Tab1'!$O$11&amp;'Tab1'!$Q$12,BD!$F$15:$F$1979&amp;BD!$M$15:$M$1979&amp;BD!$N$15:$N$1979,0)),"")</f>
        <v>0</v>
      </c>
    </row>
    <row r="67" spans="2:17" x14ac:dyDescent="0.25">
      <c r="B67" s="2"/>
      <c r="C67" s="18">
        <f>'Cad1'!F69</f>
        <v>0</v>
      </c>
      <c r="E67" s="30" t="str">
        <f t="shared" si="1"/>
        <v/>
      </c>
      <c r="F67" s="160" t="str">
        <f t="array" ref="F67">IFERROR(INDEX(BD!$H$15:$H$1979,MATCH('Tab1'!E67&amp;'Tab1'!$F$11:$H$11&amp;'Tab1'!$F$12,BD!$F$15:$F$1979&amp;BD!$M$15:$M$1979&amp;BD!$N$15:$N$1979,0)),"")</f>
        <v/>
      </c>
      <c r="G67" s="160" t="str">
        <f t="array" ref="G67">IFERROR(INDEX(BD!$H$15:$H$1979,MATCH('Tab1'!E67&amp;'Tab1'!$F$11:$H$11&amp;$G$12,BD!$F$15:$F$1979&amp;BD!$M$15:$M$1979&amp;BD!$N$15:$N$1979,0)),"")</f>
        <v/>
      </c>
      <c r="H67" s="160" t="str">
        <f t="array" ref="H67">IFERROR(INDEX(BD!$H$15:$H$1979,MATCH('Tab1'!E67&amp;'Tab1'!$F$11:$H$11&amp;'Tab1'!$H$12,BD!$F$15:$F$1979&amp;BD!$M$15:$M$1979&amp;BD!$N$15:$N$1979,0)),"")</f>
        <v/>
      </c>
      <c r="I67" s="160" t="str">
        <f t="array" ref="I67">IFERROR(INDEX(BD!$H$15:$H$1979,MATCH('Tab1'!E67&amp;'Tab1'!$I$11&amp;'Tab1'!$I$12,BD!$F$15:$F$1979&amp;BD!$M$15:$M$1979&amp;BD!$N$15:$N$1979,0)),"")</f>
        <v/>
      </c>
      <c r="J67" s="160" t="str">
        <f t="array" ref="J67">IFERROR(INDEX(BD!$H$15:$H$1979,MATCH('Tab1'!E67&amp;'Tab1'!$I$11&amp;'Tab1'!$J$12,BD!$F$15:$F$1979&amp;BD!$M$15:$M$1979&amp;BD!$N$15:$N$1979,0)),"")</f>
        <v/>
      </c>
      <c r="K67" s="160" t="str">
        <f t="array" ref="K67">IFERROR(INDEX(BD!$H$15:$H$1979,MATCH('Tab1'!E67&amp;'Tab1'!$I$11&amp;'Tab1'!$K$12,BD!$F$15:$F$1979&amp;BD!$M$15:$M$1979&amp;BD!$N$15:$N$1979,0)),"")</f>
        <v/>
      </c>
      <c r="L67" s="160" t="str">
        <f t="array" ref="L67">IFERROR(INDEX(BD!$H$15:$H$1979,MATCH('Tab1'!E67&amp;'Tab1'!$L$11&amp;'Tab1'!$L$12,BD!$F$15:$F$1979&amp;BD!$M$15:$M$1979&amp;BD!$N$15:$N$1979,0)),"")</f>
        <v/>
      </c>
      <c r="M67" s="160" t="str">
        <f t="array" ref="M67">IFERROR(INDEX(BD!$H$15:$H$1979,MATCH('Tab1'!E67&amp;'Tab1'!$L$11&amp;'Tab1'!$M$12,BD!$F$15:$F$1979&amp;BD!$M$15:$M$1979&amp;BD!$N$15:$N$1979,0)),"")</f>
        <v/>
      </c>
      <c r="N67" s="160" t="str">
        <f t="array" ref="N67">IFERROR(INDEX(BD!$H$15:$H$1979,MATCH('Tab1'!E67&amp;'Tab1'!$L$11&amp;'Tab1'!$N$12,BD!$F$15:$F$1979&amp;BD!$M$15:$M$1979&amp;BD!$N$15:$N$1979,0)),"")</f>
        <v/>
      </c>
      <c r="O67" s="160">
        <f t="array" ref="O67">IFERROR(INDEX(BD!$H$15:$H$1979,MATCH('Tab1'!E67&amp;'Tab1'!$O$11&amp;'Tab1'!$O$12,BD!$F$15:$F$1979&amp;BD!$M$15:$M$1979&amp;BD!$N$15:$N$1979,0)),"")</f>
        <v>0</v>
      </c>
      <c r="P67" s="160">
        <f t="array" ref="P67">IFERROR(INDEX(BD!$H$15:$H$1979,MATCH('Tab1'!E67&amp;'Tab1'!$O$11&amp;'Tab1'!$P$12,BD!$F$15:$F$1979&amp;BD!$M$15:$M$1979&amp;BD!$N$15:$N$1979,0)),"")</f>
        <v>0</v>
      </c>
      <c r="Q67" s="160">
        <f t="array" ref="Q67">IFERROR(INDEX(BD!$H$15:$H$1979,MATCH('Tab1'!E67&amp;'Tab1'!$O$11&amp;'Tab1'!$Q$12,BD!$F$15:$F$1979&amp;BD!$M$15:$M$1979&amp;BD!$N$15:$N$1979,0)),"")</f>
        <v>0</v>
      </c>
    </row>
    <row r="68" spans="2:17" x14ac:dyDescent="0.25">
      <c r="B68" s="2"/>
      <c r="C68" s="18">
        <f>'Cad1'!F70</f>
        <v>0</v>
      </c>
      <c r="E68" s="30" t="str">
        <f t="shared" si="1"/>
        <v/>
      </c>
      <c r="F68" s="160" t="str">
        <f t="array" ref="F68">IFERROR(INDEX(BD!$H$15:$H$1979,MATCH('Tab1'!E68&amp;'Tab1'!$F$11:$H$11&amp;'Tab1'!$F$12,BD!$F$15:$F$1979&amp;BD!$M$15:$M$1979&amp;BD!$N$15:$N$1979,0)),"")</f>
        <v/>
      </c>
      <c r="G68" s="160" t="str">
        <f t="array" ref="G68">IFERROR(INDEX(BD!$H$15:$H$1979,MATCH('Tab1'!E68&amp;'Tab1'!$F$11:$H$11&amp;$G$12,BD!$F$15:$F$1979&amp;BD!$M$15:$M$1979&amp;BD!$N$15:$N$1979,0)),"")</f>
        <v/>
      </c>
      <c r="H68" s="160" t="str">
        <f t="array" ref="H68">IFERROR(INDEX(BD!$H$15:$H$1979,MATCH('Tab1'!E68&amp;'Tab1'!$F$11:$H$11&amp;'Tab1'!$H$12,BD!$F$15:$F$1979&amp;BD!$M$15:$M$1979&amp;BD!$N$15:$N$1979,0)),"")</f>
        <v/>
      </c>
      <c r="I68" s="160" t="str">
        <f t="array" ref="I68">IFERROR(INDEX(BD!$H$15:$H$1979,MATCH('Tab1'!E68&amp;'Tab1'!$I$11&amp;'Tab1'!$I$12,BD!$F$15:$F$1979&amp;BD!$M$15:$M$1979&amp;BD!$N$15:$N$1979,0)),"")</f>
        <v/>
      </c>
      <c r="J68" s="160" t="str">
        <f t="array" ref="J68">IFERROR(INDEX(BD!$H$15:$H$1979,MATCH('Tab1'!E68&amp;'Tab1'!$I$11&amp;'Tab1'!$J$12,BD!$F$15:$F$1979&amp;BD!$M$15:$M$1979&amp;BD!$N$15:$N$1979,0)),"")</f>
        <v/>
      </c>
      <c r="K68" s="160" t="str">
        <f t="array" ref="K68">IFERROR(INDEX(BD!$H$15:$H$1979,MATCH('Tab1'!E68&amp;'Tab1'!$I$11&amp;'Tab1'!$K$12,BD!$F$15:$F$1979&amp;BD!$M$15:$M$1979&amp;BD!$N$15:$N$1979,0)),"")</f>
        <v/>
      </c>
      <c r="L68" s="160" t="str">
        <f t="array" ref="L68">IFERROR(INDEX(BD!$H$15:$H$1979,MATCH('Tab1'!E68&amp;'Tab1'!$L$11&amp;'Tab1'!$L$12,BD!$F$15:$F$1979&amp;BD!$M$15:$M$1979&amp;BD!$N$15:$N$1979,0)),"")</f>
        <v/>
      </c>
      <c r="M68" s="160" t="str">
        <f t="array" ref="M68">IFERROR(INDEX(BD!$H$15:$H$1979,MATCH('Tab1'!E68&amp;'Tab1'!$L$11&amp;'Tab1'!$M$12,BD!$F$15:$F$1979&amp;BD!$M$15:$M$1979&amp;BD!$N$15:$N$1979,0)),"")</f>
        <v/>
      </c>
      <c r="N68" s="160" t="str">
        <f t="array" ref="N68">IFERROR(INDEX(BD!$H$15:$H$1979,MATCH('Tab1'!E68&amp;'Tab1'!$L$11&amp;'Tab1'!$N$12,BD!$F$15:$F$1979&amp;BD!$M$15:$M$1979&amp;BD!$N$15:$N$1979,0)),"")</f>
        <v/>
      </c>
      <c r="O68" s="160">
        <f t="array" ref="O68">IFERROR(INDEX(BD!$H$15:$H$1979,MATCH('Tab1'!E68&amp;'Tab1'!$O$11&amp;'Tab1'!$O$12,BD!$F$15:$F$1979&amp;BD!$M$15:$M$1979&amp;BD!$N$15:$N$1979,0)),"")</f>
        <v>0</v>
      </c>
      <c r="P68" s="160">
        <f t="array" ref="P68">IFERROR(INDEX(BD!$H$15:$H$1979,MATCH('Tab1'!E68&amp;'Tab1'!$O$11&amp;'Tab1'!$P$12,BD!$F$15:$F$1979&amp;BD!$M$15:$M$1979&amp;BD!$N$15:$N$1979,0)),"")</f>
        <v>0</v>
      </c>
      <c r="Q68" s="160">
        <f t="array" ref="Q68">IFERROR(INDEX(BD!$H$15:$H$1979,MATCH('Tab1'!E68&amp;'Tab1'!$O$11&amp;'Tab1'!$Q$12,BD!$F$15:$F$1979&amp;BD!$M$15:$M$1979&amp;BD!$N$15:$N$1979,0)),"")</f>
        <v>0</v>
      </c>
    </row>
    <row r="69" spans="2:17" x14ac:dyDescent="0.25">
      <c r="B69" s="2"/>
      <c r="C69" s="18">
        <f>'Cad1'!F71</f>
        <v>0</v>
      </c>
      <c r="E69" s="30" t="str">
        <f t="shared" si="1"/>
        <v/>
      </c>
      <c r="F69" s="160" t="str">
        <f t="array" ref="F69">IFERROR(INDEX(BD!$H$15:$H$1979,MATCH('Tab1'!E69&amp;'Tab1'!$F$11:$H$11&amp;'Tab1'!$F$12,BD!$F$15:$F$1979&amp;BD!$M$15:$M$1979&amp;BD!$N$15:$N$1979,0)),"")</f>
        <v/>
      </c>
      <c r="G69" s="160" t="str">
        <f t="array" ref="G69">IFERROR(INDEX(BD!$H$15:$H$1979,MATCH('Tab1'!E69&amp;'Tab1'!$F$11:$H$11&amp;$G$12,BD!$F$15:$F$1979&amp;BD!$M$15:$M$1979&amp;BD!$N$15:$N$1979,0)),"")</f>
        <v/>
      </c>
      <c r="H69" s="160" t="str">
        <f t="array" ref="H69">IFERROR(INDEX(BD!$H$15:$H$1979,MATCH('Tab1'!E69&amp;'Tab1'!$F$11:$H$11&amp;'Tab1'!$H$12,BD!$F$15:$F$1979&amp;BD!$M$15:$M$1979&amp;BD!$N$15:$N$1979,0)),"")</f>
        <v/>
      </c>
      <c r="I69" s="160" t="str">
        <f t="array" ref="I69">IFERROR(INDEX(BD!$H$15:$H$1979,MATCH('Tab1'!E69&amp;'Tab1'!$I$11&amp;'Tab1'!$I$12,BD!$F$15:$F$1979&amp;BD!$M$15:$M$1979&amp;BD!$N$15:$N$1979,0)),"")</f>
        <v/>
      </c>
      <c r="J69" s="160" t="str">
        <f t="array" ref="J69">IFERROR(INDEX(BD!$H$15:$H$1979,MATCH('Tab1'!E69&amp;'Tab1'!$I$11&amp;'Tab1'!$J$12,BD!$F$15:$F$1979&amp;BD!$M$15:$M$1979&amp;BD!$N$15:$N$1979,0)),"")</f>
        <v/>
      </c>
      <c r="K69" s="160" t="str">
        <f t="array" ref="K69">IFERROR(INDEX(BD!$H$15:$H$1979,MATCH('Tab1'!E69&amp;'Tab1'!$I$11&amp;'Tab1'!$K$12,BD!$F$15:$F$1979&amp;BD!$M$15:$M$1979&amp;BD!$N$15:$N$1979,0)),"")</f>
        <v/>
      </c>
      <c r="L69" s="160" t="str">
        <f t="array" ref="L69">IFERROR(INDEX(BD!$H$15:$H$1979,MATCH('Tab1'!E69&amp;'Tab1'!$L$11&amp;'Tab1'!$L$12,BD!$F$15:$F$1979&amp;BD!$M$15:$M$1979&amp;BD!$N$15:$N$1979,0)),"")</f>
        <v/>
      </c>
      <c r="M69" s="160" t="str">
        <f t="array" ref="M69">IFERROR(INDEX(BD!$H$15:$H$1979,MATCH('Tab1'!E69&amp;'Tab1'!$L$11&amp;'Tab1'!$M$12,BD!$F$15:$F$1979&amp;BD!$M$15:$M$1979&amp;BD!$N$15:$N$1979,0)),"")</f>
        <v/>
      </c>
      <c r="N69" s="160" t="str">
        <f t="array" ref="N69">IFERROR(INDEX(BD!$H$15:$H$1979,MATCH('Tab1'!E69&amp;'Tab1'!$L$11&amp;'Tab1'!$N$12,BD!$F$15:$F$1979&amp;BD!$M$15:$M$1979&amp;BD!$N$15:$N$1979,0)),"")</f>
        <v/>
      </c>
      <c r="O69" s="160">
        <f t="array" ref="O69">IFERROR(INDEX(BD!$H$15:$H$1979,MATCH('Tab1'!E69&amp;'Tab1'!$O$11&amp;'Tab1'!$O$12,BD!$F$15:$F$1979&amp;BD!$M$15:$M$1979&amp;BD!$N$15:$N$1979,0)),"")</f>
        <v>0</v>
      </c>
      <c r="P69" s="160">
        <f t="array" ref="P69">IFERROR(INDEX(BD!$H$15:$H$1979,MATCH('Tab1'!E69&amp;'Tab1'!$O$11&amp;'Tab1'!$P$12,BD!$F$15:$F$1979&amp;BD!$M$15:$M$1979&amp;BD!$N$15:$N$1979,0)),"")</f>
        <v>0</v>
      </c>
      <c r="Q69" s="160">
        <f t="array" ref="Q69">IFERROR(INDEX(BD!$H$15:$H$1979,MATCH('Tab1'!E69&amp;'Tab1'!$O$11&amp;'Tab1'!$Q$12,BD!$F$15:$F$1979&amp;BD!$M$15:$M$1979&amp;BD!$N$15:$N$1979,0)),"")</f>
        <v>0</v>
      </c>
    </row>
    <row r="70" spans="2:17" x14ac:dyDescent="0.25">
      <c r="B70" s="2"/>
      <c r="C70" s="18">
        <f>'Cad1'!F72</f>
        <v>0</v>
      </c>
      <c r="E70" s="30" t="str">
        <f t="shared" si="1"/>
        <v/>
      </c>
      <c r="F70" s="160" t="str">
        <f t="array" ref="F70">IFERROR(INDEX(BD!$H$15:$H$1979,MATCH('Tab1'!E70&amp;'Tab1'!$F$11:$H$11&amp;'Tab1'!$F$12,BD!$F$15:$F$1979&amp;BD!$M$15:$M$1979&amp;BD!$N$15:$N$1979,0)),"")</f>
        <v/>
      </c>
      <c r="G70" s="160" t="str">
        <f t="array" ref="G70">IFERROR(INDEX(BD!$H$15:$H$1979,MATCH('Tab1'!E70&amp;'Tab1'!$F$11:$H$11&amp;$G$12,BD!$F$15:$F$1979&amp;BD!$M$15:$M$1979&amp;BD!$N$15:$N$1979,0)),"")</f>
        <v/>
      </c>
      <c r="H70" s="160" t="str">
        <f t="array" ref="H70">IFERROR(INDEX(BD!$H$15:$H$1979,MATCH('Tab1'!E70&amp;'Tab1'!$F$11:$H$11&amp;'Tab1'!$H$12,BD!$F$15:$F$1979&amp;BD!$M$15:$M$1979&amp;BD!$N$15:$N$1979,0)),"")</f>
        <v/>
      </c>
      <c r="I70" s="160" t="str">
        <f t="array" ref="I70">IFERROR(INDEX(BD!$H$15:$H$1979,MATCH('Tab1'!E70&amp;'Tab1'!$I$11&amp;'Tab1'!$I$12,BD!$F$15:$F$1979&amp;BD!$M$15:$M$1979&amp;BD!$N$15:$N$1979,0)),"")</f>
        <v/>
      </c>
      <c r="J70" s="160" t="str">
        <f t="array" ref="J70">IFERROR(INDEX(BD!$H$15:$H$1979,MATCH('Tab1'!E70&amp;'Tab1'!$I$11&amp;'Tab1'!$J$12,BD!$F$15:$F$1979&amp;BD!$M$15:$M$1979&amp;BD!$N$15:$N$1979,0)),"")</f>
        <v/>
      </c>
      <c r="K70" s="160" t="str">
        <f t="array" ref="K70">IFERROR(INDEX(BD!$H$15:$H$1979,MATCH('Tab1'!E70&amp;'Tab1'!$I$11&amp;'Tab1'!$K$12,BD!$F$15:$F$1979&amp;BD!$M$15:$M$1979&amp;BD!$N$15:$N$1979,0)),"")</f>
        <v/>
      </c>
      <c r="L70" s="160" t="str">
        <f t="array" ref="L70">IFERROR(INDEX(BD!$H$15:$H$1979,MATCH('Tab1'!E70&amp;'Tab1'!$L$11&amp;'Tab1'!$L$12,BD!$F$15:$F$1979&amp;BD!$M$15:$M$1979&amp;BD!$N$15:$N$1979,0)),"")</f>
        <v/>
      </c>
      <c r="M70" s="160" t="str">
        <f t="array" ref="M70">IFERROR(INDEX(BD!$H$15:$H$1979,MATCH('Tab1'!E70&amp;'Tab1'!$L$11&amp;'Tab1'!$M$12,BD!$F$15:$F$1979&amp;BD!$M$15:$M$1979&amp;BD!$N$15:$N$1979,0)),"")</f>
        <v/>
      </c>
      <c r="N70" s="160" t="str">
        <f t="array" ref="N70">IFERROR(INDEX(BD!$H$15:$H$1979,MATCH('Tab1'!E70&amp;'Tab1'!$L$11&amp;'Tab1'!$N$12,BD!$F$15:$F$1979&amp;BD!$M$15:$M$1979&amp;BD!$N$15:$N$1979,0)),"")</f>
        <v/>
      </c>
      <c r="O70" s="160">
        <f t="array" ref="O70">IFERROR(INDEX(BD!$H$15:$H$1979,MATCH('Tab1'!E70&amp;'Tab1'!$O$11&amp;'Tab1'!$O$12,BD!$F$15:$F$1979&amp;BD!$M$15:$M$1979&amp;BD!$N$15:$N$1979,0)),"")</f>
        <v>0</v>
      </c>
      <c r="P70" s="160">
        <f t="array" ref="P70">IFERROR(INDEX(BD!$H$15:$H$1979,MATCH('Tab1'!E70&amp;'Tab1'!$O$11&amp;'Tab1'!$P$12,BD!$F$15:$F$1979&amp;BD!$M$15:$M$1979&amp;BD!$N$15:$N$1979,0)),"")</f>
        <v>0</v>
      </c>
      <c r="Q70" s="160">
        <f t="array" ref="Q70">IFERROR(INDEX(BD!$H$15:$H$1979,MATCH('Tab1'!E70&amp;'Tab1'!$O$11&amp;'Tab1'!$Q$12,BD!$F$15:$F$1979&amp;BD!$M$15:$M$1979&amp;BD!$N$15:$N$1979,0)),"")</f>
        <v>0</v>
      </c>
    </row>
    <row r="71" spans="2:17" x14ac:dyDescent="0.25">
      <c r="B71" s="2"/>
      <c r="C71" s="18">
        <f>'Cad1'!F73</f>
        <v>0</v>
      </c>
      <c r="E71" s="30" t="str">
        <f t="shared" si="1"/>
        <v/>
      </c>
      <c r="F71" s="160" t="str">
        <f t="array" ref="F71">IFERROR(INDEX(BD!$H$15:$H$1979,MATCH('Tab1'!E71&amp;'Tab1'!$F$11:$H$11&amp;'Tab1'!$F$12,BD!$F$15:$F$1979&amp;BD!$M$15:$M$1979&amp;BD!$N$15:$N$1979,0)),"")</f>
        <v/>
      </c>
      <c r="G71" s="160" t="str">
        <f t="array" ref="G71">IFERROR(INDEX(BD!$H$15:$H$1979,MATCH('Tab1'!E71&amp;'Tab1'!$F$11:$H$11&amp;$G$12,BD!$F$15:$F$1979&amp;BD!$M$15:$M$1979&amp;BD!$N$15:$N$1979,0)),"")</f>
        <v/>
      </c>
      <c r="H71" s="160" t="str">
        <f t="array" ref="H71">IFERROR(INDEX(BD!$H$15:$H$1979,MATCH('Tab1'!E71&amp;'Tab1'!$F$11:$H$11&amp;'Tab1'!$H$12,BD!$F$15:$F$1979&amp;BD!$M$15:$M$1979&amp;BD!$N$15:$N$1979,0)),"")</f>
        <v/>
      </c>
      <c r="I71" s="160" t="str">
        <f t="array" ref="I71">IFERROR(INDEX(BD!$H$15:$H$1979,MATCH('Tab1'!E71&amp;'Tab1'!$I$11&amp;'Tab1'!$I$12,BD!$F$15:$F$1979&amp;BD!$M$15:$M$1979&amp;BD!$N$15:$N$1979,0)),"")</f>
        <v/>
      </c>
      <c r="J71" s="160" t="str">
        <f t="array" ref="J71">IFERROR(INDEX(BD!$H$15:$H$1979,MATCH('Tab1'!E71&amp;'Tab1'!$I$11&amp;'Tab1'!$J$12,BD!$F$15:$F$1979&amp;BD!$M$15:$M$1979&amp;BD!$N$15:$N$1979,0)),"")</f>
        <v/>
      </c>
      <c r="K71" s="160" t="str">
        <f t="array" ref="K71">IFERROR(INDEX(BD!$H$15:$H$1979,MATCH('Tab1'!E71&amp;'Tab1'!$I$11&amp;'Tab1'!$K$12,BD!$F$15:$F$1979&amp;BD!$M$15:$M$1979&amp;BD!$N$15:$N$1979,0)),"")</f>
        <v/>
      </c>
      <c r="L71" s="160" t="str">
        <f t="array" ref="L71">IFERROR(INDEX(BD!$H$15:$H$1979,MATCH('Tab1'!E71&amp;'Tab1'!$L$11&amp;'Tab1'!$L$12,BD!$F$15:$F$1979&amp;BD!$M$15:$M$1979&amp;BD!$N$15:$N$1979,0)),"")</f>
        <v/>
      </c>
      <c r="M71" s="160" t="str">
        <f t="array" ref="M71">IFERROR(INDEX(BD!$H$15:$H$1979,MATCH('Tab1'!E71&amp;'Tab1'!$L$11&amp;'Tab1'!$M$12,BD!$F$15:$F$1979&amp;BD!$M$15:$M$1979&amp;BD!$N$15:$N$1979,0)),"")</f>
        <v/>
      </c>
      <c r="N71" s="160" t="str">
        <f t="array" ref="N71">IFERROR(INDEX(BD!$H$15:$H$1979,MATCH('Tab1'!E71&amp;'Tab1'!$L$11&amp;'Tab1'!$N$12,BD!$F$15:$F$1979&amp;BD!$M$15:$M$1979&amp;BD!$N$15:$N$1979,0)),"")</f>
        <v/>
      </c>
      <c r="O71" s="160">
        <f t="array" ref="O71">IFERROR(INDEX(BD!$H$15:$H$1979,MATCH('Tab1'!E71&amp;'Tab1'!$O$11&amp;'Tab1'!$O$12,BD!$F$15:$F$1979&amp;BD!$M$15:$M$1979&amp;BD!$N$15:$N$1979,0)),"")</f>
        <v>0</v>
      </c>
      <c r="P71" s="160">
        <f t="array" ref="P71">IFERROR(INDEX(BD!$H$15:$H$1979,MATCH('Tab1'!E71&amp;'Tab1'!$O$11&amp;'Tab1'!$P$12,BD!$F$15:$F$1979&amp;BD!$M$15:$M$1979&amp;BD!$N$15:$N$1979,0)),"")</f>
        <v>0</v>
      </c>
      <c r="Q71" s="160">
        <f t="array" ref="Q71">IFERROR(INDEX(BD!$H$15:$H$1979,MATCH('Tab1'!E71&amp;'Tab1'!$O$11&amp;'Tab1'!$Q$12,BD!$F$15:$F$1979&amp;BD!$M$15:$M$1979&amp;BD!$N$15:$N$1979,0)),"")</f>
        <v>0</v>
      </c>
    </row>
    <row r="72" spans="2:17" x14ac:dyDescent="0.25">
      <c r="B72" s="2"/>
      <c r="C72" s="18">
        <f>'Cad1'!F74</f>
        <v>0</v>
      </c>
      <c r="E72" s="30" t="str">
        <f t="shared" si="1"/>
        <v/>
      </c>
      <c r="F72" s="160" t="str">
        <f t="array" ref="F72">IFERROR(INDEX(BD!$H$15:$H$1979,MATCH('Tab1'!E72&amp;'Tab1'!$F$11:$H$11&amp;'Tab1'!$F$12,BD!$F$15:$F$1979&amp;BD!$M$15:$M$1979&amp;BD!$N$15:$N$1979,0)),"")</f>
        <v/>
      </c>
      <c r="G72" s="160" t="str">
        <f t="array" ref="G72">IFERROR(INDEX(BD!$H$15:$H$1979,MATCH('Tab1'!E72&amp;'Tab1'!$F$11:$H$11&amp;$G$12,BD!$F$15:$F$1979&amp;BD!$M$15:$M$1979&amp;BD!$N$15:$N$1979,0)),"")</f>
        <v/>
      </c>
      <c r="H72" s="160" t="str">
        <f t="array" ref="H72">IFERROR(INDEX(BD!$H$15:$H$1979,MATCH('Tab1'!E72&amp;'Tab1'!$F$11:$H$11&amp;'Tab1'!$H$12,BD!$F$15:$F$1979&amp;BD!$M$15:$M$1979&amp;BD!$N$15:$N$1979,0)),"")</f>
        <v/>
      </c>
      <c r="I72" s="160" t="str">
        <f t="array" ref="I72">IFERROR(INDEX(BD!$H$15:$H$1979,MATCH('Tab1'!E72&amp;'Tab1'!$I$11&amp;'Tab1'!$I$12,BD!$F$15:$F$1979&amp;BD!$M$15:$M$1979&amp;BD!$N$15:$N$1979,0)),"")</f>
        <v/>
      </c>
      <c r="J72" s="160" t="str">
        <f t="array" ref="J72">IFERROR(INDEX(BD!$H$15:$H$1979,MATCH('Tab1'!E72&amp;'Tab1'!$I$11&amp;'Tab1'!$J$12,BD!$F$15:$F$1979&amp;BD!$M$15:$M$1979&amp;BD!$N$15:$N$1979,0)),"")</f>
        <v/>
      </c>
      <c r="K72" s="160" t="str">
        <f t="array" ref="K72">IFERROR(INDEX(BD!$H$15:$H$1979,MATCH('Tab1'!E72&amp;'Tab1'!$I$11&amp;'Tab1'!$K$12,BD!$F$15:$F$1979&amp;BD!$M$15:$M$1979&amp;BD!$N$15:$N$1979,0)),"")</f>
        <v/>
      </c>
      <c r="L72" s="160" t="str">
        <f t="array" ref="L72">IFERROR(INDEX(BD!$H$15:$H$1979,MATCH('Tab1'!E72&amp;'Tab1'!$L$11&amp;'Tab1'!$L$12,BD!$F$15:$F$1979&amp;BD!$M$15:$M$1979&amp;BD!$N$15:$N$1979,0)),"")</f>
        <v/>
      </c>
      <c r="M72" s="160" t="str">
        <f t="array" ref="M72">IFERROR(INDEX(BD!$H$15:$H$1979,MATCH('Tab1'!E72&amp;'Tab1'!$L$11&amp;'Tab1'!$M$12,BD!$F$15:$F$1979&amp;BD!$M$15:$M$1979&amp;BD!$N$15:$N$1979,0)),"")</f>
        <v/>
      </c>
      <c r="N72" s="160" t="str">
        <f t="array" ref="N72">IFERROR(INDEX(BD!$H$15:$H$1979,MATCH('Tab1'!E72&amp;'Tab1'!$L$11&amp;'Tab1'!$N$12,BD!$F$15:$F$1979&amp;BD!$M$15:$M$1979&amp;BD!$N$15:$N$1979,0)),"")</f>
        <v/>
      </c>
      <c r="O72" s="160">
        <f t="array" ref="O72">IFERROR(INDEX(BD!$H$15:$H$1979,MATCH('Tab1'!E72&amp;'Tab1'!$O$11&amp;'Tab1'!$O$12,BD!$F$15:$F$1979&amp;BD!$M$15:$M$1979&amp;BD!$N$15:$N$1979,0)),"")</f>
        <v>0</v>
      </c>
      <c r="P72" s="160">
        <f t="array" ref="P72">IFERROR(INDEX(BD!$H$15:$H$1979,MATCH('Tab1'!E72&amp;'Tab1'!$O$11&amp;'Tab1'!$P$12,BD!$F$15:$F$1979&amp;BD!$M$15:$M$1979&amp;BD!$N$15:$N$1979,0)),"")</f>
        <v>0</v>
      </c>
      <c r="Q72" s="160">
        <f t="array" ref="Q72">IFERROR(INDEX(BD!$H$15:$H$1979,MATCH('Tab1'!E72&amp;'Tab1'!$O$11&amp;'Tab1'!$Q$12,BD!$F$15:$F$1979&amp;BD!$M$15:$M$1979&amp;BD!$N$15:$N$1979,0)),"")</f>
        <v>0</v>
      </c>
    </row>
    <row r="73" spans="2:17" x14ac:dyDescent="0.25">
      <c r="B73" s="2"/>
      <c r="C73" s="18">
        <f>'Cad1'!F75</f>
        <v>0</v>
      </c>
      <c r="E73" s="30" t="str">
        <f t="shared" si="1"/>
        <v/>
      </c>
      <c r="F73" s="160" t="str">
        <f t="array" ref="F73">IFERROR(INDEX(BD!$H$15:$H$1979,MATCH('Tab1'!E73&amp;'Tab1'!$F$11:$H$11&amp;'Tab1'!$F$12,BD!$F$15:$F$1979&amp;BD!$M$15:$M$1979&amp;BD!$N$15:$N$1979,0)),"")</f>
        <v/>
      </c>
      <c r="G73" s="160" t="str">
        <f t="array" ref="G73">IFERROR(INDEX(BD!$H$15:$H$1979,MATCH('Tab1'!E73&amp;'Tab1'!$F$11:$H$11&amp;$G$12,BD!$F$15:$F$1979&amp;BD!$M$15:$M$1979&amp;BD!$N$15:$N$1979,0)),"")</f>
        <v/>
      </c>
      <c r="H73" s="160" t="str">
        <f t="array" ref="H73">IFERROR(INDEX(BD!$H$15:$H$1979,MATCH('Tab1'!E73&amp;'Tab1'!$F$11:$H$11&amp;'Tab1'!$H$12,BD!$F$15:$F$1979&amp;BD!$M$15:$M$1979&amp;BD!$N$15:$N$1979,0)),"")</f>
        <v/>
      </c>
      <c r="I73" s="160" t="str">
        <f t="array" ref="I73">IFERROR(INDEX(BD!$H$15:$H$1979,MATCH('Tab1'!E73&amp;'Tab1'!$I$11&amp;'Tab1'!$I$12,BD!$F$15:$F$1979&amp;BD!$M$15:$M$1979&amp;BD!$N$15:$N$1979,0)),"")</f>
        <v/>
      </c>
      <c r="J73" s="160" t="str">
        <f t="array" ref="J73">IFERROR(INDEX(BD!$H$15:$H$1979,MATCH('Tab1'!E73&amp;'Tab1'!$I$11&amp;'Tab1'!$J$12,BD!$F$15:$F$1979&amp;BD!$M$15:$M$1979&amp;BD!$N$15:$N$1979,0)),"")</f>
        <v/>
      </c>
      <c r="K73" s="160" t="str">
        <f t="array" ref="K73">IFERROR(INDEX(BD!$H$15:$H$1979,MATCH('Tab1'!E73&amp;'Tab1'!$I$11&amp;'Tab1'!$K$12,BD!$F$15:$F$1979&amp;BD!$M$15:$M$1979&amp;BD!$N$15:$N$1979,0)),"")</f>
        <v/>
      </c>
      <c r="L73" s="160" t="str">
        <f t="array" ref="L73">IFERROR(INDEX(BD!$H$15:$H$1979,MATCH('Tab1'!E73&amp;'Tab1'!$L$11&amp;'Tab1'!$L$12,BD!$F$15:$F$1979&amp;BD!$M$15:$M$1979&amp;BD!$N$15:$N$1979,0)),"")</f>
        <v/>
      </c>
      <c r="M73" s="160" t="str">
        <f t="array" ref="M73">IFERROR(INDEX(BD!$H$15:$H$1979,MATCH('Tab1'!E73&amp;'Tab1'!$L$11&amp;'Tab1'!$M$12,BD!$F$15:$F$1979&amp;BD!$M$15:$M$1979&amp;BD!$N$15:$N$1979,0)),"")</f>
        <v/>
      </c>
      <c r="N73" s="160" t="str">
        <f t="array" ref="N73">IFERROR(INDEX(BD!$H$15:$H$1979,MATCH('Tab1'!E73&amp;'Tab1'!$L$11&amp;'Tab1'!$N$12,BD!$F$15:$F$1979&amp;BD!$M$15:$M$1979&amp;BD!$N$15:$N$1979,0)),"")</f>
        <v/>
      </c>
      <c r="O73" s="160">
        <f t="array" ref="O73">IFERROR(INDEX(BD!$H$15:$H$1979,MATCH('Tab1'!E73&amp;'Tab1'!$O$11&amp;'Tab1'!$O$12,BD!$F$15:$F$1979&amp;BD!$M$15:$M$1979&amp;BD!$N$15:$N$1979,0)),"")</f>
        <v>0</v>
      </c>
      <c r="P73" s="160">
        <f t="array" ref="P73">IFERROR(INDEX(BD!$H$15:$H$1979,MATCH('Tab1'!E73&amp;'Tab1'!$O$11&amp;'Tab1'!$P$12,BD!$F$15:$F$1979&amp;BD!$M$15:$M$1979&amp;BD!$N$15:$N$1979,0)),"")</f>
        <v>0</v>
      </c>
      <c r="Q73" s="160">
        <f t="array" ref="Q73">IFERROR(INDEX(BD!$H$15:$H$1979,MATCH('Tab1'!E73&amp;'Tab1'!$O$11&amp;'Tab1'!$Q$12,BD!$F$15:$F$1979&amp;BD!$M$15:$M$1979&amp;BD!$N$15:$N$1979,0)),"")</f>
        <v>0</v>
      </c>
    </row>
    <row r="74" spans="2:17" x14ac:dyDescent="0.25">
      <c r="B74" s="2"/>
      <c r="C74" s="18">
        <f>'Cad1'!F76</f>
        <v>0</v>
      </c>
      <c r="E74" s="30" t="str">
        <f t="shared" si="1"/>
        <v/>
      </c>
      <c r="F74" s="160" t="str">
        <f t="array" ref="F74">IFERROR(INDEX(BD!$H$15:$H$1979,MATCH('Tab1'!E74&amp;'Tab1'!$F$11:$H$11&amp;'Tab1'!$F$12,BD!$F$15:$F$1979&amp;BD!$M$15:$M$1979&amp;BD!$N$15:$N$1979,0)),"")</f>
        <v/>
      </c>
      <c r="G74" s="160" t="str">
        <f t="array" ref="G74">IFERROR(INDEX(BD!$H$15:$H$1979,MATCH('Tab1'!E74&amp;'Tab1'!$F$11:$H$11&amp;$G$12,BD!$F$15:$F$1979&amp;BD!$M$15:$M$1979&amp;BD!$N$15:$N$1979,0)),"")</f>
        <v/>
      </c>
      <c r="H74" s="160" t="str">
        <f t="array" ref="H74">IFERROR(INDEX(BD!$H$15:$H$1979,MATCH('Tab1'!E74&amp;'Tab1'!$F$11:$H$11&amp;'Tab1'!$H$12,BD!$F$15:$F$1979&amp;BD!$M$15:$M$1979&amp;BD!$N$15:$N$1979,0)),"")</f>
        <v/>
      </c>
      <c r="I74" s="160" t="str">
        <f t="array" ref="I74">IFERROR(INDEX(BD!$H$15:$H$1979,MATCH('Tab1'!E74&amp;'Tab1'!$I$11&amp;'Tab1'!$I$12,BD!$F$15:$F$1979&amp;BD!$M$15:$M$1979&amp;BD!$N$15:$N$1979,0)),"")</f>
        <v/>
      </c>
      <c r="J74" s="160" t="str">
        <f t="array" ref="J74">IFERROR(INDEX(BD!$H$15:$H$1979,MATCH('Tab1'!E74&amp;'Tab1'!$I$11&amp;'Tab1'!$J$12,BD!$F$15:$F$1979&amp;BD!$M$15:$M$1979&amp;BD!$N$15:$N$1979,0)),"")</f>
        <v/>
      </c>
      <c r="K74" s="160" t="str">
        <f t="array" ref="K74">IFERROR(INDEX(BD!$H$15:$H$1979,MATCH('Tab1'!E74&amp;'Tab1'!$I$11&amp;'Tab1'!$K$12,BD!$F$15:$F$1979&amp;BD!$M$15:$M$1979&amp;BD!$N$15:$N$1979,0)),"")</f>
        <v/>
      </c>
      <c r="L74" s="160" t="str">
        <f t="array" ref="L74">IFERROR(INDEX(BD!$H$15:$H$1979,MATCH('Tab1'!E74&amp;'Tab1'!$L$11&amp;'Tab1'!$L$12,BD!$F$15:$F$1979&amp;BD!$M$15:$M$1979&amp;BD!$N$15:$N$1979,0)),"")</f>
        <v/>
      </c>
      <c r="M74" s="160" t="str">
        <f t="array" ref="M74">IFERROR(INDEX(BD!$H$15:$H$1979,MATCH('Tab1'!E74&amp;'Tab1'!$L$11&amp;'Tab1'!$M$12,BD!$F$15:$F$1979&amp;BD!$M$15:$M$1979&amp;BD!$N$15:$N$1979,0)),"")</f>
        <v/>
      </c>
      <c r="N74" s="160" t="str">
        <f t="array" ref="N74">IFERROR(INDEX(BD!$H$15:$H$1979,MATCH('Tab1'!E74&amp;'Tab1'!$L$11&amp;'Tab1'!$N$12,BD!$F$15:$F$1979&amp;BD!$M$15:$M$1979&amp;BD!$N$15:$N$1979,0)),"")</f>
        <v/>
      </c>
      <c r="O74" s="160">
        <f t="array" ref="O74">IFERROR(INDEX(BD!$H$15:$H$1979,MATCH('Tab1'!E74&amp;'Tab1'!$O$11&amp;'Tab1'!$O$12,BD!$F$15:$F$1979&amp;BD!$M$15:$M$1979&amp;BD!$N$15:$N$1979,0)),"")</f>
        <v>0</v>
      </c>
      <c r="P74" s="160">
        <f t="array" ref="P74">IFERROR(INDEX(BD!$H$15:$H$1979,MATCH('Tab1'!E74&amp;'Tab1'!$O$11&amp;'Tab1'!$P$12,BD!$F$15:$F$1979&amp;BD!$M$15:$M$1979&amp;BD!$N$15:$N$1979,0)),"")</f>
        <v>0</v>
      </c>
      <c r="Q74" s="160">
        <f t="array" ref="Q74">IFERROR(INDEX(BD!$H$15:$H$1979,MATCH('Tab1'!E74&amp;'Tab1'!$O$11&amp;'Tab1'!$Q$12,BD!$F$15:$F$1979&amp;BD!$M$15:$M$1979&amp;BD!$N$15:$N$1979,0)),"")</f>
        <v>0</v>
      </c>
    </row>
    <row r="75" spans="2:17" x14ac:dyDescent="0.25">
      <c r="B75" s="2"/>
      <c r="C75" s="18">
        <f>'Cad1'!F77</f>
        <v>0</v>
      </c>
      <c r="E75" s="30" t="str">
        <f t="shared" si="1"/>
        <v/>
      </c>
      <c r="F75" s="160" t="str">
        <f t="array" ref="F75">IFERROR(INDEX(BD!$H$15:$H$1979,MATCH('Tab1'!E75&amp;'Tab1'!$F$11:$H$11&amp;'Tab1'!$F$12,BD!$F$15:$F$1979&amp;BD!$M$15:$M$1979&amp;BD!$N$15:$N$1979,0)),"")</f>
        <v/>
      </c>
      <c r="G75" s="160" t="str">
        <f t="array" ref="G75">IFERROR(INDEX(BD!$H$15:$H$1979,MATCH('Tab1'!E75&amp;'Tab1'!$F$11:$H$11&amp;$G$12,BD!$F$15:$F$1979&amp;BD!$M$15:$M$1979&amp;BD!$N$15:$N$1979,0)),"")</f>
        <v/>
      </c>
      <c r="H75" s="160" t="str">
        <f t="array" ref="H75">IFERROR(INDEX(BD!$H$15:$H$1979,MATCH('Tab1'!E75&amp;'Tab1'!$F$11:$H$11&amp;'Tab1'!$H$12,BD!$F$15:$F$1979&amp;BD!$M$15:$M$1979&amp;BD!$N$15:$N$1979,0)),"")</f>
        <v/>
      </c>
      <c r="I75" s="160" t="str">
        <f t="array" ref="I75">IFERROR(INDEX(BD!$H$15:$H$1979,MATCH('Tab1'!E75&amp;'Tab1'!$I$11&amp;'Tab1'!$I$12,BD!$F$15:$F$1979&amp;BD!$M$15:$M$1979&amp;BD!$N$15:$N$1979,0)),"")</f>
        <v/>
      </c>
      <c r="J75" s="160" t="str">
        <f t="array" ref="J75">IFERROR(INDEX(BD!$H$15:$H$1979,MATCH('Tab1'!E75&amp;'Tab1'!$I$11&amp;'Tab1'!$J$12,BD!$F$15:$F$1979&amp;BD!$M$15:$M$1979&amp;BD!$N$15:$N$1979,0)),"")</f>
        <v/>
      </c>
      <c r="K75" s="160" t="str">
        <f t="array" ref="K75">IFERROR(INDEX(BD!$H$15:$H$1979,MATCH('Tab1'!E75&amp;'Tab1'!$I$11&amp;'Tab1'!$K$12,BD!$F$15:$F$1979&amp;BD!$M$15:$M$1979&amp;BD!$N$15:$N$1979,0)),"")</f>
        <v/>
      </c>
      <c r="L75" s="160" t="str">
        <f t="array" ref="L75">IFERROR(INDEX(BD!$H$15:$H$1979,MATCH('Tab1'!E75&amp;'Tab1'!$L$11&amp;'Tab1'!$L$12,BD!$F$15:$F$1979&amp;BD!$M$15:$M$1979&amp;BD!$N$15:$N$1979,0)),"")</f>
        <v/>
      </c>
      <c r="M75" s="160" t="str">
        <f t="array" ref="M75">IFERROR(INDEX(BD!$H$15:$H$1979,MATCH('Tab1'!E75&amp;'Tab1'!$L$11&amp;'Tab1'!$M$12,BD!$F$15:$F$1979&amp;BD!$M$15:$M$1979&amp;BD!$N$15:$N$1979,0)),"")</f>
        <v/>
      </c>
      <c r="N75" s="160" t="str">
        <f t="array" ref="N75">IFERROR(INDEX(BD!$H$15:$H$1979,MATCH('Tab1'!E75&amp;'Tab1'!$L$11&amp;'Tab1'!$N$12,BD!$F$15:$F$1979&amp;BD!$M$15:$M$1979&amp;BD!$N$15:$N$1979,0)),"")</f>
        <v/>
      </c>
      <c r="O75" s="160">
        <f t="array" ref="O75">IFERROR(INDEX(BD!$H$15:$H$1979,MATCH('Tab1'!E75&amp;'Tab1'!$O$11&amp;'Tab1'!$O$12,BD!$F$15:$F$1979&amp;BD!$M$15:$M$1979&amp;BD!$N$15:$N$1979,0)),"")</f>
        <v>0</v>
      </c>
      <c r="P75" s="160">
        <f t="array" ref="P75">IFERROR(INDEX(BD!$H$15:$H$1979,MATCH('Tab1'!E75&amp;'Tab1'!$O$11&amp;'Tab1'!$P$12,BD!$F$15:$F$1979&amp;BD!$M$15:$M$1979&amp;BD!$N$15:$N$1979,0)),"")</f>
        <v>0</v>
      </c>
      <c r="Q75" s="160">
        <f t="array" ref="Q75">IFERROR(INDEX(BD!$H$15:$H$1979,MATCH('Tab1'!E75&amp;'Tab1'!$O$11&amp;'Tab1'!$Q$12,BD!$F$15:$F$1979&amp;BD!$M$15:$M$1979&amp;BD!$N$15:$N$1979,0)),"")</f>
        <v>0</v>
      </c>
    </row>
    <row r="76" spans="2:17" x14ac:dyDescent="0.25">
      <c r="B76" s="2"/>
      <c r="C76" s="18">
        <f>'Cad1'!F78</f>
        <v>0</v>
      </c>
      <c r="E76" s="30" t="str">
        <f t="shared" si="1"/>
        <v/>
      </c>
      <c r="F76" s="160" t="str">
        <f t="array" ref="F76">IFERROR(INDEX(BD!$H$15:$H$1979,MATCH('Tab1'!E76&amp;'Tab1'!$F$11:$H$11&amp;'Tab1'!$F$12,BD!$F$15:$F$1979&amp;BD!$M$15:$M$1979&amp;BD!$N$15:$N$1979,0)),"")</f>
        <v/>
      </c>
      <c r="G76" s="160" t="str">
        <f t="array" ref="G76">IFERROR(INDEX(BD!$H$15:$H$1979,MATCH('Tab1'!E76&amp;'Tab1'!$F$11:$H$11&amp;$G$12,BD!$F$15:$F$1979&amp;BD!$M$15:$M$1979&amp;BD!$N$15:$N$1979,0)),"")</f>
        <v/>
      </c>
      <c r="H76" s="160" t="str">
        <f t="array" ref="H76">IFERROR(INDEX(BD!$H$15:$H$1979,MATCH('Tab1'!E76&amp;'Tab1'!$F$11:$H$11&amp;'Tab1'!$H$12,BD!$F$15:$F$1979&amp;BD!$M$15:$M$1979&amp;BD!$N$15:$N$1979,0)),"")</f>
        <v/>
      </c>
      <c r="I76" s="160" t="str">
        <f t="array" ref="I76">IFERROR(INDEX(BD!$H$15:$H$1979,MATCH('Tab1'!E76&amp;'Tab1'!$I$11&amp;'Tab1'!$I$12,BD!$F$15:$F$1979&amp;BD!$M$15:$M$1979&amp;BD!$N$15:$N$1979,0)),"")</f>
        <v/>
      </c>
      <c r="J76" s="160" t="str">
        <f t="array" ref="J76">IFERROR(INDEX(BD!$H$15:$H$1979,MATCH('Tab1'!E76&amp;'Tab1'!$I$11&amp;'Tab1'!$J$12,BD!$F$15:$F$1979&amp;BD!$M$15:$M$1979&amp;BD!$N$15:$N$1979,0)),"")</f>
        <v/>
      </c>
      <c r="K76" s="160" t="str">
        <f t="array" ref="K76">IFERROR(INDEX(BD!$H$15:$H$1979,MATCH('Tab1'!E76&amp;'Tab1'!$I$11&amp;'Tab1'!$K$12,BD!$F$15:$F$1979&amp;BD!$M$15:$M$1979&amp;BD!$N$15:$N$1979,0)),"")</f>
        <v/>
      </c>
      <c r="L76" s="160" t="str">
        <f t="array" ref="L76">IFERROR(INDEX(BD!$H$15:$H$1979,MATCH('Tab1'!E76&amp;'Tab1'!$L$11&amp;'Tab1'!$L$12,BD!$F$15:$F$1979&amp;BD!$M$15:$M$1979&amp;BD!$N$15:$N$1979,0)),"")</f>
        <v/>
      </c>
      <c r="M76" s="160" t="str">
        <f t="array" ref="M76">IFERROR(INDEX(BD!$H$15:$H$1979,MATCH('Tab1'!E76&amp;'Tab1'!$L$11&amp;'Tab1'!$M$12,BD!$F$15:$F$1979&amp;BD!$M$15:$M$1979&amp;BD!$N$15:$N$1979,0)),"")</f>
        <v/>
      </c>
      <c r="N76" s="160" t="str">
        <f t="array" ref="N76">IFERROR(INDEX(BD!$H$15:$H$1979,MATCH('Tab1'!E76&amp;'Tab1'!$L$11&amp;'Tab1'!$N$12,BD!$F$15:$F$1979&amp;BD!$M$15:$M$1979&amp;BD!$N$15:$N$1979,0)),"")</f>
        <v/>
      </c>
      <c r="O76" s="160">
        <f t="array" ref="O76">IFERROR(INDEX(BD!$H$15:$H$1979,MATCH('Tab1'!E76&amp;'Tab1'!$O$11&amp;'Tab1'!$O$12,BD!$F$15:$F$1979&amp;BD!$M$15:$M$1979&amp;BD!$N$15:$N$1979,0)),"")</f>
        <v>0</v>
      </c>
      <c r="P76" s="160">
        <f t="array" ref="P76">IFERROR(INDEX(BD!$H$15:$H$1979,MATCH('Tab1'!E76&amp;'Tab1'!$O$11&amp;'Tab1'!$P$12,BD!$F$15:$F$1979&amp;BD!$M$15:$M$1979&amp;BD!$N$15:$N$1979,0)),"")</f>
        <v>0</v>
      </c>
      <c r="Q76" s="160">
        <f t="array" ref="Q76">IFERROR(INDEX(BD!$H$15:$H$1979,MATCH('Tab1'!E76&amp;'Tab1'!$O$11&amp;'Tab1'!$Q$12,BD!$F$15:$F$1979&amp;BD!$M$15:$M$1979&amp;BD!$N$15:$N$1979,0)),"")</f>
        <v>0</v>
      </c>
    </row>
    <row r="77" spans="2:17" x14ac:dyDescent="0.25">
      <c r="B77" s="2"/>
      <c r="C77" s="18">
        <f>'Cad1'!F79</f>
        <v>0</v>
      </c>
      <c r="E77" s="30" t="str">
        <f t="shared" si="1"/>
        <v/>
      </c>
      <c r="F77" s="160" t="str">
        <f t="array" ref="F77">IFERROR(INDEX(BD!$H$15:$H$1979,MATCH('Tab1'!E77&amp;'Tab1'!$F$11:$H$11&amp;'Tab1'!$F$12,BD!$F$15:$F$1979&amp;BD!$M$15:$M$1979&amp;BD!$N$15:$N$1979,0)),"")</f>
        <v/>
      </c>
      <c r="G77" s="160" t="str">
        <f t="array" ref="G77">IFERROR(INDEX(BD!$H$15:$H$1979,MATCH('Tab1'!E77&amp;'Tab1'!$F$11:$H$11&amp;$G$12,BD!$F$15:$F$1979&amp;BD!$M$15:$M$1979&amp;BD!$N$15:$N$1979,0)),"")</f>
        <v/>
      </c>
      <c r="H77" s="160" t="str">
        <f t="array" ref="H77">IFERROR(INDEX(BD!$H$15:$H$1979,MATCH('Tab1'!E77&amp;'Tab1'!$F$11:$H$11&amp;'Tab1'!$H$12,BD!$F$15:$F$1979&amp;BD!$M$15:$M$1979&amp;BD!$N$15:$N$1979,0)),"")</f>
        <v/>
      </c>
      <c r="I77" s="160" t="str">
        <f t="array" ref="I77">IFERROR(INDEX(BD!$H$15:$H$1979,MATCH('Tab1'!E77&amp;'Tab1'!$I$11&amp;'Tab1'!$I$12,BD!$F$15:$F$1979&amp;BD!$M$15:$M$1979&amp;BD!$N$15:$N$1979,0)),"")</f>
        <v/>
      </c>
      <c r="J77" s="160" t="str">
        <f t="array" ref="J77">IFERROR(INDEX(BD!$H$15:$H$1979,MATCH('Tab1'!E77&amp;'Tab1'!$I$11&amp;'Tab1'!$J$12,BD!$F$15:$F$1979&amp;BD!$M$15:$M$1979&amp;BD!$N$15:$N$1979,0)),"")</f>
        <v/>
      </c>
      <c r="K77" s="160" t="str">
        <f t="array" ref="K77">IFERROR(INDEX(BD!$H$15:$H$1979,MATCH('Tab1'!E77&amp;'Tab1'!$I$11&amp;'Tab1'!$K$12,BD!$F$15:$F$1979&amp;BD!$M$15:$M$1979&amp;BD!$N$15:$N$1979,0)),"")</f>
        <v/>
      </c>
      <c r="L77" s="160" t="str">
        <f t="array" ref="L77">IFERROR(INDEX(BD!$H$15:$H$1979,MATCH('Tab1'!E77&amp;'Tab1'!$L$11&amp;'Tab1'!$L$12,BD!$F$15:$F$1979&amp;BD!$M$15:$M$1979&amp;BD!$N$15:$N$1979,0)),"")</f>
        <v/>
      </c>
      <c r="M77" s="160" t="str">
        <f t="array" ref="M77">IFERROR(INDEX(BD!$H$15:$H$1979,MATCH('Tab1'!E77&amp;'Tab1'!$L$11&amp;'Tab1'!$M$12,BD!$F$15:$F$1979&amp;BD!$M$15:$M$1979&amp;BD!$N$15:$N$1979,0)),"")</f>
        <v/>
      </c>
      <c r="N77" s="160" t="str">
        <f t="array" ref="N77">IFERROR(INDEX(BD!$H$15:$H$1979,MATCH('Tab1'!E77&amp;'Tab1'!$L$11&amp;'Tab1'!$N$12,BD!$F$15:$F$1979&amp;BD!$M$15:$M$1979&amp;BD!$N$15:$N$1979,0)),"")</f>
        <v/>
      </c>
      <c r="O77" s="160">
        <f t="array" ref="O77">IFERROR(INDEX(BD!$H$15:$H$1979,MATCH('Tab1'!E77&amp;'Tab1'!$O$11&amp;'Tab1'!$O$12,BD!$F$15:$F$1979&amp;BD!$M$15:$M$1979&amp;BD!$N$15:$N$1979,0)),"")</f>
        <v>0</v>
      </c>
      <c r="P77" s="160">
        <f t="array" ref="P77">IFERROR(INDEX(BD!$H$15:$H$1979,MATCH('Tab1'!E77&amp;'Tab1'!$O$11&amp;'Tab1'!$P$12,BD!$F$15:$F$1979&amp;BD!$M$15:$M$1979&amp;BD!$N$15:$N$1979,0)),"")</f>
        <v>0</v>
      </c>
      <c r="Q77" s="160">
        <f t="array" ref="Q77">IFERROR(INDEX(BD!$H$15:$H$1979,MATCH('Tab1'!E77&amp;'Tab1'!$O$11&amp;'Tab1'!$Q$12,BD!$F$15:$F$1979&amp;BD!$M$15:$M$1979&amp;BD!$N$15:$N$1979,0)),"")</f>
        <v>0</v>
      </c>
    </row>
    <row r="78" spans="2:17" x14ac:dyDescent="0.25">
      <c r="B78" s="2"/>
      <c r="C78" s="18">
        <f>'Cad1'!F80</f>
        <v>0</v>
      </c>
      <c r="E78" s="30" t="str">
        <f t="shared" si="1"/>
        <v/>
      </c>
      <c r="F78" s="160" t="str">
        <f t="array" ref="F78">IFERROR(INDEX(BD!$H$15:$H$1979,MATCH('Tab1'!E78&amp;'Tab1'!$F$11:$H$11&amp;'Tab1'!$F$12,BD!$F$15:$F$1979&amp;BD!$M$15:$M$1979&amp;BD!$N$15:$N$1979,0)),"")</f>
        <v/>
      </c>
      <c r="G78" s="160" t="str">
        <f t="array" ref="G78">IFERROR(INDEX(BD!$H$15:$H$1979,MATCH('Tab1'!E78&amp;'Tab1'!$F$11:$H$11&amp;$G$12,BD!$F$15:$F$1979&amp;BD!$M$15:$M$1979&amp;BD!$N$15:$N$1979,0)),"")</f>
        <v/>
      </c>
      <c r="H78" s="160" t="str">
        <f t="array" ref="H78">IFERROR(INDEX(BD!$H$15:$H$1979,MATCH('Tab1'!E78&amp;'Tab1'!$F$11:$H$11&amp;'Tab1'!$H$12,BD!$F$15:$F$1979&amp;BD!$M$15:$M$1979&amp;BD!$N$15:$N$1979,0)),"")</f>
        <v/>
      </c>
      <c r="I78" s="160" t="str">
        <f t="array" ref="I78">IFERROR(INDEX(BD!$H$15:$H$1979,MATCH('Tab1'!E78&amp;'Tab1'!$I$11&amp;'Tab1'!$I$12,BD!$F$15:$F$1979&amp;BD!$M$15:$M$1979&amp;BD!$N$15:$N$1979,0)),"")</f>
        <v/>
      </c>
      <c r="J78" s="160" t="str">
        <f t="array" ref="J78">IFERROR(INDEX(BD!$H$15:$H$1979,MATCH('Tab1'!E78&amp;'Tab1'!$I$11&amp;'Tab1'!$J$12,BD!$F$15:$F$1979&amp;BD!$M$15:$M$1979&amp;BD!$N$15:$N$1979,0)),"")</f>
        <v/>
      </c>
      <c r="K78" s="160" t="str">
        <f t="array" ref="K78">IFERROR(INDEX(BD!$H$15:$H$1979,MATCH('Tab1'!E78&amp;'Tab1'!$I$11&amp;'Tab1'!$K$12,BD!$F$15:$F$1979&amp;BD!$M$15:$M$1979&amp;BD!$N$15:$N$1979,0)),"")</f>
        <v/>
      </c>
      <c r="L78" s="160" t="str">
        <f t="array" ref="L78">IFERROR(INDEX(BD!$H$15:$H$1979,MATCH('Tab1'!E78&amp;'Tab1'!$L$11&amp;'Tab1'!$L$12,BD!$F$15:$F$1979&amp;BD!$M$15:$M$1979&amp;BD!$N$15:$N$1979,0)),"")</f>
        <v/>
      </c>
      <c r="M78" s="160" t="str">
        <f t="array" ref="M78">IFERROR(INDEX(BD!$H$15:$H$1979,MATCH('Tab1'!E78&amp;'Tab1'!$L$11&amp;'Tab1'!$M$12,BD!$F$15:$F$1979&amp;BD!$M$15:$M$1979&amp;BD!$N$15:$N$1979,0)),"")</f>
        <v/>
      </c>
      <c r="N78" s="160" t="str">
        <f t="array" ref="N78">IFERROR(INDEX(BD!$H$15:$H$1979,MATCH('Tab1'!E78&amp;'Tab1'!$L$11&amp;'Tab1'!$N$12,BD!$F$15:$F$1979&amp;BD!$M$15:$M$1979&amp;BD!$N$15:$N$1979,0)),"")</f>
        <v/>
      </c>
      <c r="O78" s="160">
        <f t="array" ref="O78">IFERROR(INDEX(BD!$H$15:$H$1979,MATCH('Tab1'!E78&amp;'Tab1'!$O$11&amp;'Tab1'!$O$12,BD!$F$15:$F$1979&amp;BD!$M$15:$M$1979&amp;BD!$N$15:$N$1979,0)),"")</f>
        <v>0</v>
      </c>
      <c r="P78" s="160">
        <f t="array" ref="P78">IFERROR(INDEX(BD!$H$15:$H$1979,MATCH('Tab1'!E78&amp;'Tab1'!$O$11&amp;'Tab1'!$P$12,BD!$F$15:$F$1979&amp;BD!$M$15:$M$1979&amp;BD!$N$15:$N$1979,0)),"")</f>
        <v>0</v>
      </c>
      <c r="Q78" s="160">
        <f t="array" ref="Q78">IFERROR(INDEX(BD!$H$15:$H$1979,MATCH('Tab1'!E78&amp;'Tab1'!$O$11&amp;'Tab1'!$Q$12,BD!$F$15:$F$1979&amp;BD!$M$15:$M$1979&amp;BD!$N$15:$N$1979,0)),"")</f>
        <v>0</v>
      </c>
    </row>
    <row r="79" spans="2:17" x14ac:dyDescent="0.25">
      <c r="B79" s="2"/>
      <c r="C79" s="18">
        <f>'Cad1'!F81</f>
        <v>0</v>
      </c>
      <c r="E79" s="30" t="str">
        <f t="shared" si="1"/>
        <v/>
      </c>
      <c r="F79" s="160" t="str">
        <f t="array" ref="F79">IFERROR(INDEX(BD!$H$15:$H$1979,MATCH('Tab1'!E79&amp;'Tab1'!$F$11:$H$11&amp;'Tab1'!$F$12,BD!$F$15:$F$1979&amp;BD!$M$15:$M$1979&amp;BD!$N$15:$N$1979,0)),"")</f>
        <v/>
      </c>
      <c r="G79" s="160" t="str">
        <f t="array" ref="G79">IFERROR(INDEX(BD!$H$15:$H$1979,MATCH('Tab1'!E79&amp;'Tab1'!$F$11:$H$11&amp;$G$12,BD!$F$15:$F$1979&amp;BD!$M$15:$M$1979&amp;BD!$N$15:$N$1979,0)),"")</f>
        <v/>
      </c>
      <c r="H79" s="160" t="str">
        <f t="array" ref="H79">IFERROR(INDEX(BD!$H$15:$H$1979,MATCH('Tab1'!E79&amp;'Tab1'!$F$11:$H$11&amp;'Tab1'!$H$12,BD!$F$15:$F$1979&amp;BD!$M$15:$M$1979&amp;BD!$N$15:$N$1979,0)),"")</f>
        <v/>
      </c>
      <c r="I79" s="160" t="str">
        <f t="array" ref="I79">IFERROR(INDEX(BD!$H$15:$H$1979,MATCH('Tab1'!E79&amp;'Tab1'!$I$11&amp;'Tab1'!$I$12,BD!$F$15:$F$1979&amp;BD!$M$15:$M$1979&amp;BD!$N$15:$N$1979,0)),"")</f>
        <v/>
      </c>
      <c r="J79" s="160" t="str">
        <f t="array" ref="J79">IFERROR(INDEX(BD!$H$15:$H$1979,MATCH('Tab1'!E79&amp;'Tab1'!$I$11&amp;'Tab1'!$J$12,BD!$F$15:$F$1979&amp;BD!$M$15:$M$1979&amp;BD!$N$15:$N$1979,0)),"")</f>
        <v/>
      </c>
      <c r="K79" s="160" t="str">
        <f t="array" ref="K79">IFERROR(INDEX(BD!$H$15:$H$1979,MATCH('Tab1'!E79&amp;'Tab1'!$I$11&amp;'Tab1'!$K$12,BD!$F$15:$F$1979&amp;BD!$M$15:$M$1979&amp;BD!$N$15:$N$1979,0)),"")</f>
        <v/>
      </c>
      <c r="L79" s="160" t="str">
        <f t="array" ref="L79">IFERROR(INDEX(BD!$H$15:$H$1979,MATCH('Tab1'!E79&amp;'Tab1'!$L$11&amp;'Tab1'!$L$12,BD!$F$15:$F$1979&amp;BD!$M$15:$M$1979&amp;BD!$N$15:$N$1979,0)),"")</f>
        <v/>
      </c>
      <c r="M79" s="160" t="str">
        <f t="array" ref="M79">IFERROR(INDEX(BD!$H$15:$H$1979,MATCH('Tab1'!E79&amp;'Tab1'!$L$11&amp;'Tab1'!$M$12,BD!$F$15:$F$1979&amp;BD!$M$15:$M$1979&amp;BD!$N$15:$N$1979,0)),"")</f>
        <v/>
      </c>
      <c r="N79" s="160" t="str">
        <f t="array" ref="N79">IFERROR(INDEX(BD!$H$15:$H$1979,MATCH('Tab1'!E79&amp;'Tab1'!$L$11&amp;'Tab1'!$N$12,BD!$F$15:$F$1979&amp;BD!$M$15:$M$1979&amp;BD!$N$15:$N$1979,0)),"")</f>
        <v/>
      </c>
      <c r="O79" s="160">
        <f t="array" ref="O79">IFERROR(INDEX(BD!$H$15:$H$1979,MATCH('Tab1'!E79&amp;'Tab1'!$O$11&amp;'Tab1'!$O$12,BD!$F$15:$F$1979&amp;BD!$M$15:$M$1979&amp;BD!$N$15:$N$1979,0)),"")</f>
        <v>0</v>
      </c>
      <c r="P79" s="160">
        <f t="array" ref="P79">IFERROR(INDEX(BD!$H$15:$H$1979,MATCH('Tab1'!E79&amp;'Tab1'!$O$11&amp;'Tab1'!$P$12,BD!$F$15:$F$1979&amp;BD!$M$15:$M$1979&amp;BD!$N$15:$N$1979,0)),"")</f>
        <v>0</v>
      </c>
      <c r="Q79" s="160">
        <f t="array" ref="Q79">IFERROR(INDEX(BD!$H$15:$H$1979,MATCH('Tab1'!E79&amp;'Tab1'!$O$11&amp;'Tab1'!$Q$12,BD!$F$15:$F$1979&amp;BD!$M$15:$M$1979&amp;BD!$N$15:$N$1979,0)),"")</f>
        <v>0</v>
      </c>
    </row>
    <row r="80" spans="2:17" x14ac:dyDescent="0.25">
      <c r="B80" s="2"/>
      <c r="F80" s="160"/>
      <c r="I80" s="160"/>
      <c r="L80" s="160"/>
      <c r="O80" s="160"/>
    </row>
    <row r="81" spans="2:15" x14ac:dyDescent="0.25">
      <c r="B81" s="2"/>
      <c r="F81" s="160"/>
      <c r="I81" s="160"/>
      <c r="L81" s="160"/>
      <c r="O81" s="160"/>
    </row>
    <row r="82" spans="2:15" x14ac:dyDescent="0.25">
      <c r="B82" s="2"/>
      <c r="F82" s="160"/>
      <c r="I82" s="160"/>
      <c r="L82" s="160"/>
      <c r="O82" s="160"/>
    </row>
    <row r="83" spans="2:15" x14ac:dyDescent="0.25">
      <c r="B83" s="2"/>
      <c r="F83" s="160"/>
      <c r="I83" s="160"/>
      <c r="L83" s="160"/>
      <c r="O83" s="160"/>
    </row>
    <row r="84" spans="2:15" x14ac:dyDescent="0.25">
      <c r="B84" s="2"/>
      <c r="F84" s="160"/>
      <c r="I84" s="160"/>
      <c r="L84" s="160"/>
      <c r="O84" s="160"/>
    </row>
    <row r="85" spans="2:15" x14ac:dyDescent="0.25">
      <c r="B85" s="2"/>
      <c r="F85" s="160"/>
      <c r="I85" s="160"/>
      <c r="L85" s="160"/>
      <c r="O85" s="160"/>
    </row>
    <row r="86" spans="2:15" x14ac:dyDescent="0.25">
      <c r="B86" s="2"/>
      <c r="F86" s="160"/>
      <c r="I86" s="160"/>
      <c r="L86" s="160"/>
      <c r="O86" s="160"/>
    </row>
    <row r="87" spans="2:15" x14ac:dyDescent="0.25">
      <c r="B87" s="2"/>
      <c r="F87" s="160"/>
      <c r="I87" s="160"/>
      <c r="L87" s="160"/>
      <c r="O87" s="160"/>
    </row>
    <row r="88" spans="2:15" x14ac:dyDescent="0.25">
      <c r="B88" s="2"/>
      <c r="F88" s="160"/>
      <c r="I88" s="160"/>
      <c r="L88" s="160"/>
      <c r="O88" s="160"/>
    </row>
    <row r="89" spans="2:15" ht="24" x14ac:dyDescent="0.25">
      <c r="B89" s="10"/>
      <c r="F89" s="160"/>
      <c r="I89" s="160"/>
      <c r="L89" s="160"/>
      <c r="O89" s="160"/>
    </row>
    <row r="90" spans="2:15" ht="24" x14ac:dyDescent="0.25">
      <c r="B90" s="10"/>
      <c r="F90" s="160"/>
      <c r="I90" s="160"/>
      <c r="L90" s="160"/>
      <c r="O90" s="160"/>
    </row>
    <row r="91" spans="2:15" ht="24" x14ac:dyDescent="0.25">
      <c r="B91" s="10"/>
      <c r="I91" s="160"/>
      <c r="L91" s="160"/>
      <c r="O91" s="160"/>
    </row>
    <row r="92" spans="2:15" x14ac:dyDescent="0.25">
      <c r="B92" s="2"/>
      <c r="I92" s="160"/>
      <c r="L92" s="160"/>
      <c r="O92" s="160"/>
    </row>
    <row r="93" spans="2:15" x14ac:dyDescent="0.25">
      <c r="L93" s="160"/>
      <c r="O93" s="160"/>
    </row>
    <row r="94" spans="2:15" x14ac:dyDescent="0.25">
      <c r="L94" s="160"/>
      <c r="O94" s="160"/>
    </row>
    <row r="95" spans="2:15" x14ac:dyDescent="0.25">
      <c r="L95" s="160"/>
      <c r="O95" s="160"/>
    </row>
    <row r="96" spans="2:15" x14ac:dyDescent="0.25">
      <c r="L96" s="160"/>
      <c r="O96" s="160"/>
    </row>
    <row r="97" spans="12:15" x14ac:dyDescent="0.25">
      <c r="L97" s="160"/>
      <c r="O97" s="160"/>
    </row>
    <row r="98" spans="12:15" x14ac:dyDescent="0.25">
      <c r="L98" s="160"/>
      <c r="O98" s="160"/>
    </row>
    <row r="99" spans="12:15" x14ac:dyDescent="0.25">
      <c r="L99" s="160"/>
      <c r="O99" s="160"/>
    </row>
    <row r="100" spans="12:15" x14ac:dyDescent="0.25">
      <c r="L100" s="160"/>
      <c r="O100" s="160"/>
    </row>
    <row r="101" spans="12:15" x14ac:dyDescent="0.25">
      <c r="L101" s="160"/>
      <c r="O101" s="160"/>
    </row>
    <row r="102" spans="12:15" x14ac:dyDescent="0.25">
      <c r="L102" s="160"/>
      <c r="O102" s="160"/>
    </row>
    <row r="103" spans="12:15" x14ac:dyDescent="0.25">
      <c r="L103" s="160"/>
      <c r="O103" s="160"/>
    </row>
    <row r="104" spans="12:15" x14ac:dyDescent="0.25">
      <c r="L104" s="160"/>
      <c r="O104" s="160"/>
    </row>
    <row r="105" spans="12:15" x14ac:dyDescent="0.25">
      <c r="L105" s="160"/>
      <c r="O105" s="160"/>
    </row>
    <row r="106" spans="12:15" x14ac:dyDescent="0.25">
      <c r="L106" s="160"/>
      <c r="O106" s="160"/>
    </row>
    <row r="107" spans="12:15" x14ac:dyDescent="0.25">
      <c r="L107" s="160"/>
      <c r="O107" s="160"/>
    </row>
    <row r="108" spans="12:15" x14ac:dyDescent="0.25">
      <c r="L108" s="160"/>
      <c r="O108" s="160"/>
    </row>
    <row r="109" spans="12:15" x14ac:dyDescent="0.25">
      <c r="L109" s="160"/>
      <c r="O109" s="160"/>
    </row>
    <row r="110" spans="12:15" x14ac:dyDescent="0.25">
      <c r="L110" s="160"/>
      <c r="O110" s="160"/>
    </row>
    <row r="111" spans="12:15" x14ac:dyDescent="0.25">
      <c r="L111" s="160"/>
      <c r="O111" s="160"/>
    </row>
    <row r="112" spans="12:15" x14ac:dyDescent="0.25">
      <c r="L112" s="160"/>
      <c r="O112" s="160"/>
    </row>
    <row r="113" spans="12:15" x14ac:dyDescent="0.25">
      <c r="L113" s="160"/>
      <c r="O113" s="160"/>
    </row>
    <row r="114" spans="12:15" x14ac:dyDescent="0.25">
      <c r="L114" s="160"/>
      <c r="O114" s="160"/>
    </row>
    <row r="115" spans="12:15" x14ac:dyDescent="0.25">
      <c r="L115" s="160"/>
      <c r="O115" s="160"/>
    </row>
    <row r="116" spans="12:15" x14ac:dyDescent="0.25">
      <c r="L116" s="160"/>
      <c r="O116" s="160"/>
    </row>
    <row r="117" spans="12:15" x14ac:dyDescent="0.25">
      <c r="L117" s="160"/>
      <c r="O117" s="160"/>
    </row>
    <row r="118" spans="12:15" x14ac:dyDescent="0.25">
      <c r="L118" s="160"/>
      <c r="O118" s="160"/>
    </row>
    <row r="119" spans="12:15" x14ac:dyDescent="0.25">
      <c r="L119" s="160"/>
      <c r="O119" s="160"/>
    </row>
    <row r="120" spans="12:15" x14ac:dyDescent="0.25">
      <c r="L120" s="160"/>
      <c r="O120" s="160"/>
    </row>
    <row r="121" spans="12:15" x14ac:dyDescent="0.25">
      <c r="L121" s="160"/>
      <c r="O121" s="160"/>
    </row>
    <row r="122" spans="12:15" x14ac:dyDescent="0.25">
      <c r="L122" s="160"/>
      <c r="O122" s="160"/>
    </row>
    <row r="123" spans="12:15" x14ac:dyDescent="0.25">
      <c r="L123" s="160"/>
      <c r="O123" s="160"/>
    </row>
    <row r="124" spans="12:15" x14ac:dyDescent="0.25">
      <c r="L124" s="160"/>
      <c r="O124" s="160"/>
    </row>
    <row r="125" spans="12:15" x14ac:dyDescent="0.25">
      <c r="L125" s="160"/>
      <c r="O125" s="160"/>
    </row>
    <row r="126" spans="12:15" x14ac:dyDescent="0.25">
      <c r="L126" s="160"/>
      <c r="O126" s="160"/>
    </row>
    <row r="127" spans="12:15" x14ac:dyDescent="0.25">
      <c r="L127" s="160"/>
      <c r="O127" s="160"/>
    </row>
    <row r="128" spans="12:15" x14ac:dyDescent="0.25">
      <c r="L128" s="160"/>
      <c r="O128" s="160"/>
    </row>
    <row r="129" spans="12:15" x14ac:dyDescent="0.25">
      <c r="L129" s="160"/>
      <c r="O129" s="160"/>
    </row>
    <row r="130" spans="12:15" x14ac:dyDescent="0.25">
      <c r="L130" s="160"/>
      <c r="O130" s="160"/>
    </row>
    <row r="131" spans="12:15" x14ac:dyDescent="0.25">
      <c r="L131" s="160"/>
      <c r="O131" s="160"/>
    </row>
    <row r="132" spans="12:15" x14ac:dyDescent="0.25">
      <c r="L132" s="160"/>
      <c r="O132" s="160"/>
    </row>
    <row r="133" spans="12:15" x14ac:dyDescent="0.25">
      <c r="L133" s="160"/>
      <c r="O133" s="160"/>
    </row>
    <row r="134" spans="12:15" x14ac:dyDescent="0.25">
      <c r="L134" s="160"/>
      <c r="O134" s="160"/>
    </row>
    <row r="135" spans="12:15" x14ac:dyDescent="0.25">
      <c r="L135" s="160"/>
      <c r="O135" s="160"/>
    </row>
    <row r="136" spans="12:15" x14ac:dyDescent="0.25">
      <c r="L136" s="160"/>
      <c r="O136" s="160"/>
    </row>
    <row r="137" spans="12:15" x14ac:dyDescent="0.25">
      <c r="L137" s="160"/>
      <c r="O137" s="160"/>
    </row>
    <row r="138" spans="12:15" x14ac:dyDescent="0.25">
      <c r="L138" s="160"/>
      <c r="O138" s="160"/>
    </row>
    <row r="139" spans="12:15" x14ac:dyDescent="0.25">
      <c r="L139" s="160"/>
      <c r="O139" s="160"/>
    </row>
    <row r="140" spans="12:15" x14ac:dyDescent="0.25">
      <c r="L140" s="160"/>
      <c r="O140" s="160"/>
    </row>
    <row r="141" spans="12:15" x14ac:dyDescent="0.25">
      <c r="L141" s="160"/>
      <c r="O141" s="160"/>
    </row>
    <row r="142" spans="12:15" x14ac:dyDescent="0.25">
      <c r="L142" s="160"/>
      <c r="O142" s="160"/>
    </row>
    <row r="143" spans="12:15" x14ac:dyDescent="0.25">
      <c r="L143" s="160"/>
      <c r="O143" s="160"/>
    </row>
    <row r="144" spans="12:15" x14ac:dyDescent="0.25">
      <c r="L144" s="160"/>
      <c r="O144" s="160"/>
    </row>
    <row r="145" spans="12:15" x14ac:dyDescent="0.25">
      <c r="L145" s="160"/>
      <c r="O145" s="160"/>
    </row>
    <row r="146" spans="12:15" x14ac:dyDescent="0.25">
      <c r="L146" s="160"/>
      <c r="O146" s="160"/>
    </row>
    <row r="147" spans="12:15" x14ac:dyDescent="0.25">
      <c r="L147" s="160"/>
      <c r="O147" s="160"/>
    </row>
    <row r="148" spans="12:15" x14ac:dyDescent="0.25">
      <c r="L148" s="160"/>
      <c r="O148" s="160"/>
    </row>
    <row r="149" spans="12:15" x14ac:dyDescent="0.25">
      <c r="L149" s="160"/>
      <c r="O149" s="160"/>
    </row>
    <row r="150" spans="12:15" x14ac:dyDescent="0.25">
      <c r="L150" s="160"/>
      <c r="O150" s="160"/>
    </row>
    <row r="151" spans="12:15" x14ac:dyDescent="0.25">
      <c r="L151" s="160"/>
      <c r="O151" s="160"/>
    </row>
    <row r="152" spans="12:15" x14ac:dyDescent="0.25">
      <c r="L152" s="160"/>
      <c r="O152" s="160"/>
    </row>
    <row r="153" spans="12:15" x14ac:dyDescent="0.25">
      <c r="L153" s="160"/>
      <c r="O153" s="160"/>
    </row>
    <row r="154" spans="12:15" x14ac:dyDescent="0.25">
      <c r="L154" s="160"/>
      <c r="O154" s="160"/>
    </row>
    <row r="155" spans="12:15" x14ac:dyDescent="0.25">
      <c r="L155" s="160"/>
      <c r="O155" s="160"/>
    </row>
    <row r="156" spans="12:15" x14ac:dyDescent="0.25">
      <c r="L156" s="160"/>
      <c r="O156" s="160"/>
    </row>
    <row r="157" spans="12:15" x14ac:dyDescent="0.25">
      <c r="L157" s="160"/>
      <c r="O157" s="160"/>
    </row>
    <row r="158" spans="12:15" x14ac:dyDescent="0.25">
      <c r="L158" s="160"/>
      <c r="O158" s="160"/>
    </row>
    <row r="159" spans="12:15" x14ac:dyDescent="0.25">
      <c r="L159" s="160"/>
      <c r="O159" s="160"/>
    </row>
    <row r="160" spans="12:15" x14ac:dyDescent="0.25">
      <c r="L160" s="160"/>
      <c r="O160" s="160"/>
    </row>
    <row r="161" spans="12:15" x14ac:dyDescent="0.25">
      <c r="L161" s="160"/>
      <c r="O161" s="160"/>
    </row>
    <row r="162" spans="12:15" x14ac:dyDescent="0.25">
      <c r="L162" s="160"/>
      <c r="O162" s="160"/>
    </row>
    <row r="163" spans="12:15" x14ac:dyDescent="0.25">
      <c r="L163" s="160" t="str">
        <f t="array" ref="L163">IFERROR(INDEX(BD!$H$15:$H$1979,MATCH('Tab1'!E163&amp;'Tab1'!$L$11&amp;'Tab1'!$L$12,BD!$F$15:$F$1979&amp;BD!$M$15:$M$1979&amp;BD!$N$15:$N$1979,0)),"")</f>
        <v/>
      </c>
      <c r="O163" s="160">
        <f t="array" ref="O163">IFERROR(INDEX(BD!$H$15:$H$1979,MATCH('Tab1'!E163&amp;'Tab1'!$O$11&amp;'Tab1'!$O$12,BD!$F$15:$F$1979&amp;BD!$M$15:$M$1979&amp;BD!$N$15:$N$1979,0)),"")</f>
        <v>0</v>
      </c>
    </row>
    <row r="164" spans="12:15" x14ac:dyDescent="0.25">
      <c r="L164" s="160" t="str">
        <f t="array" ref="L164">IFERROR(INDEX(BD!$H$15:$H$1979,MATCH('Tab1'!E164&amp;'Tab1'!$L$11&amp;'Tab1'!$L$12,BD!$F$15:$F$1979&amp;BD!$M$15:$M$1979&amp;BD!$N$15:$N$1979,0)),"")</f>
        <v/>
      </c>
      <c r="O164" s="160">
        <f t="array" ref="O164">IFERROR(INDEX(BD!$H$15:$H$1979,MATCH('Tab1'!E164&amp;'Tab1'!$O$11&amp;'Tab1'!$O$12,BD!$F$15:$F$1979&amp;BD!$M$15:$M$1979&amp;BD!$N$15:$N$1979,0)),"")</f>
        <v>0</v>
      </c>
    </row>
    <row r="165" spans="12:15" x14ac:dyDescent="0.25">
      <c r="L165" s="160" t="str">
        <f t="array" ref="L165">IFERROR(INDEX(BD!$H$15:$H$1979,MATCH('Tab1'!E165&amp;'Tab1'!$L$11&amp;'Tab1'!$L$12,BD!$F$15:$F$1979&amp;BD!$M$15:$M$1979&amp;BD!$N$15:$N$1979,0)),"")</f>
        <v/>
      </c>
      <c r="O165" s="160">
        <f t="array" ref="O165">IFERROR(INDEX(BD!$H$15:$H$1979,MATCH('Tab1'!E165&amp;'Tab1'!$O$11&amp;'Tab1'!$O$12,BD!$F$15:$F$1979&amp;BD!$M$15:$M$1979&amp;BD!$N$15:$N$1979,0)),"")</f>
        <v>0</v>
      </c>
    </row>
    <row r="166" spans="12:15" x14ac:dyDescent="0.25">
      <c r="L166" s="160" t="str">
        <f t="array" ref="L166">IFERROR(INDEX(BD!$H$15:$H$1979,MATCH('Tab1'!E166&amp;'Tab1'!$L$11&amp;'Tab1'!$L$12,BD!$F$15:$F$1979&amp;BD!$M$15:$M$1979&amp;BD!$N$15:$N$1979,0)),"")</f>
        <v/>
      </c>
      <c r="O166" s="160">
        <f t="array" ref="O166">IFERROR(INDEX(BD!$H$15:$H$1979,MATCH('Tab1'!E166&amp;'Tab1'!$O$11&amp;'Tab1'!$O$12,BD!$F$15:$F$1979&amp;BD!$M$15:$M$1979&amp;BD!$N$15:$N$1979,0)),"")</f>
        <v>0</v>
      </c>
    </row>
    <row r="167" spans="12:15" x14ac:dyDescent="0.25">
      <c r="L167" s="160" t="str">
        <f t="array" ref="L167">IFERROR(INDEX(BD!$H$15:$H$1979,MATCH('Tab1'!E167&amp;'Tab1'!$L$11&amp;'Tab1'!$L$12,BD!$F$15:$F$1979&amp;BD!$M$15:$M$1979&amp;BD!$N$15:$N$1979,0)),"")</f>
        <v/>
      </c>
      <c r="O167" s="160">
        <f t="array" ref="O167">IFERROR(INDEX(BD!$H$15:$H$1979,MATCH('Tab1'!E167&amp;'Tab1'!$O$11&amp;'Tab1'!$O$12,BD!$F$15:$F$1979&amp;BD!$M$15:$M$1979&amp;BD!$N$15:$N$1979,0)),"")</f>
        <v>0</v>
      </c>
    </row>
    <row r="168" spans="12:15" x14ac:dyDescent="0.25">
      <c r="L168" s="160" t="str">
        <f t="array" ref="L168">IFERROR(INDEX(BD!$H$15:$H$1979,MATCH('Tab1'!E168&amp;'Tab1'!$L$11&amp;'Tab1'!$L$12,BD!$F$15:$F$1979&amp;BD!$M$15:$M$1979&amp;BD!$N$15:$N$1979,0)),"")</f>
        <v/>
      </c>
      <c r="O168" s="160">
        <f t="array" ref="O168">IFERROR(INDEX(BD!$H$15:$H$1979,MATCH('Tab1'!E168&amp;'Tab1'!$O$11&amp;'Tab1'!$O$12,BD!$F$15:$F$1979&amp;BD!$M$15:$M$1979&amp;BD!$N$15:$N$1979,0)),"")</f>
        <v>0</v>
      </c>
    </row>
    <row r="169" spans="12:15" x14ac:dyDescent="0.25">
      <c r="L169" s="160" t="str">
        <f t="array" ref="L169">IFERROR(INDEX(BD!$H$15:$H$1979,MATCH('Tab1'!E169&amp;'Tab1'!$L$11&amp;'Tab1'!$L$12,BD!$F$15:$F$1979&amp;BD!$M$15:$M$1979&amp;BD!$N$15:$N$1979,0)),"")</f>
        <v/>
      </c>
      <c r="O169" s="160">
        <f t="array" ref="O169">IFERROR(INDEX(BD!$H$15:$H$1979,MATCH('Tab1'!E169&amp;'Tab1'!$O$11&amp;'Tab1'!$O$12,BD!$F$15:$F$1979&amp;BD!$M$15:$M$1979&amp;BD!$N$15:$N$1979,0)),"")</f>
        <v>0</v>
      </c>
    </row>
    <row r="170" spans="12:15" x14ac:dyDescent="0.25">
      <c r="L170" s="160" t="str">
        <f t="array" ref="L170">IFERROR(INDEX(BD!$H$15:$H$1979,MATCH('Tab1'!E170&amp;'Tab1'!$L$11&amp;'Tab1'!$L$12,BD!$F$15:$F$1979&amp;BD!$M$15:$M$1979&amp;BD!$N$15:$N$1979,0)),"")</f>
        <v/>
      </c>
      <c r="O170" s="160">
        <f t="array" ref="O170">IFERROR(INDEX(BD!$H$15:$H$1979,MATCH('Tab1'!E170&amp;'Tab1'!$O$11&amp;'Tab1'!$O$12,BD!$F$15:$F$1979&amp;BD!$M$15:$M$1979&amp;BD!$N$15:$N$1979,0)),"")</f>
        <v>0</v>
      </c>
    </row>
    <row r="171" spans="12:15" x14ac:dyDescent="0.25">
      <c r="L171" s="160" t="str">
        <f t="array" ref="L171">IFERROR(INDEX(BD!$H$15:$H$1979,MATCH('Tab1'!E171&amp;'Tab1'!$L$11&amp;'Tab1'!$L$12,BD!$F$15:$F$1979&amp;BD!$M$15:$M$1979&amp;BD!$N$15:$N$1979,0)),"")</f>
        <v/>
      </c>
      <c r="O171" s="160">
        <f t="array" ref="O171">IFERROR(INDEX(BD!$H$15:$H$1979,MATCH('Tab1'!E171&amp;'Tab1'!$O$11&amp;'Tab1'!$O$12,BD!$F$15:$F$1979&amp;BD!$M$15:$M$1979&amp;BD!$N$15:$N$1979,0)),"")</f>
        <v>0</v>
      </c>
    </row>
    <row r="172" spans="12:15" x14ac:dyDescent="0.25">
      <c r="L172" s="160" t="str">
        <f t="array" ref="L172">IFERROR(INDEX(BD!$H$15:$H$1979,MATCH('Tab1'!E172&amp;'Tab1'!$L$11&amp;'Tab1'!$L$12,BD!$F$15:$F$1979&amp;BD!$M$15:$M$1979&amp;BD!$N$15:$N$1979,0)),"")</f>
        <v/>
      </c>
      <c r="O172" s="160">
        <f t="array" ref="O172">IFERROR(INDEX(BD!$H$15:$H$1979,MATCH('Tab1'!E172&amp;'Tab1'!$O$11&amp;'Tab1'!$O$12,BD!$F$15:$F$1979&amp;BD!$M$15:$M$1979&amp;BD!$N$15:$N$1979,0)),"")</f>
        <v>0</v>
      </c>
    </row>
    <row r="173" spans="12:15" x14ac:dyDescent="0.25">
      <c r="L173" s="160" t="str">
        <f t="array" ref="L173">IFERROR(INDEX(BD!$H$15:$H$1979,MATCH('Tab1'!E173&amp;'Tab1'!$L$11&amp;'Tab1'!$L$12,BD!$F$15:$F$1979&amp;BD!$M$15:$M$1979&amp;BD!$N$15:$N$1979,0)),"")</f>
        <v/>
      </c>
      <c r="O173" s="160">
        <f t="array" ref="O173">IFERROR(INDEX(BD!$H$15:$H$1979,MATCH('Tab1'!E173&amp;'Tab1'!$O$11&amp;'Tab1'!$O$12,BD!$F$15:$F$1979&amp;BD!$M$15:$M$1979&amp;BD!$N$15:$N$1979,0)),"")</f>
        <v>0</v>
      </c>
    </row>
    <row r="174" spans="12:15" x14ac:dyDescent="0.25">
      <c r="L174" s="160" t="str">
        <f t="array" ref="L174">IFERROR(INDEX(BD!$H$15:$H$1979,MATCH('Tab1'!E174&amp;'Tab1'!$L$11&amp;'Tab1'!$L$12,BD!$F$15:$F$1979&amp;BD!$M$15:$M$1979&amp;BD!$N$15:$N$1979,0)),"")</f>
        <v/>
      </c>
      <c r="O174" s="160">
        <f t="array" ref="O174">IFERROR(INDEX(BD!$H$15:$H$1979,MATCH('Tab1'!E174&amp;'Tab1'!$O$11&amp;'Tab1'!$O$12,BD!$F$15:$F$1979&amp;BD!$M$15:$M$1979&amp;BD!$N$15:$N$1979,0)),"")</f>
        <v>0</v>
      </c>
    </row>
    <row r="175" spans="12:15" x14ac:dyDescent="0.25">
      <c r="L175" s="160" t="str">
        <f t="array" ref="L175">IFERROR(INDEX(BD!$H$15:$H$1979,MATCH('Tab1'!E175&amp;'Tab1'!$L$11&amp;'Tab1'!$L$12,BD!$F$15:$F$1979&amp;BD!$M$15:$M$1979&amp;BD!$N$15:$N$1979,0)),"")</f>
        <v/>
      </c>
      <c r="O175" s="160">
        <f t="array" ref="O175">IFERROR(INDEX(BD!$H$15:$H$1979,MATCH('Tab1'!E175&amp;'Tab1'!$O$11&amp;'Tab1'!$O$12,BD!$F$15:$F$1979&amp;BD!$M$15:$M$1979&amp;BD!$N$15:$N$1979,0)),"")</f>
        <v>0</v>
      </c>
    </row>
    <row r="176" spans="12:15" x14ac:dyDescent="0.25">
      <c r="L176" s="160" t="str">
        <f t="array" ref="L176">IFERROR(INDEX(BD!$H$15:$H$1979,MATCH('Tab1'!E176&amp;'Tab1'!$L$11&amp;'Tab1'!$L$12,BD!$F$15:$F$1979&amp;BD!$M$15:$M$1979&amp;BD!$N$15:$N$1979,0)),"")</f>
        <v/>
      </c>
      <c r="O176" s="160">
        <f t="array" ref="O176">IFERROR(INDEX(BD!$H$15:$H$1979,MATCH('Tab1'!E176&amp;'Tab1'!$O$11&amp;'Tab1'!$O$12,BD!$F$15:$F$1979&amp;BD!$M$15:$M$1979&amp;BD!$N$15:$N$1979,0)),"")</f>
        <v>0</v>
      </c>
    </row>
    <row r="177" spans="12:15" x14ac:dyDescent="0.25">
      <c r="L177" s="160" t="str">
        <f t="array" ref="L177">IFERROR(INDEX(BD!$H$15:$H$1979,MATCH('Tab1'!E177&amp;'Tab1'!$L$11&amp;'Tab1'!$L$12,BD!$F$15:$F$1979&amp;BD!$M$15:$M$1979&amp;BD!$N$15:$N$1979,0)),"")</f>
        <v/>
      </c>
      <c r="O177" s="160">
        <f t="array" ref="O177">IFERROR(INDEX(BD!$H$15:$H$1979,MATCH('Tab1'!E177&amp;'Tab1'!$O$11&amp;'Tab1'!$O$12,BD!$F$15:$F$1979&amp;BD!$M$15:$M$1979&amp;BD!$N$15:$N$1979,0)),"")</f>
        <v>0</v>
      </c>
    </row>
    <row r="178" spans="12:15" x14ac:dyDescent="0.25">
      <c r="L178" s="160" t="str">
        <f t="array" ref="L178">IFERROR(INDEX(BD!$H$15:$H$1979,MATCH('Tab1'!E178&amp;'Tab1'!$L$11&amp;'Tab1'!$L$12,BD!$F$15:$F$1979&amp;BD!$M$15:$M$1979&amp;BD!$N$15:$N$1979,0)),"")</f>
        <v/>
      </c>
      <c r="O178" s="160">
        <f t="array" ref="O178">IFERROR(INDEX(BD!$H$15:$H$1979,MATCH('Tab1'!E178&amp;'Tab1'!$O$11&amp;'Tab1'!$O$12,BD!$F$15:$F$1979&amp;BD!$M$15:$M$1979&amp;BD!$N$15:$N$1979,0)),"")</f>
        <v>0</v>
      </c>
    </row>
    <row r="179" spans="12:15" x14ac:dyDescent="0.25">
      <c r="L179" s="160" t="str">
        <f t="array" ref="L179">IFERROR(INDEX(BD!$H$15:$H$1979,MATCH('Tab1'!E179&amp;'Tab1'!$L$11&amp;'Tab1'!$L$12,BD!$F$15:$F$1979&amp;BD!$M$15:$M$1979&amp;BD!$N$15:$N$1979,0)),"")</f>
        <v/>
      </c>
      <c r="O179" s="160">
        <f t="array" ref="O179">IFERROR(INDEX(BD!$H$15:$H$1979,MATCH('Tab1'!E179&amp;'Tab1'!$O$11&amp;'Tab1'!$O$12,BD!$F$15:$F$1979&amp;BD!$M$15:$M$1979&amp;BD!$N$15:$N$1979,0)),"")</f>
        <v>0</v>
      </c>
    </row>
    <row r="180" spans="12:15" x14ac:dyDescent="0.25">
      <c r="L180" s="160" t="str">
        <f t="array" ref="L180">IFERROR(INDEX(BD!$H$15:$H$1979,MATCH('Tab1'!E180&amp;'Tab1'!$L$11&amp;'Tab1'!$L$12,BD!$F$15:$F$1979&amp;BD!$M$15:$M$1979&amp;BD!$N$15:$N$1979,0)),"")</f>
        <v/>
      </c>
      <c r="O180" s="160">
        <f t="array" ref="O180">IFERROR(INDEX(BD!$H$15:$H$1979,MATCH('Tab1'!E180&amp;'Tab1'!$O$11&amp;'Tab1'!$O$12,BD!$F$15:$F$1979&amp;BD!$M$15:$M$1979&amp;BD!$N$15:$N$1979,0)),"")</f>
        <v>0</v>
      </c>
    </row>
    <row r="181" spans="12:15" x14ac:dyDescent="0.25">
      <c r="L181" s="160" t="str">
        <f t="array" ref="L181">IFERROR(INDEX(BD!$H$15:$H$1979,MATCH('Tab1'!E181&amp;'Tab1'!$L$11&amp;'Tab1'!$L$12,BD!$F$15:$F$1979&amp;BD!$M$15:$M$1979&amp;BD!$N$15:$N$1979,0)),"")</f>
        <v/>
      </c>
      <c r="O181" s="160">
        <f t="array" ref="O181">IFERROR(INDEX(BD!$H$15:$H$1979,MATCH('Tab1'!E181&amp;'Tab1'!$O$11&amp;'Tab1'!$O$12,BD!$F$15:$F$1979&amp;BD!$M$15:$M$1979&amp;BD!$N$15:$N$1979,0)),"")</f>
        <v>0</v>
      </c>
    </row>
    <row r="182" spans="12:15" x14ac:dyDescent="0.25">
      <c r="L182" s="160" t="str">
        <f t="array" ref="L182">IFERROR(INDEX(BD!$H$15:$H$1979,MATCH('Tab1'!E182&amp;'Tab1'!$L$11&amp;'Tab1'!$L$12,BD!$F$15:$F$1979&amp;BD!$M$15:$M$1979&amp;BD!$N$15:$N$1979,0)),"")</f>
        <v/>
      </c>
      <c r="O182" s="160">
        <f t="array" ref="O182">IFERROR(INDEX(BD!$H$15:$H$1979,MATCH('Tab1'!E182&amp;'Tab1'!$O$11&amp;'Tab1'!$O$12,BD!$F$15:$F$1979&amp;BD!$M$15:$M$1979&amp;BD!$N$15:$N$1979,0)),"")</f>
        <v>0</v>
      </c>
    </row>
    <row r="183" spans="12:15" x14ac:dyDescent="0.25">
      <c r="L183" s="160" t="str">
        <f t="array" ref="L183">IFERROR(INDEX(BD!$H$15:$H$1979,MATCH('Tab1'!E183&amp;'Tab1'!$L$11&amp;'Tab1'!$L$12,BD!$F$15:$F$1979&amp;BD!$M$15:$M$1979&amp;BD!$N$15:$N$1979,0)),"")</f>
        <v/>
      </c>
      <c r="O183" s="160">
        <f t="array" ref="O183">IFERROR(INDEX(BD!$H$15:$H$1979,MATCH('Tab1'!E183&amp;'Tab1'!$O$11&amp;'Tab1'!$O$12,BD!$F$15:$F$1979&amp;BD!$M$15:$M$1979&amp;BD!$N$15:$N$1979,0)),"")</f>
        <v>0</v>
      </c>
    </row>
    <row r="184" spans="12:15" x14ac:dyDescent="0.25">
      <c r="L184" s="160" t="str">
        <f t="array" ref="L184">IFERROR(INDEX(BD!$H$15:$H$1979,MATCH('Tab1'!E184&amp;'Tab1'!$L$11&amp;'Tab1'!$L$12,BD!$F$15:$F$1979&amp;BD!$M$15:$M$1979&amp;BD!$N$15:$N$1979,0)),"")</f>
        <v/>
      </c>
      <c r="O184" s="160">
        <f t="array" ref="O184">IFERROR(INDEX(BD!$H$15:$H$1979,MATCH('Tab1'!E184&amp;'Tab1'!$O$11&amp;'Tab1'!$O$12,BD!$F$15:$F$1979&amp;BD!$M$15:$M$1979&amp;BD!$N$15:$N$1979,0)),"")</f>
        <v>0</v>
      </c>
    </row>
    <row r="185" spans="12:15" x14ac:dyDescent="0.25">
      <c r="L185" s="160" t="str">
        <f t="array" ref="L185">IFERROR(INDEX(BD!$H$15:$H$1979,MATCH('Tab1'!E185&amp;'Tab1'!$L$11&amp;'Tab1'!$L$12,BD!$F$15:$F$1979&amp;BD!$M$15:$M$1979&amp;BD!$N$15:$N$1979,0)),"")</f>
        <v/>
      </c>
      <c r="O185" s="160">
        <f t="array" ref="O185">IFERROR(INDEX(BD!$H$15:$H$1979,MATCH('Tab1'!E185&amp;'Tab1'!$O$11&amp;'Tab1'!$O$12,BD!$F$15:$F$1979&amp;BD!$M$15:$M$1979&amp;BD!$N$15:$N$1979,0)),"")</f>
        <v>0</v>
      </c>
    </row>
    <row r="186" spans="12:15" x14ac:dyDescent="0.25">
      <c r="L186" s="160" t="str">
        <f t="array" ref="L186">IFERROR(INDEX(BD!$H$15:$H$1979,MATCH('Tab1'!E186&amp;'Tab1'!$L$11&amp;'Tab1'!$L$12,BD!$F$15:$F$1979&amp;BD!$M$15:$M$1979&amp;BD!$N$15:$N$1979,0)),"")</f>
        <v/>
      </c>
      <c r="O186" s="160">
        <f t="array" ref="O186">IFERROR(INDEX(BD!$H$15:$H$1979,MATCH('Tab1'!E186&amp;'Tab1'!$O$11&amp;'Tab1'!$O$12,BD!$F$15:$F$1979&amp;BD!$M$15:$M$1979&amp;BD!$N$15:$N$1979,0)),"")</f>
        <v>0</v>
      </c>
    </row>
    <row r="187" spans="12:15" x14ac:dyDescent="0.25">
      <c r="L187" s="160" t="str">
        <f t="array" ref="L187">IFERROR(INDEX(BD!$H$15:$H$1979,MATCH('Tab1'!E187&amp;'Tab1'!$L$11&amp;'Tab1'!$L$12,BD!$F$15:$F$1979&amp;BD!$M$15:$M$1979&amp;BD!$N$15:$N$1979,0)),"")</f>
        <v/>
      </c>
      <c r="O187" s="160">
        <f t="array" ref="O187">IFERROR(INDEX(BD!$H$15:$H$1979,MATCH('Tab1'!E187&amp;'Tab1'!$O$11&amp;'Tab1'!$O$12,BD!$F$15:$F$1979&amp;BD!$M$15:$M$1979&amp;BD!$N$15:$N$1979,0)),"")</f>
        <v>0</v>
      </c>
    </row>
    <row r="188" spans="12:15" x14ac:dyDescent="0.25">
      <c r="L188" s="160" t="str">
        <f t="array" ref="L188">IFERROR(INDEX(BD!$H$15:$H$1979,MATCH('Tab1'!E188&amp;'Tab1'!$L$11&amp;'Tab1'!$L$12,BD!$F$15:$F$1979&amp;BD!$M$15:$M$1979&amp;BD!$N$15:$N$1979,0)),"")</f>
        <v/>
      </c>
      <c r="O188" s="160">
        <f t="array" ref="O188">IFERROR(INDEX(BD!$H$15:$H$1979,MATCH('Tab1'!E188&amp;'Tab1'!$O$11&amp;'Tab1'!$O$12,BD!$F$15:$F$1979&amp;BD!$M$15:$M$1979&amp;BD!$N$15:$N$1979,0)),"")</f>
        <v>0</v>
      </c>
    </row>
    <row r="189" spans="12:15" x14ac:dyDescent="0.25">
      <c r="L189" s="160" t="str">
        <f t="array" ref="L189">IFERROR(INDEX(BD!$H$15:$H$1979,MATCH('Tab1'!E189&amp;'Tab1'!$L$11&amp;'Tab1'!$L$12,BD!$F$15:$F$1979&amp;BD!$M$15:$M$1979&amp;BD!$N$15:$N$1979,0)),"")</f>
        <v/>
      </c>
      <c r="O189" s="160">
        <f t="array" ref="O189">IFERROR(INDEX(BD!$H$15:$H$1979,MATCH('Tab1'!E189&amp;'Tab1'!$O$11&amp;'Tab1'!$O$12,BD!$F$15:$F$1979&amp;BD!$M$15:$M$1979&amp;BD!$N$15:$N$1979,0)),"")</f>
        <v>0</v>
      </c>
    </row>
    <row r="190" spans="12:15" x14ac:dyDescent="0.25">
      <c r="L190" s="160" t="str">
        <f t="array" ref="L190">IFERROR(INDEX(BD!$H$15:$H$1979,MATCH('Tab1'!E190&amp;'Tab1'!$L$11&amp;'Tab1'!$L$12,BD!$F$15:$F$1979&amp;BD!$M$15:$M$1979&amp;BD!$N$15:$N$1979,0)),"")</f>
        <v/>
      </c>
      <c r="O190" s="160">
        <f t="array" ref="O190">IFERROR(INDEX(BD!$H$15:$H$1979,MATCH('Tab1'!E190&amp;'Tab1'!$O$11&amp;'Tab1'!$O$12,BD!$F$15:$F$1979&amp;BD!$M$15:$M$1979&amp;BD!$N$15:$N$1979,0)),"")</f>
        <v>0</v>
      </c>
    </row>
    <row r="191" spans="12:15" x14ac:dyDescent="0.25">
      <c r="L191" s="160" t="str">
        <f t="array" ref="L191">IFERROR(INDEX(BD!$H$15:$H$1979,MATCH('Tab1'!E191&amp;'Tab1'!$L$11&amp;'Tab1'!$L$12,BD!$F$15:$F$1979&amp;BD!$M$15:$M$1979&amp;BD!$N$15:$N$1979,0)),"")</f>
        <v/>
      </c>
      <c r="O191" s="160">
        <f t="array" ref="O191">IFERROR(INDEX(BD!$H$15:$H$1979,MATCH('Tab1'!E191&amp;'Tab1'!$O$11&amp;'Tab1'!$O$12,BD!$F$15:$F$1979&amp;BD!$M$15:$M$1979&amp;BD!$N$15:$N$1979,0)),"")</f>
        <v>0</v>
      </c>
    </row>
    <row r="192" spans="12:15" x14ac:dyDescent="0.25">
      <c r="L192" s="160" t="str">
        <f t="array" ref="L192">IFERROR(INDEX(BD!$H$15:$H$1979,MATCH('Tab1'!E192&amp;'Tab1'!$L$11&amp;'Tab1'!$L$12,BD!$F$15:$F$1979&amp;BD!$M$15:$M$1979&amp;BD!$N$15:$N$1979,0)),"")</f>
        <v/>
      </c>
      <c r="O192" s="160">
        <f t="array" ref="O192">IFERROR(INDEX(BD!$H$15:$H$1979,MATCH('Tab1'!E192&amp;'Tab1'!$O$11&amp;'Tab1'!$O$12,BD!$F$15:$F$1979&amp;BD!$M$15:$M$1979&amp;BD!$N$15:$N$1979,0)),"")</f>
        <v>0</v>
      </c>
    </row>
    <row r="193" spans="12:15" x14ac:dyDescent="0.25">
      <c r="L193" s="160" t="str">
        <f t="array" ref="L193">IFERROR(INDEX(BD!$H$15:$H$1979,MATCH('Tab1'!E193&amp;'Tab1'!$L$11&amp;'Tab1'!$L$12,BD!$F$15:$F$1979&amp;BD!$M$15:$M$1979&amp;BD!$N$15:$N$1979,0)),"")</f>
        <v/>
      </c>
      <c r="O193" s="160">
        <f t="array" ref="O193">IFERROR(INDEX(BD!$H$15:$H$1979,MATCH('Tab1'!E193&amp;'Tab1'!$O$11&amp;'Tab1'!$O$12,BD!$F$15:$F$1979&amp;BD!$M$15:$M$1979&amp;BD!$N$15:$N$1979,0)),"")</f>
        <v>0</v>
      </c>
    </row>
    <row r="194" spans="12:15" x14ac:dyDescent="0.25">
      <c r="L194" s="160" t="str">
        <f t="array" ref="L194">IFERROR(INDEX(BD!$H$15:$H$1979,MATCH('Tab1'!E194&amp;'Tab1'!$L$11&amp;'Tab1'!$L$12,BD!$F$15:$F$1979&amp;BD!$M$15:$M$1979&amp;BD!$N$15:$N$1979,0)),"")</f>
        <v/>
      </c>
      <c r="O194" s="160">
        <f t="array" ref="O194">IFERROR(INDEX(BD!$H$15:$H$1979,MATCH('Tab1'!E194&amp;'Tab1'!$O$11&amp;'Tab1'!$O$12,BD!$F$15:$F$1979&amp;BD!$M$15:$M$1979&amp;BD!$N$15:$N$1979,0)),"")</f>
        <v>0</v>
      </c>
    </row>
    <row r="195" spans="12:15" x14ac:dyDescent="0.25">
      <c r="L195" s="160" t="str">
        <f t="array" ref="L195">IFERROR(INDEX(BD!$H$15:$H$1979,MATCH('Tab1'!E195&amp;'Tab1'!$L$11&amp;'Tab1'!$L$12,BD!$F$15:$F$1979&amp;BD!$M$15:$M$1979&amp;BD!$N$15:$N$1979,0)),"")</f>
        <v/>
      </c>
      <c r="O195" s="160">
        <f t="array" ref="O195">IFERROR(INDEX(BD!$H$15:$H$1979,MATCH('Tab1'!E195&amp;'Tab1'!$O$11&amp;'Tab1'!$O$12,BD!$F$15:$F$1979&amp;BD!$M$15:$M$1979&amp;BD!$N$15:$N$1979,0)),"")</f>
        <v>0</v>
      </c>
    </row>
    <row r="196" spans="12:15" x14ac:dyDescent="0.25">
      <c r="L196" s="160" t="str">
        <f t="array" ref="L196">IFERROR(INDEX(BD!$H$15:$H$1979,MATCH('Tab1'!E196&amp;'Tab1'!$L$11&amp;'Tab1'!$L$12,BD!$F$15:$F$1979&amp;BD!$M$15:$M$1979&amp;BD!$N$15:$N$1979,0)),"")</f>
        <v/>
      </c>
      <c r="O196" s="160">
        <f t="array" ref="O196">IFERROR(INDEX(BD!$H$15:$H$1979,MATCH('Tab1'!E196&amp;'Tab1'!$O$11&amp;'Tab1'!$O$12,BD!$F$15:$F$1979&amp;BD!$M$15:$M$1979&amp;BD!$N$15:$N$1979,0)),"")</f>
        <v>0</v>
      </c>
    </row>
    <row r="197" spans="12:15" x14ac:dyDescent="0.25">
      <c r="L197" s="160" t="str">
        <f t="array" ref="L197">IFERROR(INDEX(BD!$H$15:$H$1979,MATCH('Tab1'!E197&amp;'Tab1'!$L$11&amp;'Tab1'!$L$12,BD!$F$15:$F$1979&amp;BD!$M$15:$M$1979&amp;BD!$N$15:$N$1979,0)),"")</f>
        <v/>
      </c>
      <c r="O197" s="160">
        <f t="array" ref="O197">IFERROR(INDEX(BD!$H$15:$H$1979,MATCH('Tab1'!E197&amp;'Tab1'!$O$11&amp;'Tab1'!$O$12,BD!$F$15:$F$1979&amp;BD!$M$15:$M$1979&amp;BD!$N$15:$N$1979,0)),"")</f>
        <v>0</v>
      </c>
    </row>
    <row r="198" spans="12:15" x14ac:dyDescent="0.25">
      <c r="L198" s="160" t="str">
        <f t="array" ref="L198">IFERROR(INDEX(BD!$H$15:$H$1979,MATCH('Tab1'!E198&amp;'Tab1'!$L$11&amp;'Tab1'!$L$12,BD!$F$15:$F$1979&amp;BD!$M$15:$M$1979&amp;BD!$N$15:$N$1979,0)),"")</f>
        <v/>
      </c>
      <c r="O198" s="160">
        <f t="array" ref="O198">IFERROR(INDEX(BD!$H$15:$H$1979,MATCH('Tab1'!E198&amp;'Tab1'!$O$11&amp;'Tab1'!$O$12,BD!$F$15:$F$1979&amp;BD!$M$15:$M$1979&amp;BD!$N$15:$N$1979,0)),"")</f>
        <v>0</v>
      </c>
    </row>
    <row r="199" spans="12:15" x14ac:dyDescent="0.25">
      <c r="L199" s="160" t="str">
        <f t="array" ref="L199">IFERROR(INDEX(BD!$H$15:$H$1979,MATCH('Tab1'!E199&amp;'Tab1'!$L$11&amp;'Tab1'!$L$12,BD!$F$15:$F$1979&amp;BD!$M$15:$M$1979&amp;BD!$N$15:$N$1979,0)),"")</f>
        <v/>
      </c>
      <c r="O199" s="160">
        <f t="array" ref="O199">IFERROR(INDEX(BD!$H$15:$H$1979,MATCH('Tab1'!E199&amp;'Tab1'!$O$11&amp;'Tab1'!$O$12,BD!$F$15:$F$1979&amp;BD!$M$15:$M$1979&amp;BD!$N$15:$N$1979,0)),"")</f>
        <v>0</v>
      </c>
    </row>
    <row r="200" spans="12:15" x14ac:dyDescent="0.25">
      <c r="L200" s="160" t="str">
        <f t="array" ref="L200">IFERROR(INDEX(BD!$H$15:$H$1979,MATCH('Tab1'!E200&amp;'Tab1'!$L$11&amp;'Tab1'!$L$12,BD!$F$15:$F$1979&amp;BD!$M$15:$M$1979&amp;BD!$N$15:$N$1979,0)),"")</f>
        <v/>
      </c>
      <c r="O200" s="160">
        <f t="array" ref="O200">IFERROR(INDEX(BD!$H$15:$H$1979,MATCH('Tab1'!E200&amp;'Tab1'!$O$11&amp;'Tab1'!$O$12,BD!$F$15:$F$1979&amp;BD!$M$15:$M$1979&amp;BD!$N$15:$N$1979,0)),"")</f>
        <v>0</v>
      </c>
    </row>
    <row r="201" spans="12:15" x14ac:dyDescent="0.25">
      <c r="L201" s="160" t="str">
        <f t="array" ref="L201">IFERROR(INDEX(BD!$H$15:$H$1979,MATCH('Tab1'!E201&amp;'Tab1'!$L$11&amp;'Tab1'!$L$12,BD!$F$15:$F$1979&amp;BD!$M$15:$M$1979&amp;BD!$N$15:$N$1979,0)),"")</f>
        <v/>
      </c>
      <c r="O201" s="160">
        <f t="array" ref="O201">IFERROR(INDEX(BD!$H$15:$H$1979,MATCH('Tab1'!E201&amp;'Tab1'!$O$11&amp;'Tab1'!$O$12,BD!$F$15:$F$1979&amp;BD!$M$15:$M$1979&amp;BD!$N$15:$N$1979,0)),"")</f>
        <v>0</v>
      </c>
    </row>
    <row r="202" spans="12:15" x14ac:dyDescent="0.25">
      <c r="L202" s="160" t="str">
        <f t="array" ref="L202">IFERROR(INDEX(BD!$H$15:$H$1979,MATCH('Tab1'!E202&amp;'Tab1'!$L$11&amp;'Tab1'!$L$12,BD!$F$15:$F$1979&amp;BD!$M$15:$M$1979&amp;BD!$N$15:$N$1979,0)),"")</f>
        <v/>
      </c>
      <c r="O202" s="160">
        <f t="array" ref="O202">IFERROR(INDEX(BD!$H$15:$H$1979,MATCH('Tab1'!E202&amp;'Tab1'!$O$11&amp;'Tab1'!$O$12,BD!$F$15:$F$1979&amp;BD!$M$15:$M$1979&amp;BD!$N$15:$N$1979,0)),"")</f>
        <v>0</v>
      </c>
    </row>
    <row r="203" spans="12:15" x14ac:dyDescent="0.25">
      <c r="L203" s="160" t="str">
        <f t="array" ref="L203">IFERROR(INDEX(BD!$H$15:$H$1979,MATCH('Tab1'!E203&amp;'Tab1'!$L$11&amp;'Tab1'!$L$12,BD!$F$15:$F$1979&amp;BD!$M$15:$M$1979&amp;BD!$N$15:$N$1979,0)),"")</f>
        <v/>
      </c>
      <c r="O203" s="160">
        <f t="array" ref="O203">IFERROR(INDEX(BD!$H$15:$H$1979,MATCH('Tab1'!E203&amp;'Tab1'!$O$11&amp;'Tab1'!$O$12,BD!$F$15:$F$1979&amp;BD!$M$15:$M$1979&amp;BD!$N$15:$N$1979,0)),"")</f>
        <v>0</v>
      </c>
    </row>
    <row r="204" spans="12:15" x14ac:dyDescent="0.25">
      <c r="L204" s="160" t="str">
        <f t="array" ref="L204">IFERROR(INDEX(BD!$H$15:$H$1979,MATCH('Tab1'!E204&amp;'Tab1'!$L$11&amp;'Tab1'!$L$12,BD!$F$15:$F$1979&amp;BD!$M$15:$M$1979&amp;BD!$N$15:$N$1979,0)),"")</f>
        <v/>
      </c>
      <c r="O204" s="160">
        <f t="array" ref="O204">IFERROR(INDEX(BD!$H$15:$H$1979,MATCH('Tab1'!E204&amp;'Tab1'!$O$11&amp;'Tab1'!$O$12,BD!$F$15:$F$1979&amp;BD!$M$15:$M$1979&amp;BD!$N$15:$N$1979,0)),"")</f>
        <v>0</v>
      </c>
    </row>
    <row r="205" spans="12:15" x14ac:dyDescent="0.25">
      <c r="L205" s="160" t="str">
        <f t="array" ref="L205">IFERROR(INDEX(BD!$H$15:$H$1979,MATCH('Tab1'!E205&amp;'Tab1'!$L$11&amp;'Tab1'!$L$12,BD!$F$15:$F$1979&amp;BD!$M$15:$M$1979&amp;BD!$N$15:$N$1979,0)),"")</f>
        <v/>
      </c>
      <c r="O205" s="160">
        <f t="array" ref="O205">IFERROR(INDEX(BD!$H$15:$H$1979,MATCH('Tab1'!E205&amp;'Tab1'!$O$11&amp;'Tab1'!$O$12,BD!$F$15:$F$1979&amp;BD!$M$15:$M$1979&amp;BD!$N$15:$N$1979,0)),"")</f>
        <v>0</v>
      </c>
    </row>
    <row r="206" spans="12:15" x14ac:dyDescent="0.25">
      <c r="L206" s="160" t="str">
        <f t="array" ref="L206">IFERROR(INDEX(BD!$H$15:$H$1979,MATCH('Tab1'!E206&amp;'Tab1'!$L$11&amp;'Tab1'!$L$12,BD!$F$15:$F$1979&amp;BD!$M$15:$M$1979&amp;BD!$N$15:$N$1979,0)),"")</f>
        <v/>
      </c>
      <c r="O206" s="160">
        <f t="array" ref="O206">IFERROR(INDEX(BD!$H$15:$H$1979,MATCH('Tab1'!E206&amp;'Tab1'!$O$11&amp;'Tab1'!$O$12,BD!$F$15:$F$1979&amp;BD!$M$15:$M$1979&amp;BD!$N$15:$N$1979,0)),"")</f>
        <v>0</v>
      </c>
    </row>
    <row r="207" spans="12:15" x14ac:dyDescent="0.25">
      <c r="L207" s="160" t="str">
        <f t="array" ref="L207">IFERROR(INDEX(BD!$H$15:$H$1979,MATCH('Tab1'!E207&amp;'Tab1'!$L$11&amp;'Tab1'!$L$12,BD!$F$15:$F$1979&amp;BD!$M$15:$M$1979&amp;BD!$N$15:$N$1979,0)),"")</f>
        <v/>
      </c>
      <c r="O207" s="160">
        <f t="array" ref="O207">IFERROR(INDEX(BD!$H$15:$H$1979,MATCH('Tab1'!E207&amp;'Tab1'!$O$11&amp;'Tab1'!$O$12,BD!$F$15:$F$1979&amp;BD!$M$15:$M$1979&amp;BD!$N$15:$N$1979,0)),"")</f>
        <v>0</v>
      </c>
    </row>
    <row r="208" spans="12:15" x14ac:dyDescent="0.25">
      <c r="L208" s="160" t="str">
        <f t="array" ref="L208">IFERROR(INDEX(BD!$H$15:$H$1979,MATCH('Tab1'!E208&amp;'Tab1'!$L$11&amp;'Tab1'!$L$12,BD!$F$15:$F$1979&amp;BD!$M$15:$M$1979&amp;BD!$N$15:$N$1979,0)),"")</f>
        <v/>
      </c>
      <c r="O208" s="160">
        <f t="array" ref="O208">IFERROR(INDEX(BD!$H$15:$H$1979,MATCH('Tab1'!E208&amp;'Tab1'!$O$11&amp;'Tab1'!$O$12,BD!$F$15:$F$1979&amp;BD!$M$15:$M$1979&amp;BD!$N$15:$N$1979,0)),"")</f>
        <v>0</v>
      </c>
    </row>
    <row r="209" spans="12:15" x14ac:dyDescent="0.25">
      <c r="L209" s="160" t="str">
        <f t="array" ref="L209">IFERROR(INDEX(BD!$H$15:$H$1979,MATCH('Tab1'!E209&amp;'Tab1'!$L$11&amp;'Tab1'!$L$12,BD!$F$15:$F$1979&amp;BD!$M$15:$M$1979&amp;BD!$N$15:$N$1979,0)),"")</f>
        <v/>
      </c>
      <c r="O209" s="160">
        <f t="array" ref="O209">IFERROR(INDEX(BD!$H$15:$H$1979,MATCH('Tab1'!E209&amp;'Tab1'!$O$11&amp;'Tab1'!$O$12,BD!$F$15:$F$1979&amp;BD!$M$15:$M$1979&amp;BD!$N$15:$N$1979,0)),"")</f>
        <v>0</v>
      </c>
    </row>
    <row r="210" spans="12:15" x14ac:dyDescent="0.25">
      <c r="L210" s="160" t="str">
        <f t="array" ref="L210">IFERROR(INDEX(BD!$H$15:$H$1979,MATCH('Tab1'!E210&amp;'Tab1'!$L$11&amp;'Tab1'!$L$12,BD!$F$15:$F$1979&amp;BD!$M$15:$M$1979&amp;BD!$N$15:$N$1979,0)),"")</f>
        <v/>
      </c>
      <c r="O210" s="160">
        <f t="array" ref="O210">IFERROR(INDEX(BD!$H$15:$H$1979,MATCH('Tab1'!E210&amp;'Tab1'!$O$11&amp;'Tab1'!$O$12,BD!$F$15:$F$1979&amp;BD!$M$15:$M$1979&amp;BD!$N$15:$N$1979,0)),"")</f>
        <v>0</v>
      </c>
    </row>
    <row r="211" spans="12:15" x14ac:dyDescent="0.25">
      <c r="L211" s="160" t="str">
        <f t="array" ref="L211">IFERROR(INDEX(BD!$H$15:$H$1979,MATCH('Tab1'!E211&amp;'Tab1'!$L$11&amp;'Tab1'!$L$12,BD!$F$15:$F$1979&amp;BD!$M$15:$M$1979&amp;BD!$N$15:$N$1979,0)),"")</f>
        <v/>
      </c>
      <c r="O211" s="160">
        <f t="array" ref="O211">IFERROR(INDEX(BD!$H$15:$H$1979,MATCH('Tab1'!E211&amp;'Tab1'!$O$11&amp;'Tab1'!$O$12,BD!$F$15:$F$1979&amp;BD!$M$15:$M$1979&amp;BD!$N$15:$N$1979,0)),"")</f>
        <v>0</v>
      </c>
    </row>
    <row r="212" spans="12:15" x14ac:dyDescent="0.25">
      <c r="L212" s="160" t="str">
        <f t="array" ref="L212">IFERROR(INDEX(BD!$H$15:$H$1979,MATCH('Tab1'!E212&amp;'Tab1'!$L$11&amp;'Tab1'!$L$12,BD!$F$15:$F$1979&amp;BD!$M$15:$M$1979&amp;BD!$N$15:$N$1979,0)),"")</f>
        <v/>
      </c>
      <c r="O212" s="160">
        <f t="array" ref="O212">IFERROR(INDEX(BD!$H$15:$H$1979,MATCH('Tab1'!E212&amp;'Tab1'!$O$11&amp;'Tab1'!$O$12,BD!$F$15:$F$1979&amp;BD!$M$15:$M$1979&amp;BD!$N$15:$N$1979,0)),"")</f>
        <v>0</v>
      </c>
    </row>
    <row r="213" spans="12:15" x14ac:dyDescent="0.25">
      <c r="L213" s="160" t="str">
        <f t="array" ref="L213">IFERROR(INDEX(BD!$H$15:$H$1979,MATCH('Tab1'!E213&amp;'Tab1'!$L$11&amp;'Tab1'!$L$12,BD!$F$15:$F$1979&amp;BD!$M$15:$M$1979&amp;BD!$N$15:$N$1979,0)),"")</f>
        <v/>
      </c>
      <c r="O213" s="160">
        <f t="array" ref="O213">IFERROR(INDEX(BD!$H$15:$H$1979,MATCH('Tab1'!E213&amp;'Tab1'!$O$11&amp;'Tab1'!$O$12,BD!$F$15:$F$1979&amp;BD!$M$15:$M$1979&amp;BD!$N$15:$N$1979,0)),"")</f>
        <v>0</v>
      </c>
    </row>
    <row r="214" spans="12:15" x14ac:dyDescent="0.25">
      <c r="L214" s="160" t="str">
        <f t="array" ref="L214">IFERROR(INDEX(BD!$H$15:$H$1979,MATCH('Tab1'!E214&amp;'Tab1'!$L$11&amp;'Tab1'!$L$12,BD!$F$15:$F$1979&amp;BD!$M$15:$M$1979&amp;BD!$N$15:$N$1979,0)),"")</f>
        <v/>
      </c>
      <c r="O214" s="160">
        <f t="array" ref="O214">IFERROR(INDEX(BD!$H$15:$H$1979,MATCH('Tab1'!E214&amp;'Tab1'!$O$11&amp;'Tab1'!$O$12,BD!$F$15:$F$1979&amp;BD!$M$15:$M$1979&amp;BD!$N$15:$N$1979,0)),"")</f>
        <v>0</v>
      </c>
    </row>
    <row r="215" spans="12:15" x14ac:dyDescent="0.25">
      <c r="L215" s="160" t="str">
        <f t="array" ref="L215">IFERROR(INDEX(BD!$H$15:$H$1979,MATCH('Tab1'!E215&amp;'Tab1'!$L$11&amp;'Tab1'!$L$12,BD!$F$15:$F$1979&amp;BD!$M$15:$M$1979&amp;BD!$N$15:$N$1979,0)),"")</f>
        <v/>
      </c>
      <c r="O215" s="160">
        <f t="array" ref="O215">IFERROR(INDEX(BD!$H$15:$H$1979,MATCH('Tab1'!E215&amp;'Tab1'!$O$11&amp;'Tab1'!$O$12,BD!$F$15:$F$1979&amp;BD!$M$15:$M$1979&amp;BD!$N$15:$N$1979,0)),"")</f>
        <v>0</v>
      </c>
    </row>
    <row r="216" spans="12:15" x14ac:dyDescent="0.25">
      <c r="L216" s="160" t="str">
        <f t="array" ref="L216">IFERROR(INDEX(BD!$H$15:$H$1979,MATCH('Tab1'!E216&amp;'Tab1'!$L$11&amp;'Tab1'!$L$12,BD!$F$15:$F$1979&amp;BD!$M$15:$M$1979&amp;BD!$N$15:$N$1979,0)),"")</f>
        <v/>
      </c>
      <c r="O216" s="160">
        <f t="array" ref="O216">IFERROR(INDEX(BD!$H$15:$H$1979,MATCH('Tab1'!E216&amp;'Tab1'!$O$11&amp;'Tab1'!$O$12,BD!$F$15:$F$1979&amp;BD!$M$15:$M$1979&amp;BD!$N$15:$N$1979,0)),"")</f>
        <v>0</v>
      </c>
    </row>
    <row r="217" spans="12:15" x14ac:dyDescent="0.25">
      <c r="L217" s="160" t="str">
        <f t="array" ref="L217">IFERROR(INDEX(BD!$H$15:$H$1979,MATCH('Tab1'!E217&amp;'Tab1'!$L$11&amp;'Tab1'!$L$12,BD!$F$15:$F$1979&amp;BD!$M$15:$M$1979&amp;BD!$N$15:$N$1979,0)),"")</f>
        <v/>
      </c>
      <c r="O217" s="160">
        <f t="array" ref="O217">IFERROR(INDEX(BD!$H$15:$H$1979,MATCH('Tab1'!E217&amp;'Tab1'!$O$11&amp;'Tab1'!$O$12,BD!$F$15:$F$1979&amp;BD!$M$15:$M$1979&amp;BD!$N$15:$N$1979,0)),"")</f>
        <v>0</v>
      </c>
    </row>
    <row r="218" spans="12:15" x14ac:dyDescent="0.25">
      <c r="L218" s="160" t="str">
        <f t="array" ref="L218">IFERROR(INDEX(BD!$H$15:$H$1979,MATCH('Tab1'!E218&amp;'Tab1'!$L$11&amp;'Tab1'!$L$12,BD!$F$15:$F$1979&amp;BD!$M$15:$M$1979&amp;BD!$N$15:$N$1979,0)),"")</f>
        <v/>
      </c>
      <c r="O218" s="160">
        <f t="array" ref="O218">IFERROR(INDEX(BD!$H$15:$H$1979,MATCH('Tab1'!E218&amp;'Tab1'!$O$11&amp;'Tab1'!$O$12,BD!$F$15:$F$1979&amp;BD!$M$15:$M$1979&amp;BD!$N$15:$N$1979,0)),"")</f>
        <v>0</v>
      </c>
    </row>
    <row r="219" spans="12:15" x14ac:dyDescent="0.25">
      <c r="L219" s="160" t="str">
        <f t="array" ref="L219">IFERROR(INDEX(BD!$H$15:$H$1979,MATCH('Tab1'!E219&amp;'Tab1'!$L$11&amp;'Tab1'!$L$12,BD!$F$15:$F$1979&amp;BD!$M$15:$M$1979&amp;BD!$N$15:$N$1979,0)),"")</f>
        <v/>
      </c>
      <c r="O219" s="160">
        <f t="array" ref="O219">IFERROR(INDEX(BD!$H$15:$H$1979,MATCH('Tab1'!E219&amp;'Tab1'!$O$11&amp;'Tab1'!$O$12,BD!$F$15:$F$1979&amp;BD!$M$15:$M$1979&amp;BD!$N$15:$N$1979,0)),"")</f>
        <v>0</v>
      </c>
    </row>
    <row r="220" spans="12:15" x14ac:dyDescent="0.25">
      <c r="L220" s="160" t="str">
        <f t="array" ref="L220">IFERROR(INDEX(BD!$H$15:$H$1979,MATCH('Tab1'!E220&amp;'Tab1'!$L$11&amp;'Tab1'!$L$12,BD!$F$15:$F$1979&amp;BD!$M$15:$M$1979&amp;BD!$N$15:$N$1979,0)),"")</f>
        <v/>
      </c>
      <c r="O220" s="160">
        <f t="array" ref="O220">IFERROR(INDEX(BD!$H$15:$H$1979,MATCH('Tab1'!E220&amp;'Tab1'!$O$11&amp;'Tab1'!$O$12,BD!$F$15:$F$1979&amp;BD!$M$15:$M$1979&amp;BD!$N$15:$N$1979,0)),"")</f>
        <v>0</v>
      </c>
    </row>
    <row r="221" spans="12:15" x14ac:dyDescent="0.25">
      <c r="L221" s="160" t="str">
        <f t="array" ref="L221">IFERROR(INDEX(BD!$H$15:$H$1979,MATCH('Tab1'!E221&amp;'Tab1'!$L$11&amp;'Tab1'!$L$12,BD!$F$15:$F$1979&amp;BD!$M$15:$M$1979&amp;BD!$N$15:$N$1979,0)),"")</f>
        <v/>
      </c>
      <c r="O221" s="160">
        <f t="array" ref="O221">IFERROR(INDEX(BD!$H$15:$H$1979,MATCH('Tab1'!E221&amp;'Tab1'!$O$11&amp;'Tab1'!$O$12,BD!$F$15:$F$1979&amp;BD!$M$15:$M$1979&amp;BD!$N$15:$N$1979,0)),"")</f>
        <v>0</v>
      </c>
    </row>
    <row r="222" spans="12:15" x14ac:dyDescent="0.25">
      <c r="L222" s="160" t="str">
        <f t="array" ref="L222">IFERROR(INDEX(BD!$H$15:$H$1979,MATCH('Tab1'!E222&amp;'Tab1'!$L$11&amp;'Tab1'!$L$12,BD!$F$15:$F$1979&amp;BD!$M$15:$M$1979&amp;BD!$N$15:$N$1979,0)),"")</f>
        <v/>
      </c>
      <c r="O222" s="160">
        <f t="array" ref="O222">IFERROR(INDEX(BD!$H$15:$H$1979,MATCH('Tab1'!E222&amp;'Tab1'!$O$11&amp;'Tab1'!$O$12,BD!$F$15:$F$1979&amp;BD!$M$15:$M$1979&amp;BD!$N$15:$N$1979,0)),"")</f>
        <v>0</v>
      </c>
    </row>
    <row r="223" spans="12:15" x14ac:dyDescent="0.25">
      <c r="L223" s="160" t="str">
        <f t="array" ref="L223">IFERROR(INDEX(BD!$H$15:$H$1979,MATCH('Tab1'!E223&amp;'Tab1'!$L$11&amp;'Tab1'!$L$12,BD!$F$15:$F$1979&amp;BD!$M$15:$M$1979&amp;BD!$N$15:$N$1979,0)),"")</f>
        <v/>
      </c>
      <c r="O223" s="160">
        <f t="array" ref="O223">IFERROR(INDEX(BD!$H$15:$H$1979,MATCH('Tab1'!E223&amp;'Tab1'!$O$11&amp;'Tab1'!$O$12,BD!$F$15:$F$1979&amp;BD!$M$15:$M$1979&amp;BD!$N$15:$N$1979,0)),"")</f>
        <v>0</v>
      </c>
    </row>
    <row r="224" spans="12:15" x14ac:dyDescent="0.25">
      <c r="L224" s="160" t="str">
        <f t="array" ref="L224">IFERROR(INDEX(BD!$H$15:$H$1979,MATCH('Tab1'!E224&amp;'Tab1'!$L$11&amp;'Tab1'!$L$12,BD!$F$15:$F$1979&amp;BD!$M$15:$M$1979&amp;BD!$N$15:$N$1979,0)),"")</f>
        <v/>
      </c>
      <c r="O224" s="160">
        <f t="array" ref="O224">IFERROR(INDEX(BD!$H$15:$H$1979,MATCH('Tab1'!E224&amp;'Tab1'!$O$11&amp;'Tab1'!$O$12,BD!$F$15:$F$1979&amp;BD!$M$15:$M$1979&amp;BD!$N$15:$N$1979,0)),"")</f>
        <v>0</v>
      </c>
    </row>
    <row r="225" spans="12:15" x14ac:dyDescent="0.25">
      <c r="L225" s="160" t="str">
        <f t="array" ref="L225">IFERROR(INDEX(BD!$H$15:$H$1979,MATCH('Tab1'!E225&amp;'Tab1'!$L$11&amp;'Tab1'!$L$12,BD!$F$15:$F$1979&amp;BD!$M$15:$M$1979&amp;BD!$N$15:$N$1979,0)),"")</f>
        <v/>
      </c>
      <c r="O225" s="160">
        <f t="array" ref="O225">IFERROR(INDEX(BD!$H$15:$H$1979,MATCH('Tab1'!E225&amp;'Tab1'!$O$11&amp;'Tab1'!$O$12,BD!$F$15:$F$1979&amp;BD!$M$15:$M$1979&amp;BD!$N$15:$N$1979,0)),"")</f>
        <v>0</v>
      </c>
    </row>
    <row r="226" spans="12:15" x14ac:dyDescent="0.25">
      <c r="L226" s="160" t="str">
        <f t="array" ref="L226">IFERROR(INDEX(BD!$H$15:$H$1979,MATCH('Tab1'!E226&amp;'Tab1'!$L$11&amp;'Tab1'!$L$12,BD!$F$15:$F$1979&amp;BD!$M$15:$M$1979&amp;BD!$N$15:$N$1979,0)),"")</f>
        <v/>
      </c>
      <c r="O226" s="160">
        <f t="array" ref="O226">IFERROR(INDEX(BD!$H$15:$H$1979,MATCH('Tab1'!E226&amp;'Tab1'!$O$11&amp;'Tab1'!$O$12,BD!$F$15:$F$1979&amp;BD!$M$15:$M$1979&amp;BD!$N$15:$N$1979,0)),"")</f>
        <v>0</v>
      </c>
    </row>
    <row r="227" spans="12:15" x14ac:dyDescent="0.25">
      <c r="L227" s="160" t="str">
        <f t="array" ref="L227">IFERROR(INDEX(BD!$H$15:$H$1979,MATCH('Tab1'!E227&amp;'Tab1'!$L$11&amp;'Tab1'!$L$12,BD!$F$15:$F$1979&amp;BD!$M$15:$M$1979&amp;BD!$N$15:$N$1979,0)),"")</f>
        <v/>
      </c>
      <c r="O227" s="160">
        <f t="array" ref="O227">IFERROR(INDEX(BD!$H$15:$H$1979,MATCH('Tab1'!E227&amp;'Tab1'!$O$11&amp;'Tab1'!$O$12,BD!$F$15:$F$1979&amp;BD!$M$15:$M$1979&amp;BD!$N$15:$N$1979,0)),"")</f>
        <v>0</v>
      </c>
    </row>
    <row r="228" spans="12:15" x14ac:dyDescent="0.25">
      <c r="L228" s="160" t="str">
        <f t="array" ref="L228">IFERROR(INDEX(BD!$H$15:$H$1979,MATCH('Tab1'!E228&amp;'Tab1'!$L$11&amp;'Tab1'!$L$12,BD!$F$15:$F$1979&amp;BD!$M$15:$M$1979&amp;BD!$N$15:$N$1979,0)),"")</f>
        <v/>
      </c>
      <c r="O228" s="160">
        <f t="array" ref="O228">IFERROR(INDEX(BD!$H$15:$H$1979,MATCH('Tab1'!E228&amp;'Tab1'!$O$11&amp;'Tab1'!$O$12,BD!$F$15:$F$1979&amp;BD!$M$15:$M$1979&amp;BD!$N$15:$N$1979,0)),"")</f>
        <v>0</v>
      </c>
    </row>
    <row r="229" spans="12:15" x14ac:dyDescent="0.25">
      <c r="L229" s="160" t="str">
        <f t="array" ref="L229">IFERROR(INDEX(BD!$H$15:$H$1979,MATCH('Tab1'!E229&amp;'Tab1'!$L$11&amp;'Tab1'!$L$12,BD!$F$15:$F$1979&amp;BD!$M$15:$M$1979&amp;BD!$N$15:$N$1979,0)),"")</f>
        <v/>
      </c>
      <c r="O229" s="160">
        <f t="array" ref="O229">IFERROR(INDEX(BD!$H$15:$H$1979,MATCH('Tab1'!E229&amp;'Tab1'!$O$11&amp;'Tab1'!$O$12,BD!$F$15:$F$1979&amp;BD!$M$15:$M$1979&amp;BD!$N$15:$N$1979,0)),"")</f>
        <v>0</v>
      </c>
    </row>
    <row r="230" spans="12:15" x14ac:dyDescent="0.25">
      <c r="L230" s="160" t="str">
        <f t="array" ref="L230">IFERROR(INDEX(BD!$H$15:$H$1979,MATCH('Tab1'!E230&amp;'Tab1'!$L$11&amp;'Tab1'!$L$12,BD!$F$15:$F$1979&amp;BD!$M$15:$M$1979&amp;BD!$N$15:$N$1979,0)),"")</f>
        <v/>
      </c>
      <c r="O230" s="160">
        <f t="array" ref="O230">IFERROR(INDEX(BD!$H$15:$H$1979,MATCH('Tab1'!E230&amp;'Tab1'!$O$11&amp;'Tab1'!$O$12,BD!$F$15:$F$1979&amp;BD!$M$15:$M$1979&amp;BD!$N$15:$N$1979,0)),"")</f>
        <v>0</v>
      </c>
    </row>
    <row r="231" spans="12:15" x14ac:dyDescent="0.25">
      <c r="L231" s="160" t="str">
        <f t="array" ref="L231">IFERROR(INDEX(BD!$H$15:$H$1979,MATCH('Tab1'!E231&amp;'Tab1'!$L$11&amp;'Tab1'!$L$12,BD!$F$15:$F$1979&amp;BD!$M$15:$M$1979&amp;BD!$N$15:$N$1979,0)),"")</f>
        <v/>
      </c>
      <c r="O231" s="160">
        <f t="array" ref="O231">IFERROR(INDEX(BD!$H$15:$H$1979,MATCH('Tab1'!E231&amp;'Tab1'!$O$11&amp;'Tab1'!$O$12,BD!$F$15:$F$1979&amp;BD!$M$15:$M$1979&amp;BD!$N$15:$N$1979,0)),"")</f>
        <v>0</v>
      </c>
    </row>
    <row r="232" spans="12:15" x14ac:dyDescent="0.25">
      <c r="L232" s="160" t="str">
        <f t="array" ref="L232">IFERROR(INDEX(BD!$H$15:$H$1979,MATCH('Tab1'!E232&amp;'Tab1'!$L$11&amp;'Tab1'!$L$12,BD!$F$15:$F$1979&amp;BD!$M$15:$M$1979&amp;BD!$N$15:$N$1979,0)),"")</f>
        <v/>
      </c>
      <c r="O232" s="160">
        <f t="array" ref="O232">IFERROR(INDEX(BD!$H$15:$H$1979,MATCH('Tab1'!E232&amp;'Tab1'!$O$11&amp;'Tab1'!$O$12,BD!$F$15:$F$1979&amp;BD!$M$15:$M$1979&amp;BD!$N$15:$N$1979,0)),"")</f>
        <v>0</v>
      </c>
    </row>
    <row r="233" spans="12:15" x14ac:dyDescent="0.25">
      <c r="L233" s="160" t="str">
        <f t="array" ref="L233">IFERROR(INDEX(BD!$H$15:$H$1979,MATCH('Tab1'!E233&amp;'Tab1'!$L$11&amp;'Tab1'!$L$12,BD!$F$15:$F$1979&amp;BD!$M$15:$M$1979&amp;BD!$N$15:$N$1979,0)),"")</f>
        <v/>
      </c>
      <c r="O233" s="160">
        <f t="array" ref="O233">IFERROR(INDEX(BD!$H$15:$H$1979,MATCH('Tab1'!E233&amp;'Tab1'!$O$11&amp;'Tab1'!$O$12,BD!$F$15:$F$1979&amp;BD!$M$15:$M$1979&amp;BD!$N$15:$N$1979,0)),"")</f>
        <v>0</v>
      </c>
    </row>
    <row r="234" spans="12:15" x14ac:dyDescent="0.25">
      <c r="L234" s="160" t="str">
        <f t="array" ref="L234">IFERROR(INDEX(BD!$H$15:$H$1979,MATCH('Tab1'!E234&amp;'Tab1'!$L$11&amp;'Tab1'!$L$12,BD!$F$15:$F$1979&amp;BD!$M$15:$M$1979&amp;BD!$N$15:$N$1979,0)),"")</f>
        <v/>
      </c>
      <c r="O234" s="160">
        <f t="array" ref="O234">IFERROR(INDEX(BD!$H$15:$H$1979,MATCH('Tab1'!E234&amp;'Tab1'!$O$11&amp;'Tab1'!$O$12,BD!$F$15:$F$1979&amp;BD!$M$15:$M$1979&amp;BD!$N$15:$N$1979,0)),"")</f>
        <v>0</v>
      </c>
    </row>
    <row r="235" spans="12:15" x14ac:dyDescent="0.25">
      <c r="L235" s="160" t="str">
        <f t="array" ref="L235">IFERROR(INDEX(BD!$H$15:$H$1979,MATCH('Tab1'!E235&amp;'Tab1'!$L$11&amp;'Tab1'!$L$12,BD!$F$15:$F$1979&amp;BD!$M$15:$M$1979&amp;BD!$N$15:$N$1979,0)),"")</f>
        <v/>
      </c>
      <c r="O235" s="160">
        <f t="array" ref="O235">IFERROR(INDEX(BD!$H$15:$H$1979,MATCH('Tab1'!E235&amp;'Tab1'!$O$11&amp;'Tab1'!$O$12,BD!$F$15:$F$1979&amp;BD!$M$15:$M$1979&amp;BD!$N$15:$N$1979,0)),"")</f>
        <v>0</v>
      </c>
    </row>
    <row r="236" spans="12:15" x14ac:dyDescent="0.25">
      <c r="L236" s="160" t="str">
        <f t="array" ref="L236">IFERROR(INDEX(BD!$H$15:$H$1979,MATCH('Tab1'!E236&amp;'Tab1'!$L$11&amp;'Tab1'!$L$12,BD!$F$15:$F$1979&amp;BD!$M$15:$M$1979&amp;BD!$N$15:$N$1979,0)),"")</f>
        <v/>
      </c>
      <c r="O236" s="160">
        <f t="array" ref="O236">IFERROR(INDEX(BD!$H$15:$H$1979,MATCH('Tab1'!E236&amp;'Tab1'!$O$11&amp;'Tab1'!$O$12,BD!$F$15:$F$1979&amp;BD!$M$15:$M$1979&amp;BD!$N$15:$N$1979,0)),"")</f>
        <v>0</v>
      </c>
    </row>
    <row r="237" spans="12:15" x14ac:dyDescent="0.25">
      <c r="L237" s="160" t="str">
        <f t="array" ref="L237">IFERROR(INDEX(BD!$H$15:$H$1979,MATCH('Tab1'!E237&amp;'Tab1'!$L$11&amp;'Tab1'!$L$12,BD!$F$15:$F$1979&amp;BD!$M$15:$M$1979&amp;BD!$N$15:$N$1979,0)),"")</f>
        <v/>
      </c>
      <c r="O237" s="160">
        <f t="array" ref="O237">IFERROR(INDEX(BD!$H$15:$H$1979,MATCH('Tab1'!E237&amp;'Tab1'!$O$11&amp;'Tab1'!$O$12,BD!$F$15:$F$1979&amp;BD!$M$15:$M$1979&amp;BD!$N$15:$N$1979,0)),"")</f>
        <v>0</v>
      </c>
    </row>
    <row r="238" spans="12:15" x14ac:dyDescent="0.25">
      <c r="L238" s="160" t="str">
        <f t="array" ref="L238">IFERROR(INDEX(BD!$H$15:$H$1979,MATCH('Tab1'!E238&amp;'Tab1'!$L$11&amp;'Tab1'!$L$12,BD!$F$15:$F$1979&amp;BD!$M$15:$M$1979&amp;BD!$N$15:$N$1979,0)),"")</f>
        <v/>
      </c>
      <c r="O238" s="160">
        <f t="array" ref="O238">IFERROR(INDEX(BD!$H$15:$H$1979,MATCH('Tab1'!E238&amp;'Tab1'!$O$11&amp;'Tab1'!$O$12,BD!$F$15:$F$1979&amp;BD!$M$15:$M$1979&amp;BD!$N$15:$N$1979,0)),"")</f>
        <v>0</v>
      </c>
    </row>
    <row r="239" spans="12:15" x14ac:dyDescent="0.25">
      <c r="L239" s="160" t="str">
        <f t="array" ref="L239">IFERROR(INDEX(BD!$H$15:$H$1979,MATCH('Tab1'!E239&amp;'Tab1'!$L$11&amp;'Tab1'!$L$12,BD!$F$15:$F$1979&amp;BD!$M$15:$M$1979&amp;BD!$N$15:$N$1979,0)),"")</f>
        <v/>
      </c>
      <c r="O239" s="160">
        <f t="array" ref="O239">IFERROR(INDEX(BD!$H$15:$H$1979,MATCH('Tab1'!E239&amp;'Tab1'!$O$11&amp;'Tab1'!$O$12,BD!$F$15:$F$1979&amp;BD!$M$15:$M$1979&amp;BD!$N$15:$N$1979,0)),"")</f>
        <v>0</v>
      </c>
    </row>
    <row r="240" spans="12:15" x14ac:dyDescent="0.25">
      <c r="L240" s="160" t="str">
        <f t="array" ref="L240">IFERROR(INDEX(BD!$H$15:$H$1979,MATCH('Tab1'!E240&amp;'Tab1'!$L$11&amp;'Tab1'!$L$12,BD!$F$15:$F$1979&amp;BD!$M$15:$M$1979&amp;BD!$N$15:$N$1979,0)),"")</f>
        <v/>
      </c>
      <c r="O240" s="160">
        <f t="array" ref="O240">IFERROR(INDEX(BD!$H$15:$H$1979,MATCH('Tab1'!E240&amp;'Tab1'!$O$11&amp;'Tab1'!$O$12,BD!$F$15:$F$1979&amp;BD!$M$15:$M$1979&amp;BD!$N$15:$N$1979,0)),"")</f>
        <v>0</v>
      </c>
    </row>
    <row r="241" spans="12:15" x14ac:dyDescent="0.25">
      <c r="L241" s="160" t="str">
        <f t="array" ref="L241">IFERROR(INDEX(BD!$H$15:$H$1979,MATCH('Tab1'!E241&amp;'Tab1'!$L$11&amp;'Tab1'!$L$12,BD!$F$15:$F$1979&amp;BD!$M$15:$M$1979&amp;BD!$N$15:$N$1979,0)),"")</f>
        <v/>
      </c>
      <c r="O241" s="160">
        <f t="array" ref="O241">IFERROR(INDEX(BD!$H$15:$H$1979,MATCH('Tab1'!E241&amp;'Tab1'!$O$11&amp;'Tab1'!$O$12,BD!$F$15:$F$1979&amp;BD!$M$15:$M$1979&amp;BD!$N$15:$N$1979,0)),"")</f>
        <v>0</v>
      </c>
    </row>
    <row r="242" spans="12:15" x14ac:dyDescent="0.25">
      <c r="L242" s="160" t="str">
        <f t="array" ref="L242">IFERROR(INDEX(BD!$H$15:$H$1979,MATCH('Tab1'!E242&amp;'Tab1'!$L$11&amp;'Tab1'!$L$12,BD!$F$15:$F$1979&amp;BD!$M$15:$M$1979&amp;BD!$N$15:$N$1979,0)),"")</f>
        <v/>
      </c>
      <c r="O242" s="160">
        <f t="array" ref="O242">IFERROR(INDEX(BD!$H$15:$H$1979,MATCH('Tab1'!E242&amp;'Tab1'!$O$11&amp;'Tab1'!$O$12,BD!$F$15:$F$1979&amp;BD!$M$15:$M$1979&amp;BD!$N$15:$N$1979,0)),"")</f>
        <v>0</v>
      </c>
    </row>
    <row r="243" spans="12:15" x14ac:dyDescent="0.25">
      <c r="L243" s="160" t="str">
        <f t="array" ref="L243">IFERROR(INDEX(BD!$H$15:$H$1979,MATCH('Tab1'!E243&amp;'Tab1'!$L$11&amp;'Tab1'!$L$12,BD!$F$15:$F$1979&amp;BD!$M$15:$M$1979&amp;BD!$N$15:$N$1979,0)),"")</f>
        <v/>
      </c>
      <c r="O243" s="160">
        <f t="array" ref="O243">IFERROR(INDEX(BD!$H$15:$H$1979,MATCH('Tab1'!E243&amp;'Tab1'!$O$11&amp;'Tab1'!$O$12,BD!$F$15:$F$1979&amp;BD!$M$15:$M$1979&amp;BD!$N$15:$N$1979,0)),"")</f>
        <v>0</v>
      </c>
    </row>
    <row r="244" spans="12:15" x14ac:dyDescent="0.25">
      <c r="L244" s="160" t="str">
        <f t="array" ref="L244">IFERROR(INDEX(BD!$H$15:$H$1979,MATCH('Tab1'!E244&amp;'Tab1'!$L$11&amp;'Tab1'!$L$12,BD!$F$15:$F$1979&amp;BD!$M$15:$M$1979&amp;BD!$N$15:$N$1979,0)),"")</f>
        <v/>
      </c>
      <c r="O244" s="160">
        <f t="array" ref="O244">IFERROR(INDEX(BD!$H$15:$H$1979,MATCH('Tab1'!E244&amp;'Tab1'!$O$11&amp;'Tab1'!$O$12,BD!$F$15:$F$1979&amp;BD!$M$15:$M$1979&amp;BD!$N$15:$N$1979,0)),"")</f>
        <v>0</v>
      </c>
    </row>
    <row r="245" spans="12:15" x14ac:dyDescent="0.25">
      <c r="L245" s="160" t="str">
        <f t="array" ref="L245">IFERROR(INDEX(BD!$H$15:$H$1979,MATCH('Tab1'!E245&amp;'Tab1'!$L$11&amp;'Tab1'!$L$12,BD!$F$15:$F$1979&amp;BD!$M$15:$M$1979&amp;BD!$N$15:$N$1979,0)),"")</f>
        <v/>
      </c>
      <c r="O245" s="160">
        <f t="array" ref="O245">IFERROR(INDEX(BD!$H$15:$H$1979,MATCH('Tab1'!E245&amp;'Tab1'!$O$11&amp;'Tab1'!$O$12,BD!$F$15:$F$1979&amp;BD!$M$15:$M$1979&amp;BD!$N$15:$N$1979,0)),"")</f>
        <v>0</v>
      </c>
    </row>
    <row r="246" spans="12:15" x14ac:dyDescent="0.25">
      <c r="L246" s="160" t="str">
        <f t="array" ref="L246">IFERROR(INDEX(BD!$H$15:$H$1979,MATCH('Tab1'!E246&amp;'Tab1'!$L$11&amp;'Tab1'!$L$12,BD!$F$15:$F$1979&amp;BD!$M$15:$M$1979&amp;BD!$N$15:$N$1979,0)),"")</f>
        <v/>
      </c>
      <c r="O246" s="160">
        <f t="array" ref="O246">IFERROR(INDEX(BD!$H$15:$H$1979,MATCH('Tab1'!E246&amp;'Tab1'!$O$11&amp;'Tab1'!$O$12,BD!$F$15:$F$1979&amp;BD!$M$15:$M$1979&amp;BD!$N$15:$N$1979,0)),"")</f>
        <v>0</v>
      </c>
    </row>
    <row r="247" spans="12:15" x14ac:dyDescent="0.25">
      <c r="L247" s="160" t="str">
        <f t="array" ref="L247">IFERROR(INDEX(BD!$H$15:$H$1979,MATCH('Tab1'!E247&amp;'Tab1'!$L$11&amp;'Tab1'!$L$12,BD!$F$15:$F$1979&amp;BD!$M$15:$M$1979&amp;BD!$N$15:$N$1979,0)),"")</f>
        <v/>
      </c>
      <c r="O247" s="160">
        <f t="array" ref="O247">IFERROR(INDEX(BD!$H$15:$H$1979,MATCH('Tab1'!E247&amp;'Tab1'!$O$11&amp;'Tab1'!$O$12,BD!$F$15:$F$1979&amp;BD!$M$15:$M$1979&amp;BD!$N$15:$N$1979,0)),"")</f>
        <v>0</v>
      </c>
    </row>
    <row r="248" spans="12:15" x14ac:dyDescent="0.25">
      <c r="L248" s="160" t="str">
        <f t="array" ref="L248">IFERROR(INDEX(BD!$H$15:$H$1979,MATCH('Tab1'!E248&amp;'Tab1'!$L$11&amp;'Tab1'!$L$12,BD!$F$15:$F$1979&amp;BD!$M$15:$M$1979&amp;BD!$N$15:$N$1979,0)),"")</f>
        <v/>
      </c>
      <c r="O248" s="160">
        <f t="array" ref="O248">IFERROR(INDEX(BD!$H$15:$H$1979,MATCH('Tab1'!E248&amp;'Tab1'!$O$11&amp;'Tab1'!$O$12,BD!$F$15:$F$1979&amp;BD!$M$15:$M$1979&amp;BD!$N$15:$N$1979,0)),"")</f>
        <v>0</v>
      </c>
    </row>
    <row r="249" spans="12:15" x14ac:dyDescent="0.25">
      <c r="L249" s="160" t="str">
        <f t="array" ref="L249">IFERROR(INDEX(BD!$H$15:$H$1979,MATCH('Tab1'!E249&amp;'Tab1'!$L$11&amp;'Tab1'!$L$12,BD!$F$15:$F$1979&amp;BD!$M$15:$M$1979&amp;BD!$N$15:$N$1979,0)),"")</f>
        <v/>
      </c>
      <c r="O249" s="160">
        <f t="array" ref="O249">IFERROR(INDEX(BD!$H$15:$H$1979,MATCH('Tab1'!E249&amp;'Tab1'!$O$11&amp;'Tab1'!$O$12,BD!$F$15:$F$1979&amp;BD!$M$15:$M$1979&amp;BD!$N$15:$N$1979,0)),"")</f>
        <v>0</v>
      </c>
    </row>
    <row r="250" spans="12:15" x14ac:dyDescent="0.25">
      <c r="L250" s="160" t="str">
        <f t="array" ref="L250">IFERROR(INDEX(BD!$H$15:$H$1979,MATCH('Tab1'!E250&amp;'Tab1'!$L$11&amp;'Tab1'!$L$12,BD!$F$15:$F$1979&amp;BD!$M$15:$M$1979&amp;BD!$N$15:$N$1979,0)),"")</f>
        <v/>
      </c>
      <c r="O250" s="160">
        <f t="array" ref="O250">IFERROR(INDEX(BD!$H$15:$H$1979,MATCH('Tab1'!E250&amp;'Tab1'!$O$11&amp;'Tab1'!$O$12,BD!$F$15:$F$1979&amp;BD!$M$15:$M$1979&amp;BD!$N$15:$N$1979,0)),"")</f>
        <v>0</v>
      </c>
    </row>
    <row r="251" spans="12:15" x14ac:dyDescent="0.25">
      <c r="L251" s="160" t="str">
        <f t="array" ref="L251">IFERROR(INDEX(BD!$H$15:$H$1979,MATCH('Tab1'!E251&amp;'Tab1'!$L$11&amp;'Tab1'!$L$12,BD!$F$15:$F$1979&amp;BD!$M$15:$M$1979&amp;BD!$N$15:$N$1979,0)),"")</f>
        <v/>
      </c>
      <c r="O251" s="160">
        <f t="array" ref="O251">IFERROR(INDEX(BD!$H$15:$H$1979,MATCH('Tab1'!E251&amp;'Tab1'!$O$11&amp;'Tab1'!$O$12,BD!$F$15:$F$1979&amp;BD!$M$15:$M$1979&amp;BD!$N$15:$N$1979,0)),"")</f>
        <v>0</v>
      </c>
    </row>
    <row r="252" spans="12:15" x14ac:dyDescent="0.25">
      <c r="L252" s="160" t="str">
        <f t="array" ref="L252">IFERROR(INDEX(BD!$H$15:$H$1979,MATCH('Tab1'!E252&amp;'Tab1'!$L$11&amp;'Tab1'!$L$12,BD!$F$15:$F$1979&amp;BD!$M$15:$M$1979&amp;BD!$N$15:$N$1979,0)),"")</f>
        <v/>
      </c>
      <c r="O252" s="160">
        <f t="array" ref="O252">IFERROR(INDEX(BD!$H$15:$H$1979,MATCH('Tab1'!E252&amp;'Tab1'!$O$11&amp;'Tab1'!$O$12,BD!$F$15:$F$1979&amp;BD!$M$15:$M$1979&amp;BD!$N$15:$N$1979,0)),"")</f>
        <v>0</v>
      </c>
    </row>
    <row r="253" spans="12:15" x14ac:dyDescent="0.25">
      <c r="L253" s="160" t="str">
        <f t="array" ref="L253">IFERROR(INDEX(BD!$H$15:$H$1979,MATCH('Tab1'!E253&amp;'Tab1'!$L$11&amp;'Tab1'!$L$12,BD!$F$15:$F$1979&amp;BD!$M$15:$M$1979&amp;BD!$N$15:$N$1979,0)),"")</f>
        <v/>
      </c>
      <c r="O253" s="160">
        <f t="array" ref="O253">IFERROR(INDEX(BD!$H$15:$H$1979,MATCH('Tab1'!E253&amp;'Tab1'!$O$11&amp;'Tab1'!$O$12,BD!$F$15:$F$1979&amp;BD!$M$15:$M$1979&amp;BD!$N$15:$N$1979,0)),"")</f>
        <v>0</v>
      </c>
    </row>
    <row r="254" spans="12:15" x14ac:dyDescent="0.25">
      <c r="L254" s="160" t="str">
        <f t="array" ref="L254">IFERROR(INDEX(BD!$H$15:$H$1979,MATCH('Tab1'!E254&amp;'Tab1'!$L$11&amp;'Tab1'!$L$12,BD!$F$15:$F$1979&amp;BD!$M$15:$M$1979&amp;BD!$N$15:$N$1979,0)),"")</f>
        <v/>
      </c>
      <c r="O254" s="160">
        <f t="array" ref="O254">IFERROR(INDEX(BD!$H$15:$H$1979,MATCH('Tab1'!E254&amp;'Tab1'!$O$11&amp;'Tab1'!$O$12,BD!$F$15:$F$1979&amp;BD!$M$15:$M$1979&amp;BD!$N$15:$N$1979,0)),"")</f>
        <v>0</v>
      </c>
    </row>
    <row r="255" spans="12:15" x14ac:dyDescent="0.25">
      <c r="L255" s="160" t="str">
        <f t="array" ref="L255">IFERROR(INDEX(BD!$H$15:$H$1979,MATCH('Tab1'!E255&amp;'Tab1'!$L$11&amp;'Tab1'!$L$12,BD!$F$15:$F$1979&amp;BD!$M$15:$M$1979&amp;BD!$N$15:$N$1979,0)),"")</f>
        <v/>
      </c>
      <c r="O255" s="160">
        <f t="array" ref="O255">IFERROR(INDEX(BD!$H$15:$H$1979,MATCH('Tab1'!E255&amp;'Tab1'!$O$11&amp;'Tab1'!$O$12,BD!$F$15:$F$1979&amp;BD!$M$15:$M$1979&amp;BD!$N$15:$N$1979,0)),"")</f>
        <v>0</v>
      </c>
    </row>
    <row r="256" spans="12:15" x14ac:dyDescent="0.25">
      <c r="L256" s="160" t="str">
        <f t="array" ref="L256">IFERROR(INDEX(BD!$H$15:$H$1979,MATCH('Tab1'!E256&amp;'Tab1'!$L$11&amp;'Tab1'!$L$12,BD!$F$15:$F$1979&amp;BD!$M$15:$M$1979&amp;BD!$N$15:$N$1979,0)),"")</f>
        <v/>
      </c>
      <c r="O256" s="160">
        <f t="array" ref="O256">IFERROR(INDEX(BD!$H$15:$H$1979,MATCH('Tab1'!E256&amp;'Tab1'!$O$11&amp;'Tab1'!$O$12,BD!$F$15:$F$1979&amp;BD!$M$15:$M$1979&amp;BD!$N$15:$N$1979,0)),"")</f>
        <v>0</v>
      </c>
    </row>
    <row r="257" spans="12:15" x14ac:dyDescent="0.25">
      <c r="L257" s="160" t="str">
        <f t="array" ref="L257">IFERROR(INDEX(BD!$H$15:$H$1979,MATCH('Tab1'!E257&amp;'Tab1'!$L$11&amp;'Tab1'!$L$12,BD!$F$15:$F$1979&amp;BD!$M$15:$M$1979&amp;BD!$N$15:$N$1979,0)),"")</f>
        <v/>
      </c>
      <c r="O257" s="160">
        <f t="array" ref="O257">IFERROR(INDEX(BD!$H$15:$H$1979,MATCH('Tab1'!E257&amp;'Tab1'!$O$11&amp;'Tab1'!$O$12,BD!$F$15:$F$1979&amp;BD!$M$15:$M$1979&amp;BD!$N$15:$N$1979,0)),"")</f>
        <v>0</v>
      </c>
    </row>
    <row r="258" spans="12:15" x14ac:dyDescent="0.25">
      <c r="L258" s="160" t="str">
        <f t="array" ref="L258">IFERROR(INDEX(BD!$H$15:$H$1979,MATCH('Tab1'!E258&amp;'Tab1'!$L$11&amp;'Tab1'!$L$12,BD!$F$15:$F$1979&amp;BD!$M$15:$M$1979&amp;BD!$N$15:$N$1979,0)),"")</f>
        <v/>
      </c>
      <c r="O258" s="160">
        <f t="array" ref="O258">IFERROR(INDEX(BD!$H$15:$H$1979,MATCH('Tab1'!E258&amp;'Tab1'!$O$11&amp;'Tab1'!$O$12,BD!$F$15:$F$1979&amp;BD!$M$15:$M$1979&amp;BD!$N$15:$N$1979,0)),"")</f>
        <v>0</v>
      </c>
    </row>
    <row r="259" spans="12:15" x14ac:dyDescent="0.25">
      <c r="L259" s="160" t="str">
        <f t="array" ref="L259">IFERROR(INDEX(BD!$H$15:$H$1979,MATCH('Tab1'!E259&amp;'Tab1'!$L$11&amp;'Tab1'!$L$12,BD!$F$15:$F$1979&amp;BD!$M$15:$M$1979&amp;BD!$N$15:$N$1979,0)),"")</f>
        <v/>
      </c>
      <c r="O259" s="160">
        <f t="array" ref="O259">IFERROR(INDEX(BD!$H$15:$H$1979,MATCH('Tab1'!E259&amp;'Tab1'!$O$11&amp;'Tab1'!$O$12,BD!$F$15:$F$1979&amp;BD!$M$15:$M$1979&amp;BD!$N$15:$N$1979,0)),"")</f>
        <v>0</v>
      </c>
    </row>
    <row r="260" spans="12:15" x14ac:dyDescent="0.25">
      <c r="L260" s="160" t="str">
        <f t="array" ref="L260">IFERROR(INDEX(BD!$H$15:$H$1979,MATCH('Tab1'!E260&amp;'Tab1'!$L$11&amp;'Tab1'!$L$12,BD!$F$15:$F$1979&amp;BD!$M$15:$M$1979&amp;BD!$N$15:$N$1979,0)),"")</f>
        <v/>
      </c>
      <c r="O260" s="160">
        <f t="array" ref="O260">IFERROR(INDEX(BD!$H$15:$H$1979,MATCH('Tab1'!E260&amp;'Tab1'!$O$11&amp;'Tab1'!$O$12,BD!$F$15:$F$1979&amp;BD!$M$15:$M$1979&amp;BD!$N$15:$N$1979,0)),"")</f>
        <v>0</v>
      </c>
    </row>
    <row r="261" spans="12:15" x14ac:dyDescent="0.25">
      <c r="L261" s="160" t="str">
        <f t="array" ref="L261">IFERROR(INDEX(BD!$H$15:$H$1979,MATCH('Tab1'!E261&amp;'Tab1'!$L$11&amp;'Tab1'!$L$12,BD!$F$15:$F$1979&amp;BD!$M$15:$M$1979&amp;BD!$N$15:$N$1979,0)),"")</f>
        <v/>
      </c>
      <c r="O261" s="160">
        <f t="array" ref="O261">IFERROR(INDEX(BD!$H$15:$H$1979,MATCH('Tab1'!E261&amp;'Tab1'!$O$11&amp;'Tab1'!$O$12,BD!$F$15:$F$1979&amp;BD!$M$15:$M$1979&amp;BD!$N$15:$N$1979,0)),"")</f>
        <v>0</v>
      </c>
    </row>
    <row r="262" spans="12:15" x14ac:dyDescent="0.25">
      <c r="L262" s="160" t="str">
        <f t="array" ref="L262">IFERROR(INDEX(BD!$H$15:$H$1979,MATCH('Tab1'!E262&amp;'Tab1'!$L$11&amp;'Tab1'!$L$12,BD!$F$15:$F$1979&amp;BD!$M$15:$M$1979&amp;BD!$N$15:$N$1979,0)),"")</f>
        <v/>
      </c>
      <c r="O262" s="160">
        <f t="array" ref="O262">IFERROR(INDEX(BD!$H$15:$H$1979,MATCH('Tab1'!E262&amp;'Tab1'!$O$11&amp;'Tab1'!$O$12,BD!$F$15:$F$1979&amp;BD!$M$15:$M$1979&amp;BD!$N$15:$N$1979,0)),"")</f>
        <v>0</v>
      </c>
    </row>
    <row r="263" spans="12:15" x14ac:dyDescent="0.25">
      <c r="L263" s="160" t="str">
        <f t="array" ref="L263">IFERROR(INDEX(BD!$H$15:$H$1979,MATCH('Tab1'!E263&amp;'Tab1'!$L$11&amp;'Tab1'!$L$12,BD!$F$15:$F$1979&amp;BD!$M$15:$M$1979&amp;BD!$N$15:$N$1979,0)),"")</f>
        <v/>
      </c>
      <c r="O263" s="160">
        <f t="array" ref="O263">IFERROR(INDEX(BD!$H$15:$H$1979,MATCH('Tab1'!E263&amp;'Tab1'!$O$11&amp;'Tab1'!$O$12,BD!$F$15:$F$1979&amp;BD!$M$15:$M$1979&amp;BD!$N$15:$N$1979,0)),"")</f>
        <v>0</v>
      </c>
    </row>
    <row r="264" spans="12:15" x14ac:dyDescent="0.25">
      <c r="L264" s="160" t="str">
        <f t="array" ref="L264">IFERROR(INDEX(BD!$H$15:$H$1979,MATCH('Tab1'!E264&amp;'Tab1'!$L$11&amp;'Tab1'!$L$12,BD!$F$15:$F$1979&amp;BD!$M$15:$M$1979&amp;BD!$N$15:$N$1979,0)),"")</f>
        <v/>
      </c>
      <c r="O264" s="160">
        <f t="array" ref="O264">IFERROR(INDEX(BD!$H$15:$H$1979,MATCH('Tab1'!E264&amp;'Tab1'!$O$11&amp;'Tab1'!$O$12,BD!$F$15:$F$1979&amp;BD!$M$15:$M$1979&amp;BD!$N$15:$N$1979,0)),"")</f>
        <v>0</v>
      </c>
    </row>
    <row r="265" spans="12:15" x14ac:dyDescent="0.25">
      <c r="L265" s="160" t="str">
        <f t="array" ref="L265">IFERROR(INDEX(BD!$H$15:$H$1979,MATCH('Tab1'!E265&amp;'Tab1'!$L$11&amp;'Tab1'!$L$12,BD!$F$15:$F$1979&amp;BD!$M$15:$M$1979&amp;BD!$N$15:$N$1979,0)),"")</f>
        <v/>
      </c>
      <c r="O265" s="160">
        <f t="array" ref="O265">IFERROR(INDEX(BD!$H$15:$H$1979,MATCH('Tab1'!E265&amp;'Tab1'!$O$11&amp;'Tab1'!$O$12,BD!$F$15:$F$1979&amp;BD!$M$15:$M$1979&amp;BD!$N$15:$N$1979,0)),"")</f>
        <v>0</v>
      </c>
    </row>
    <row r="266" spans="12:15" x14ac:dyDescent="0.25">
      <c r="L266" s="160" t="str">
        <f t="array" ref="L266">IFERROR(INDEX(BD!$H$15:$H$1979,MATCH('Tab1'!E266&amp;'Tab1'!$L$11&amp;'Tab1'!$L$12,BD!$F$15:$F$1979&amp;BD!$M$15:$M$1979&amp;BD!$N$15:$N$1979,0)),"")</f>
        <v/>
      </c>
      <c r="O266" s="160">
        <f t="array" ref="O266">IFERROR(INDEX(BD!$H$15:$H$1979,MATCH('Tab1'!E266&amp;'Tab1'!$O$11&amp;'Tab1'!$O$12,BD!$F$15:$F$1979&amp;BD!$M$15:$M$1979&amp;BD!$N$15:$N$1979,0)),"")</f>
        <v>0</v>
      </c>
    </row>
    <row r="267" spans="12:15" x14ac:dyDescent="0.25">
      <c r="L267" s="160" t="str">
        <f t="array" ref="L267">IFERROR(INDEX(BD!$H$15:$H$1979,MATCH('Tab1'!E267&amp;'Tab1'!$L$11&amp;'Tab1'!$L$12,BD!$F$15:$F$1979&amp;BD!$M$15:$M$1979&amp;BD!$N$15:$N$1979,0)),"")</f>
        <v/>
      </c>
      <c r="O267" s="160">
        <f t="array" ref="O267">IFERROR(INDEX(BD!$H$15:$H$1979,MATCH('Tab1'!E267&amp;'Tab1'!$O$11&amp;'Tab1'!$O$12,BD!$F$15:$F$1979&amp;BD!$M$15:$M$1979&amp;BD!$N$15:$N$1979,0)),"")</f>
        <v>0</v>
      </c>
    </row>
    <row r="268" spans="12:15" x14ac:dyDescent="0.25">
      <c r="L268" s="160" t="str">
        <f t="array" ref="L268">IFERROR(INDEX(BD!$H$15:$H$1979,MATCH('Tab1'!E268&amp;'Tab1'!$L$11&amp;'Tab1'!$L$12,BD!$F$15:$F$1979&amp;BD!$M$15:$M$1979&amp;BD!$N$15:$N$1979,0)),"")</f>
        <v/>
      </c>
      <c r="O268" s="160">
        <f t="array" ref="O268">IFERROR(INDEX(BD!$H$15:$H$1979,MATCH('Tab1'!E268&amp;'Tab1'!$O$11&amp;'Tab1'!$O$12,BD!$F$15:$F$1979&amp;BD!$M$15:$M$1979&amp;BD!$N$15:$N$1979,0)),"")</f>
        <v>0</v>
      </c>
    </row>
    <row r="269" spans="12:15" x14ac:dyDescent="0.25">
      <c r="L269" s="160" t="str">
        <f t="array" ref="L269">IFERROR(INDEX(BD!$H$15:$H$1979,MATCH('Tab1'!E269&amp;'Tab1'!$L$11&amp;'Tab1'!$L$12,BD!$F$15:$F$1979&amp;BD!$M$15:$M$1979&amp;BD!$N$15:$N$1979,0)),"")</f>
        <v/>
      </c>
      <c r="O269" s="160">
        <f t="array" ref="O269">IFERROR(INDEX(BD!$H$15:$H$1979,MATCH('Tab1'!E269&amp;'Tab1'!$O$11&amp;'Tab1'!$O$12,BD!$F$15:$F$1979&amp;BD!$M$15:$M$1979&amp;BD!$N$15:$N$1979,0)),"")</f>
        <v>0</v>
      </c>
    </row>
    <row r="270" spans="12:15" x14ac:dyDescent="0.25">
      <c r="L270" s="160" t="str">
        <f t="array" ref="L270">IFERROR(INDEX(BD!$H$15:$H$1979,MATCH('Tab1'!E270&amp;'Tab1'!$L$11&amp;'Tab1'!$L$12,BD!$F$15:$F$1979&amp;BD!$M$15:$M$1979&amp;BD!$N$15:$N$1979,0)),"")</f>
        <v/>
      </c>
      <c r="O270" s="160">
        <f t="array" ref="O270">IFERROR(INDEX(BD!$H$15:$H$1979,MATCH('Tab1'!E270&amp;'Tab1'!$O$11&amp;'Tab1'!$O$12,BD!$F$15:$F$1979&amp;BD!$M$15:$M$1979&amp;BD!$N$15:$N$1979,0)),"")</f>
        <v>0</v>
      </c>
    </row>
    <row r="271" spans="12:15" x14ac:dyDescent="0.25">
      <c r="L271" s="160" t="str">
        <f t="array" ref="L271">IFERROR(INDEX(BD!$H$15:$H$1979,MATCH('Tab1'!E271&amp;'Tab1'!$L$11&amp;'Tab1'!$L$12,BD!$F$15:$F$1979&amp;BD!$M$15:$M$1979&amp;BD!$N$15:$N$1979,0)),"")</f>
        <v/>
      </c>
      <c r="O271" s="160">
        <f t="array" ref="O271">IFERROR(INDEX(BD!$H$15:$H$1979,MATCH('Tab1'!E271&amp;'Tab1'!$O$11&amp;'Tab1'!$O$12,BD!$F$15:$F$1979&amp;BD!$M$15:$M$1979&amp;BD!$N$15:$N$1979,0)),"")</f>
        <v>0</v>
      </c>
    </row>
    <row r="272" spans="12:15" x14ac:dyDescent="0.25">
      <c r="L272" s="160" t="str">
        <f t="array" ref="L272">IFERROR(INDEX(BD!$H$15:$H$1979,MATCH('Tab1'!E272&amp;'Tab1'!$L$11&amp;'Tab1'!$L$12,BD!$F$15:$F$1979&amp;BD!$M$15:$M$1979&amp;BD!$N$15:$N$1979,0)),"")</f>
        <v/>
      </c>
      <c r="O272" s="160">
        <f t="array" ref="O272">IFERROR(INDEX(BD!$H$15:$H$1979,MATCH('Tab1'!E272&amp;'Tab1'!$O$11&amp;'Tab1'!$O$12,BD!$F$15:$F$1979&amp;BD!$M$15:$M$1979&amp;BD!$N$15:$N$1979,0)),"")</f>
        <v>0</v>
      </c>
    </row>
    <row r="273" spans="12:12" x14ac:dyDescent="0.25">
      <c r="L273" s="160" t="str">
        <f t="array" ref="L273">IFERROR(INDEX(BD!$H$15:$H$1979,MATCH('Tab1'!E273&amp;'Tab1'!$L$11&amp;'Tab1'!$L$12,BD!$F$15:$F$1979&amp;BD!$M$15:$M$1979&amp;BD!$N$15:$N$1979,0)),"")</f>
        <v/>
      </c>
    </row>
    <row r="274" spans="12:12" x14ac:dyDescent="0.25">
      <c r="L274" s="160" t="str">
        <f t="array" ref="L274">IFERROR(INDEX(BD!$H$15:$H$1979,MATCH('Tab1'!E274&amp;'Tab1'!$L$11&amp;'Tab1'!$L$12,BD!$F$15:$F$1979&amp;BD!$M$15:$M$1979&amp;BD!$N$15:$N$1979,0)),"")</f>
        <v/>
      </c>
    </row>
    <row r="275" spans="12:12" x14ac:dyDescent="0.25">
      <c r="L275" s="160" t="str">
        <f t="array" ref="L275">IFERROR(INDEX(BD!$H$15:$H$1979,MATCH('Tab1'!E275&amp;'Tab1'!$L$11&amp;'Tab1'!$L$12,BD!$F$15:$F$1979&amp;BD!$M$15:$M$1979&amp;BD!$N$15:$N$1979,0)),"")</f>
        <v/>
      </c>
    </row>
    <row r="276" spans="12:12" x14ac:dyDescent="0.25">
      <c r="L276" s="160" t="str">
        <f t="array" ref="L276">IFERROR(INDEX(BD!$H$15:$H$1979,MATCH('Tab1'!E276&amp;'Tab1'!$L$11&amp;'Tab1'!$L$12,BD!$F$15:$F$1979&amp;BD!$M$15:$M$1979&amp;BD!$N$15:$N$1979,0)),"")</f>
        <v/>
      </c>
    </row>
  </sheetData>
  <mergeCells count="6">
    <mergeCell ref="B50:B53"/>
    <mergeCell ref="F11:H11"/>
    <mergeCell ref="I11:K11"/>
    <mergeCell ref="L11:N11"/>
    <mergeCell ref="O11:Q11"/>
    <mergeCell ref="E11:E12"/>
  </mergeCells>
  <conditionalFormatting sqref="F13:Q13 G14:H79 I14:I92 M14:N79 L14:L276 P14:Q79 J14:K79 F14:F90 O14:O272">
    <cfRule type="cellIs" dxfId="7" priority="3" operator="equal">
      <formula>0</formula>
    </cfRule>
  </conditionalFormatting>
  <conditionalFormatting sqref="E13:Q13 G14:H79 I14:I92 M14:N79 L14:L276 P14:Q79 E14:E79 J14:K79 F14:F90 O14:O272">
    <cfRule type="expression" dxfId="6" priority="2">
      <formula>$E13&lt;&gt;""</formula>
    </cfRule>
  </conditionalFormatting>
  <conditionalFormatting sqref="F36:F37">
    <cfRule type="uniqueValues" dxfId="5" priority="1"/>
  </conditionalFormatting>
  <pageMargins left="0.51181102362204722" right="0.51181102362204722" top="0.78740157480314965" bottom="0.78740157480314965" header="0.31496062992125984" footer="0.31496062992125984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MPRIMIR">
                <anchor moveWithCells="1" sizeWithCells="1">
                  <from>
                    <xdr:col>5</xdr:col>
                    <xdr:colOff>476250</xdr:colOff>
                    <xdr:row>7</xdr:row>
                    <xdr:rowOff>247650</xdr:rowOff>
                  </from>
                  <to>
                    <xdr:col>7</xdr:col>
                    <xdr:colOff>609600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imprimir2">
                <anchor moveWithCells="1" sizeWithCells="1">
                  <from>
                    <xdr:col>4</xdr:col>
                    <xdr:colOff>1457325</xdr:colOff>
                    <xdr:row>7</xdr:row>
                    <xdr:rowOff>247650</xdr:rowOff>
                  </from>
                  <to>
                    <xdr:col>5</xdr:col>
                    <xdr:colOff>371475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IMPRIMIRTUDO">
                <anchor moveWithCells="1" sizeWithCells="1">
                  <from>
                    <xdr:col>3</xdr:col>
                    <xdr:colOff>600075</xdr:colOff>
                    <xdr:row>7</xdr:row>
                    <xdr:rowOff>247650</xdr:rowOff>
                  </from>
                  <to>
                    <xdr:col>4</xdr:col>
                    <xdr:colOff>1362075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3"/>
  <dimension ref="A1:P186"/>
  <sheetViews>
    <sheetView showGridLines="0" showRowColHeaders="0" tabSelected="1" zoomScale="85" zoomScaleNormal="85" workbookViewId="0">
      <selection activeCell="H20" sqref="H20"/>
    </sheetView>
  </sheetViews>
  <sheetFormatPr defaultRowHeight="15" x14ac:dyDescent="0.25"/>
  <cols>
    <col min="1" max="2" width="20.7109375" style="9" customWidth="1"/>
    <col min="4" max="4" width="9.140625" customWidth="1"/>
    <col min="5" max="5" width="36.85546875" customWidth="1"/>
    <col min="6" max="6" width="11.28515625" bestFit="1" customWidth="1"/>
    <col min="7" max="7" width="9.140625" customWidth="1"/>
    <col min="8" max="8" width="11.28515625" bestFit="1" customWidth="1"/>
    <col min="9" max="9" width="9.28515625" bestFit="1" customWidth="1"/>
    <col min="10" max="10" width="9.7109375" bestFit="1" customWidth="1"/>
    <col min="12" max="12" width="33.85546875" bestFit="1" customWidth="1"/>
    <col min="13" max="13" width="34.28515625" customWidth="1"/>
  </cols>
  <sheetData>
    <row r="1" spans="1:16" ht="21" x14ac:dyDescent="0.25">
      <c r="A1" s="29"/>
      <c r="B1" s="29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</row>
    <row r="2" spans="1:16" ht="21" x14ac:dyDescent="0.25">
      <c r="A2" s="29"/>
      <c r="B2" s="29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ht="21" x14ac:dyDescent="0.25">
      <c r="A3" s="29"/>
      <c r="B3" s="29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ht="21" x14ac:dyDescent="0.25">
      <c r="A4" s="29"/>
      <c r="B4" s="29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ht="21" x14ac:dyDescent="0.25">
      <c r="A5" s="29"/>
      <c r="B5" s="29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ht="21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ht="21" x14ac:dyDescent="0.25">
      <c r="A7" s="31"/>
      <c r="B7" s="31"/>
      <c r="C7" s="30"/>
      <c r="D7" s="30"/>
      <c r="E7" s="32" t="s">
        <v>139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ht="21" x14ac:dyDescent="0.25">
      <c r="A8" s="31"/>
      <c r="B8" s="31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ht="21" x14ac:dyDescent="0.25">
      <c r="A9" s="31"/>
      <c r="B9" s="31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ht="21.75" thickBot="1" x14ac:dyDescent="0.3">
      <c r="A10" s="31"/>
      <c r="B10" s="31"/>
      <c r="C10" s="30"/>
      <c r="D10" s="30"/>
      <c r="E10" s="30"/>
      <c r="F10" s="275" t="s">
        <v>113</v>
      </c>
      <c r="G10" s="275"/>
      <c r="H10" s="275"/>
      <c r="I10" s="181" t="s">
        <v>122</v>
      </c>
      <c r="J10" s="181"/>
      <c r="K10" s="30"/>
      <c r="L10" s="30"/>
      <c r="M10" s="30"/>
      <c r="N10" s="30"/>
      <c r="O10" s="30"/>
      <c r="P10" s="30"/>
    </row>
    <row r="11" spans="1:16" ht="21.75" thickBot="1" x14ac:dyDescent="0.3">
      <c r="A11" s="31"/>
      <c r="B11" s="31"/>
      <c r="C11" s="30"/>
      <c r="D11" s="30"/>
      <c r="E11" s="274" t="s">
        <v>119</v>
      </c>
      <c r="F11" s="276" t="s">
        <v>56</v>
      </c>
      <c r="G11" s="277"/>
      <c r="H11" s="277"/>
      <c r="I11" s="278" t="s">
        <v>135</v>
      </c>
      <c r="J11" s="279"/>
      <c r="K11" s="30"/>
      <c r="L11" s="30"/>
      <c r="M11" s="30"/>
      <c r="N11" s="30"/>
      <c r="O11" s="30"/>
      <c r="P11" s="30"/>
    </row>
    <row r="12" spans="1:16" ht="21.75" thickBot="1" x14ac:dyDescent="0.3">
      <c r="A12" s="31"/>
      <c r="B12" s="31"/>
      <c r="C12" s="30"/>
      <c r="D12" s="30"/>
      <c r="E12" s="258"/>
      <c r="F12" s="176" t="s">
        <v>115</v>
      </c>
      <c r="G12" s="177" t="s">
        <v>116</v>
      </c>
      <c r="H12" s="178" t="s">
        <v>117</v>
      </c>
      <c r="I12" s="177" t="s">
        <v>116</v>
      </c>
      <c r="J12" s="179" t="s">
        <v>117</v>
      </c>
      <c r="K12" s="30"/>
      <c r="L12" s="30"/>
      <c r="M12" s="30"/>
      <c r="N12" s="30"/>
      <c r="O12" s="30"/>
      <c r="P12" s="30"/>
    </row>
    <row r="13" spans="1:16" ht="21" x14ac:dyDescent="0.25">
      <c r="A13" s="31"/>
      <c r="B13" s="31"/>
      <c r="C13" s="128" t="str">
        <f>'Cad1'!F14</f>
        <v>Creme Chantty - LITRO</v>
      </c>
      <c r="D13" s="30"/>
      <c r="E13" s="30" t="str">
        <f>IF(C13=0,"",C13)</f>
        <v>Creme Chantty - LITRO</v>
      </c>
      <c r="F13" s="160">
        <f t="array" ref="F13">IFERROR(INDEX('BD2'!$H$15:$H$957,MATCH('Tab2'!E13&amp;'Tab2'!$F$10:$H$10&amp;'Tab2'!$F$12,'BD2'!$F$15:$F$957&amp;'BD2'!$M$15:$M$957&amp;'BD2'!$N$15:$N$957,0)),"")</f>
        <v>14</v>
      </c>
      <c r="G13" s="160" t="str">
        <f t="array" ref="G13">IFERROR(INDEX('BD2'!$Q$15:$Q$957,MATCH('Tab2'!E13&amp;$I$10&amp;$G$12,'BD2'!$F$15:$F$957&amp;'BD2'!$M$15:$M$957&amp;'BD2'!$N$15:$N$957,0)),"")</f>
        <v/>
      </c>
      <c r="H13" s="160">
        <f t="array" ref="H13">IFERROR(INDEX('BD2'!$Q$15:$Q$957,MATCH('Tab2'!E13&amp;$I$10&amp;'Tab2'!$H$12,'BD2'!$F$15:$F$957&amp;'BD2'!$M$15:$M$957&amp;'BD2'!$N$15:$N$957,0)),"")</f>
        <v>15.2</v>
      </c>
      <c r="I13" s="160" t="str">
        <f t="array" ref="I13">IFERROR(INDEX('BD2'!$H$15:$H$957,MATCH('Tab2'!E13&amp;'Tab2'!$I$10&amp;'Tab2'!$I$12,'BD2'!$F$15:$F$957&amp;'BD2'!$M$15:$M$957&amp;'BD2'!$N$15:$N$957,0)),"")</f>
        <v/>
      </c>
      <c r="J13" s="160">
        <f t="array" ref="J13">IFERROR(INDEX('BD2'!$H$15:$H$957,MATCH('Tab2'!E13&amp;'Tab2'!$I$10&amp;'Tab2'!$J$12,'BD2'!$F$15:$F$957&amp;'BD2'!$M$15:$M$957&amp;'BD2'!$N$15:$N$957,0)),"")</f>
        <v>17.5</v>
      </c>
      <c r="K13" s="30"/>
      <c r="L13" s="30"/>
      <c r="M13" s="30"/>
      <c r="N13" s="30"/>
      <c r="O13" s="30"/>
      <c r="P13" s="30"/>
    </row>
    <row r="14" spans="1:16" ht="21" x14ac:dyDescent="0.25">
      <c r="A14" s="31"/>
      <c r="B14" s="31"/>
      <c r="C14" s="128" t="str">
        <f>'Cad1'!F15</f>
        <v>Creme Chantty - MINI</v>
      </c>
      <c r="D14" s="30"/>
      <c r="E14" s="30" t="str">
        <f t="shared" ref="E14:E77" si="0">IF(C14=0,"",C14)</f>
        <v>Creme Chantty - MINI</v>
      </c>
      <c r="F14" s="160">
        <f t="array" ref="F14">IFERROR(INDEX('BD2'!$H$15:$H$957,MATCH('Tab2'!E14&amp;'Tab2'!$F$10:$H$10&amp;'Tab2'!$F$12,'BD2'!$F$15:$F$957&amp;'BD2'!$M$15:$M$957&amp;'BD2'!$N$15:$N$957,0)),"")</f>
        <v>7.5</v>
      </c>
      <c r="G14" s="160" t="str">
        <f t="array" ref="G14">IFERROR(INDEX('BD2'!$Q$15:$Q$957,MATCH('Tab2'!E14&amp;$I$10&amp;$G$12,'BD2'!$F$15:$F$957&amp;'BD2'!$M$15:$M$957&amp;'BD2'!$N$15:$N$957,0)),"")</f>
        <v/>
      </c>
      <c r="H14" s="160">
        <f t="array" ref="H14">IFERROR(INDEX('BD2'!$Q$15:$Q$957,MATCH('Tab2'!E14&amp;$I$10&amp;'Tab2'!$H$12,'BD2'!$F$15:$F$957&amp;'BD2'!$M$15:$M$957&amp;'BD2'!$N$15:$N$957,0)),"")</f>
        <v>8</v>
      </c>
      <c r="I14" s="160" t="str">
        <f t="array" ref="I14">IFERROR(INDEX('BD2'!$H$15:$H$957,MATCH('Tab2'!E14&amp;'Tab2'!$I$10&amp;'Tab2'!$I$12,'BD2'!$F$15:$F$957&amp;'BD2'!$M$15:$M$957&amp;'BD2'!$N$15:$N$957,0)),"")</f>
        <v/>
      </c>
      <c r="J14" s="160">
        <f t="array" ref="J14">IFERROR(INDEX('BD2'!$H$15:$H$957,MATCH('Tab2'!E14&amp;'Tab2'!$I$10&amp;'Tab2'!$J$12,'BD2'!$F$15:$F$957&amp;'BD2'!$M$15:$M$957&amp;'BD2'!$N$15:$N$957,0)),"")</f>
        <v>9</v>
      </c>
      <c r="K14" s="30"/>
      <c r="L14" s="30"/>
      <c r="M14" s="30"/>
      <c r="N14" s="30"/>
      <c r="O14" s="30"/>
      <c r="P14" s="30"/>
    </row>
    <row r="15" spans="1:16" ht="16.5" x14ac:dyDescent="0.25">
      <c r="A15" s="41"/>
      <c r="B15" s="141"/>
      <c r="C15" s="128" t="str">
        <f>'Cad1'!F16</f>
        <v>Creme Molho - LITRO</v>
      </c>
      <c r="D15" s="30"/>
      <c r="E15" s="30" t="str">
        <f t="shared" si="0"/>
        <v>Creme Molho - LITRO</v>
      </c>
      <c r="F15" s="160">
        <f t="array" ref="F15">IFERROR(INDEX('BD2'!$H$15:$H$957,MATCH('Tab2'!E15&amp;'Tab2'!$F$10:$H$10&amp;'Tab2'!$F$12,'BD2'!$F$15:$F$957&amp;'BD2'!$M$15:$M$957&amp;'BD2'!$N$15:$N$957,0)),"")</f>
        <v>13</v>
      </c>
      <c r="G15" s="160" t="str">
        <f t="array" ref="G15">IFERROR(INDEX('BD2'!$Q$15:$Q$957,MATCH('Tab2'!E15&amp;$I$10&amp;$G$12,'BD2'!$F$15:$F$957&amp;'BD2'!$M$15:$M$957&amp;'BD2'!$N$15:$N$957,0)),"")</f>
        <v/>
      </c>
      <c r="H15" s="160">
        <f t="array" ref="H15">IFERROR(INDEX('BD2'!$Q$15:$Q$957,MATCH('Tab2'!E15&amp;$I$10&amp;'Tab2'!$H$12,'BD2'!$F$15:$F$957&amp;'BD2'!$M$15:$M$957&amp;'BD2'!$N$15:$N$957,0)),"")</f>
        <v>14.2</v>
      </c>
      <c r="I15" s="160" t="str">
        <f t="array" ref="I15">IFERROR(INDEX('BD2'!$H$15:$H$957,MATCH('Tab2'!E15&amp;'Tab2'!$I$10&amp;'Tab2'!$I$12,'BD2'!$F$15:$F$957&amp;'BD2'!$M$15:$M$957&amp;'BD2'!$N$15:$N$957,0)),"")</f>
        <v/>
      </c>
      <c r="J15" s="160">
        <f t="array" ref="J15">IFERROR(INDEX('BD2'!$H$15:$H$957,MATCH('Tab2'!E15&amp;'Tab2'!$I$10&amp;'Tab2'!$J$12,'BD2'!$F$15:$F$957&amp;'BD2'!$M$15:$M$957&amp;'BD2'!$N$15:$N$957,0)),"")</f>
        <v>16.5</v>
      </c>
      <c r="K15" s="30"/>
      <c r="L15" s="30"/>
      <c r="M15" s="30"/>
      <c r="N15" s="30"/>
      <c r="O15" s="30"/>
      <c r="P15" s="30"/>
    </row>
    <row r="16" spans="1:16" x14ac:dyDescent="0.25">
      <c r="A16" s="41"/>
      <c r="B16" s="41"/>
      <c r="C16" s="128" t="str">
        <f>'Cad1'!F17</f>
        <v>Creme Chantty - LITRO (Simples Nacional)</v>
      </c>
      <c r="D16" s="30"/>
      <c r="E16" s="30" t="str">
        <f t="shared" si="0"/>
        <v>Creme Chantty - LITRO (Simples Nacional)</v>
      </c>
      <c r="F16" s="160" t="str">
        <f t="array" ref="F16">IFERROR(INDEX('BD2'!$H$15:$H$957,MATCH('Tab2'!E16&amp;'Tab2'!$F$10:$H$10&amp;'Tab2'!$F$12,'BD2'!$F$15:$F$957&amp;'BD2'!$M$15:$M$957&amp;'BD2'!$N$15:$N$957,0)),"")</f>
        <v/>
      </c>
      <c r="G16" s="160" t="str">
        <f t="array" ref="G16">IFERROR(INDEX('BD2'!$Q$15:$Q$957,MATCH('Tab2'!E16&amp;$I$10&amp;$G$12,'BD2'!$F$15:$F$957&amp;'BD2'!$M$15:$M$957&amp;'BD2'!$N$15:$N$957,0)),"")</f>
        <v/>
      </c>
      <c r="H16" s="160">
        <f t="array" ref="H16">IFERROR(INDEX('BD2'!$Q$15:$Q$957,MATCH('Tab2'!E16&amp;$I$10&amp;'Tab2'!$H$12,'BD2'!$F$15:$F$957&amp;'BD2'!$M$15:$M$957&amp;'BD2'!$N$15:$N$957,0)),"")</f>
        <v>16.7</v>
      </c>
      <c r="I16" s="160" t="str">
        <f t="array" ref="I16">IFERROR(INDEX('BD2'!$H$15:$H$957,MATCH('Tab2'!E16&amp;'Tab2'!$I$10&amp;'Tab2'!$I$12,'BD2'!$F$15:$F$957&amp;'BD2'!$M$15:$M$957&amp;'BD2'!$N$15:$N$957,0)),"")</f>
        <v/>
      </c>
      <c r="J16" s="160">
        <f t="array" ref="J16">IFERROR(INDEX('BD2'!$H$15:$H$957,MATCH('Tab2'!E16&amp;'Tab2'!$I$10&amp;'Tab2'!$J$12,'BD2'!$F$15:$F$957&amp;'BD2'!$M$15:$M$957&amp;'BD2'!$N$15:$N$957,0)),"")</f>
        <v>19</v>
      </c>
      <c r="K16" s="30"/>
      <c r="L16" s="30"/>
      <c r="M16" s="30"/>
      <c r="N16" s="30"/>
      <c r="O16" s="30"/>
      <c r="P16" s="30"/>
    </row>
    <row r="17" spans="1:16" x14ac:dyDescent="0.25">
      <c r="A17" s="41"/>
      <c r="B17" s="41"/>
      <c r="C17" s="128" t="str">
        <f>'Cad1'!F18</f>
        <v>Creme Chantty - MINI (Simples Nacional)</v>
      </c>
      <c r="D17" s="30"/>
      <c r="E17" s="30" t="str">
        <f t="shared" si="0"/>
        <v>Creme Chantty - MINI (Simples Nacional)</v>
      </c>
      <c r="F17" s="160" t="str">
        <f t="array" ref="F17">IFERROR(INDEX('BD2'!$H$15:$H$957,MATCH('Tab2'!E17&amp;'Tab2'!$F$10:$H$10&amp;'Tab2'!$F$12,'BD2'!$F$15:$F$957&amp;'BD2'!$M$15:$M$957&amp;'BD2'!$N$15:$N$957,0)),"")</f>
        <v/>
      </c>
      <c r="G17" s="160" t="str">
        <f t="array" ref="G17">IFERROR(INDEX('BD2'!$Q$15:$Q$957,MATCH('Tab2'!E17&amp;$I$10&amp;$G$12,'BD2'!$F$15:$F$957&amp;'BD2'!$M$15:$M$957&amp;'BD2'!$N$15:$N$957,0)),"")</f>
        <v/>
      </c>
      <c r="H17" s="160">
        <f t="array" ref="H17">IFERROR(INDEX('BD2'!$Q$15:$Q$957,MATCH('Tab2'!E17&amp;$I$10&amp;'Tab2'!$H$12,'BD2'!$F$15:$F$957&amp;'BD2'!$M$15:$M$957&amp;'BD2'!$N$15:$N$957,0)),"")</f>
        <v>8.5</v>
      </c>
      <c r="I17" s="160" t="str">
        <f t="array" ref="I17">IFERROR(INDEX('BD2'!$H$15:$H$957,MATCH('Tab2'!E17&amp;'Tab2'!$I$10&amp;'Tab2'!$I$12,'BD2'!$F$15:$F$957&amp;'BD2'!$M$15:$M$957&amp;'BD2'!$N$15:$N$957,0)),"")</f>
        <v/>
      </c>
      <c r="J17" s="160">
        <f t="array" ref="J17">IFERROR(INDEX('BD2'!$H$15:$H$957,MATCH('Tab2'!E17&amp;'Tab2'!$I$10&amp;'Tab2'!$J$12,'BD2'!$F$15:$F$957&amp;'BD2'!$M$15:$M$957&amp;'BD2'!$N$15:$N$957,0)),"")</f>
        <v>9.5</v>
      </c>
      <c r="K17" s="30"/>
      <c r="M17" s="30"/>
      <c r="N17" s="30"/>
      <c r="O17" s="30"/>
      <c r="P17" s="30"/>
    </row>
    <row r="18" spans="1:16" x14ac:dyDescent="0.25">
      <c r="A18" s="41"/>
      <c r="B18" s="41"/>
      <c r="C18" s="128" t="str">
        <f>'Cad1'!F19</f>
        <v>Creme Molho - LITRO (Simples Nacional)</v>
      </c>
      <c r="D18" s="30"/>
      <c r="E18" s="30" t="str">
        <f t="shared" si="0"/>
        <v>Creme Molho - LITRO (Simples Nacional)</v>
      </c>
      <c r="F18" s="160" t="str">
        <f t="array" ref="F18">IFERROR(INDEX('BD2'!$H$15:$H$957,MATCH('Tab2'!E18&amp;'Tab2'!$F$10:$H$10&amp;'Tab2'!$F$12,'BD2'!$F$15:$F$957&amp;'BD2'!$M$15:$M$957&amp;'BD2'!$N$15:$N$957,0)),"")</f>
        <v/>
      </c>
      <c r="G18" s="160" t="str">
        <f t="array" ref="G18">IFERROR(INDEX('BD2'!$Q$15:$Q$957,MATCH('Tab2'!E18&amp;$I$10&amp;$G$12,'BD2'!$F$15:$F$957&amp;'BD2'!$M$15:$M$957&amp;'BD2'!$N$15:$N$957,0)),"")</f>
        <v/>
      </c>
      <c r="H18" s="160">
        <f t="array" ref="H18">IFERROR(INDEX('BD2'!$Q$15:$Q$957,MATCH('Tab2'!E18&amp;$I$10&amp;'Tab2'!$H$12,'BD2'!$F$15:$F$957&amp;'BD2'!$M$15:$M$957&amp;'BD2'!$N$15:$N$957,0)),"")</f>
        <v>15.7</v>
      </c>
      <c r="I18" s="160" t="str">
        <f t="array" ref="I18">IFERROR(INDEX('BD2'!$H$15:$H$957,MATCH('Tab2'!E18&amp;'Tab2'!$I$10&amp;'Tab2'!$I$12,'BD2'!$F$15:$F$957&amp;'BD2'!$M$15:$M$957&amp;'BD2'!$N$15:$N$957,0)),"")</f>
        <v/>
      </c>
      <c r="J18" s="160">
        <f t="array" ref="J18">IFERROR(INDEX('BD2'!$H$15:$H$957,MATCH('Tab2'!E18&amp;'Tab2'!$I$10&amp;'Tab2'!$J$12,'BD2'!$F$15:$F$957&amp;'BD2'!$M$15:$M$957&amp;'BD2'!$N$15:$N$957,0)),"")</f>
        <v>18</v>
      </c>
      <c r="K18" s="30"/>
      <c r="L18" s="30"/>
      <c r="M18" s="30"/>
      <c r="N18" s="30"/>
      <c r="O18" s="30"/>
      <c r="P18" s="30"/>
    </row>
    <row r="19" spans="1:16" x14ac:dyDescent="0.25">
      <c r="A19" s="41"/>
      <c r="B19" s="41"/>
      <c r="C19" s="128" t="str">
        <f>'Cad1'!F20</f>
        <v>Chantilly TP Jundiai - 1L</v>
      </c>
      <c r="D19" s="30"/>
      <c r="E19" s="30" t="str">
        <f t="shared" si="0"/>
        <v>Chantilly TP Jundiai - 1L</v>
      </c>
      <c r="F19" s="160" t="str">
        <f t="array" ref="F19">IFERROR(INDEX('BD2'!$H$15:$H$957,MATCH('Tab2'!E19&amp;'Tab2'!$F$10:$H$10&amp;'Tab2'!$F$12,'BD2'!$F$15:$F$957&amp;'BD2'!$M$15:$M$957&amp;'BD2'!$N$15:$N$957,0)),"")</f>
        <v/>
      </c>
      <c r="G19" s="160"/>
      <c r="H19" s="160"/>
      <c r="I19" s="160"/>
      <c r="J19" s="160"/>
      <c r="K19" s="30"/>
      <c r="L19" s="30"/>
      <c r="M19" s="30"/>
      <c r="N19" s="30"/>
      <c r="O19" s="30"/>
      <c r="P19" s="30"/>
    </row>
    <row r="20" spans="1:16" x14ac:dyDescent="0.25">
      <c r="A20" s="41"/>
      <c r="B20" s="41"/>
      <c r="C20" s="128" t="str">
        <f>'Cad1'!F21</f>
        <v>Creme Culinário TP Jundiai - 1L</v>
      </c>
      <c r="D20" s="30"/>
      <c r="E20" s="30" t="str">
        <f t="shared" si="0"/>
        <v>Creme Culinário TP Jundiai - 1L</v>
      </c>
      <c r="F20" s="160" t="str">
        <f t="array" ref="F20">IFERROR(INDEX('BD2'!$H$15:$H$957,MATCH('Tab2'!E20&amp;'Tab2'!$F$10:$H$10&amp;'Tab2'!$F$12,'BD2'!$F$15:$F$957&amp;'BD2'!$M$15:$M$957&amp;'BD2'!$N$15:$N$957,0)),"")</f>
        <v/>
      </c>
      <c r="G20" s="160"/>
      <c r="H20" s="160"/>
      <c r="I20" s="160"/>
      <c r="J20" s="160"/>
      <c r="K20" s="30"/>
      <c r="L20" s="30"/>
      <c r="M20" s="30"/>
      <c r="N20" s="30"/>
      <c r="O20" s="30"/>
      <c r="P20" s="30"/>
    </row>
    <row r="21" spans="1:16" x14ac:dyDescent="0.25">
      <c r="A21" s="41"/>
      <c r="B21" s="41"/>
      <c r="C21" s="128" t="str">
        <f>'Cad1'!F22</f>
        <v>Chantilly TP Jundiai - 1L (Simples Nacional)</v>
      </c>
      <c r="D21" s="30"/>
      <c r="E21" s="30" t="str">
        <f t="shared" si="0"/>
        <v>Chantilly TP Jundiai - 1L (Simples Nacional)</v>
      </c>
      <c r="F21" s="160" t="str">
        <f t="array" ref="F21">IFERROR(INDEX('BD2'!$H$15:$H$957,MATCH('Tab2'!E21&amp;'Tab2'!$F$10:$H$10&amp;'Tab2'!$F$12,'BD2'!$F$15:$F$957&amp;'BD2'!$M$15:$M$957&amp;'BD2'!$N$15:$N$957,0)),"")</f>
        <v/>
      </c>
      <c r="G21" s="160"/>
      <c r="H21" s="160"/>
      <c r="I21" s="160"/>
      <c r="J21" s="160"/>
      <c r="K21" s="30"/>
      <c r="L21" s="30"/>
      <c r="M21" s="30"/>
      <c r="N21" s="30"/>
      <c r="O21" s="30"/>
      <c r="P21" s="30"/>
    </row>
    <row r="22" spans="1:16" x14ac:dyDescent="0.25">
      <c r="A22" s="41"/>
      <c r="B22" s="41"/>
      <c r="C22" s="128" t="str">
        <f>'Cad1'!F23</f>
        <v>Creme Culinário TP Jundiai - 1L (Simples Nacional)</v>
      </c>
      <c r="D22" s="30"/>
      <c r="E22" s="30" t="str">
        <f t="shared" si="0"/>
        <v>Creme Culinário TP Jundiai - 1L (Simples Nacional)</v>
      </c>
      <c r="F22" s="160" t="str">
        <f t="array" ref="F22">IFERROR(INDEX('BD2'!$H$15:$H$957,MATCH('Tab2'!E22&amp;'Tab2'!$F$10:$H$10&amp;'Tab2'!$F$12,'BD2'!$F$15:$F$957&amp;'BD2'!$M$15:$M$957&amp;'BD2'!$N$15:$N$957,0)),"")</f>
        <v/>
      </c>
      <c r="G22" s="160"/>
      <c r="H22" s="160"/>
      <c r="I22" s="160"/>
      <c r="J22" s="160"/>
      <c r="K22" s="30"/>
      <c r="L22" s="30"/>
      <c r="M22" s="30"/>
      <c r="N22" s="30"/>
      <c r="O22" s="30"/>
      <c r="P22" s="30"/>
    </row>
    <row r="23" spans="1:16" x14ac:dyDescent="0.25">
      <c r="A23" s="41"/>
      <c r="B23" s="41"/>
      <c r="C23" s="128" t="str">
        <f>'Cad1'!F24</f>
        <v>Chantilly TP BRAVO - 1L</v>
      </c>
      <c r="D23" s="30"/>
      <c r="E23" s="30" t="str">
        <f t="shared" si="0"/>
        <v>Chantilly TP BRAVO - 1L</v>
      </c>
      <c r="F23" s="160">
        <f t="array" ref="F23">IFERROR(INDEX('BD2'!$H$15:$H$957,MATCH('Tab2'!E23&amp;'Tab2'!$F$10:$H$10&amp;'Tab2'!$F$12,'BD2'!$F$15:$F$957&amp;'BD2'!$M$15:$M$957&amp;'BD2'!$N$15:$N$957,0)),"")</f>
        <v>14.5</v>
      </c>
      <c r="G23" s="160" t="str">
        <f t="array" ref="G23">IFERROR(INDEX('BD2'!$Q$15:$Q$957,MATCH('Tab2'!E23&amp;$I$10&amp;$G$12,'BD2'!$F$15:$F$957&amp;'BD2'!$M$15:$M$957&amp;'BD2'!$N$15:$N$957,0)),"")</f>
        <v/>
      </c>
      <c r="H23" s="160">
        <f t="array" ref="H23">IFERROR(INDEX('BD2'!$Q$15:$Q$957,MATCH('Tab2'!E23&amp;$I$10&amp;'Tab2'!$H$12,'BD2'!$F$15:$F$957&amp;'BD2'!$M$15:$M$957&amp;'BD2'!$N$15:$N$957,0)),"")</f>
        <v>16</v>
      </c>
      <c r="I23" s="160" t="str">
        <f t="array" ref="I23">IFERROR(INDEX('BD2'!$H$15:$H$957,MATCH('Tab2'!E23&amp;'Tab2'!$I$10&amp;'Tab2'!$I$12,'BD2'!$F$15:$F$957&amp;'BD2'!$M$15:$M$957&amp;'BD2'!$N$15:$N$957,0)),"")</f>
        <v/>
      </c>
      <c r="J23" s="160">
        <f t="array" ref="J23">IFERROR(INDEX('BD2'!$H$15:$H$957,MATCH('Tab2'!E23&amp;'Tab2'!$I$10&amp;'Tab2'!$J$12,'BD2'!$F$15:$F$957&amp;'BD2'!$M$15:$M$957&amp;'BD2'!$N$15:$N$957,0)),"")</f>
        <v>17.5</v>
      </c>
      <c r="K23" s="30"/>
      <c r="L23" s="30"/>
      <c r="M23" s="30"/>
      <c r="N23" s="30"/>
      <c r="O23" s="30"/>
      <c r="P23" s="30"/>
    </row>
    <row r="24" spans="1:16" x14ac:dyDescent="0.25">
      <c r="A24" s="41"/>
      <c r="B24" s="41"/>
      <c r="C24" s="128" t="str">
        <f>'Cad1'!F25</f>
        <v>Creme Culinário TP BRAVO - 1L</v>
      </c>
      <c r="D24" s="30"/>
      <c r="E24" s="30" t="str">
        <f t="shared" si="0"/>
        <v>Creme Culinário TP BRAVO - 1L</v>
      </c>
      <c r="F24" s="160">
        <f t="array" ref="F24">IFERROR(INDEX('BD2'!$H$15:$H$957,MATCH('Tab2'!E24&amp;'Tab2'!$F$10:$H$10&amp;'Tab2'!$F$12,'BD2'!$F$15:$F$957&amp;'BD2'!$M$15:$M$957&amp;'BD2'!$N$15:$N$957,0)),"")</f>
        <v>10</v>
      </c>
      <c r="G24" s="160" t="str">
        <f t="array" ref="G24">IFERROR(INDEX('BD2'!$Q$15:$Q$957,MATCH('Tab2'!E24&amp;$I$10&amp;$G$12,'BD2'!$F$15:$F$957&amp;'BD2'!$M$15:$M$957&amp;'BD2'!$N$15:$N$957,0)),"")</f>
        <v/>
      </c>
      <c r="H24" s="160">
        <f t="array" ref="H24">IFERROR(INDEX('BD2'!$Q$15:$Q$957,MATCH('Tab2'!E24&amp;$I$10&amp;'Tab2'!$H$12,'BD2'!$F$15:$F$957&amp;'BD2'!$M$15:$M$957&amp;'BD2'!$N$15:$N$957,0)),"")</f>
        <v>11</v>
      </c>
      <c r="I24" s="160" t="str">
        <f t="array" ref="I24">IFERROR(INDEX('BD2'!$H$15:$H$957,MATCH('Tab2'!E24&amp;'Tab2'!$I$10&amp;'Tab2'!$I$12,'BD2'!$F$15:$F$957&amp;'BD2'!$M$15:$M$957&amp;'BD2'!$N$15:$N$957,0)),"")</f>
        <v/>
      </c>
      <c r="J24" s="160">
        <f t="array" ref="J24">IFERROR(INDEX('BD2'!$H$15:$H$957,MATCH('Tab2'!E24&amp;'Tab2'!$I$10&amp;'Tab2'!$J$12,'BD2'!$F$15:$F$957&amp;'BD2'!$M$15:$M$957&amp;'BD2'!$N$15:$N$957,0)),"")</f>
        <v>12.5</v>
      </c>
      <c r="K24" s="30"/>
      <c r="L24" s="30"/>
      <c r="M24" s="30"/>
      <c r="N24" s="30"/>
      <c r="O24" s="30"/>
      <c r="P24" s="30"/>
    </row>
    <row r="25" spans="1:16" ht="15" customHeight="1" x14ac:dyDescent="0.25">
      <c r="A25" s="41"/>
      <c r="B25" s="60"/>
      <c r="C25" s="128" t="str">
        <f>'Cad1'!F26</f>
        <v>Chantilly TP BRAVO - 1L (Simples)</v>
      </c>
      <c r="D25" s="30"/>
      <c r="E25" s="30" t="str">
        <f t="shared" si="0"/>
        <v>Chantilly TP BRAVO - 1L (Simples)</v>
      </c>
      <c r="F25" s="160"/>
      <c r="G25" s="160"/>
      <c r="H25" s="160">
        <f t="array" ref="H25">IFERROR(INDEX('BD2'!$Q$15:$Q$957,MATCH('Tab2'!E25&amp;$I$10&amp;'Tab2'!$H$12,'BD2'!$F$15:$F$957&amp;'BD2'!$M$15:$M$957&amp;'BD2'!$N$15:$N$957,0)),"")</f>
        <v>17</v>
      </c>
      <c r="I25" s="160"/>
      <c r="J25" s="160">
        <f t="array" ref="J25">IFERROR(INDEX('BD2'!$H$15:$H$957,MATCH('Tab2'!E25&amp;'Tab2'!$I$10&amp;'Tab2'!$J$12,'BD2'!$F$15:$F$957&amp;'BD2'!$M$15:$M$957&amp;'BD2'!$N$15:$N$957,0)),"")</f>
        <v>18.5</v>
      </c>
      <c r="K25" s="30"/>
      <c r="L25" s="30"/>
      <c r="M25" s="30"/>
      <c r="N25" s="30"/>
      <c r="O25" s="30"/>
      <c r="P25" s="30"/>
    </row>
    <row r="26" spans="1:16" ht="16.5" x14ac:dyDescent="0.25">
      <c r="A26" s="41"/>
      <c r="B26" s="60"/>
      <c r="C26" s="128" t="str">
        <f>'Cad1'!F27</f>
        <v>Creme Culinário TP BRAVO - 1L (Simples)</v>
      </c>
      <c r="D26" s="30"/>
      <c r="E26" s="30" t="str">
        <f t="shared" si="0"/>
        <v>Creme Culinário TP BRAVO - 1L (Simples)</v>
      </c>
      <c r="F26" s="160"/>
      <c r="G26" s="160"/>
      <c r="H26" s="160">
        <f t="array" ref="H26">IFERROR(INDEX('BD2'!$Q$15:$Q$957,MATCH('Tab2'!E26&amp;$I$10&amp;'Tab2'!$H$12,'BD2'!$F$15:$F$957&amp;'BD2'!$M$15:$M$957&amp;'BD2'!$N$15:$N$957,0)),"")</f>
        <v>12</v>
      </c>
      <c r="I26" s="160"/>
      <c r="J26" s="160">
        <f t="array" ref="J26">IFERROR(INDEX('BD2'!$H$15:$H$957,MATCH('Tab2'!E26&amp;'Tab2'!$I$10&amp;'Tab2'!$J$12,'BD2'!$F$15:$F$957&amp;'BD2'!$M$15:$M$957&amp;'BD2'!$N$15:$N$957,0)),"")</f>
        <v>13.5</v>
      </c>
      <c r="K26" s="30"/>
      <c r="L26" s="30"/>
      <c r="M26" s="30"/>
      <c r="N26" s="30"/>
      <c r="O26" s="30"/>
      <c r="P26" s="30"/>
    </row>
    <row r="27" spans="1:16" ht="16.5" x14ac:dyDescent="0.25">
      <c r="A27" s="41"/>
      <c r="B27" s="141"/>
      <c r="C27" s="128" t="str">
        <f>'Cad1'!F28</f>
        <v>Marshmallow 500g</v>
      </c>
      <c r="D27" s="30"/>
      <c r="E27" s="30" t="str">
        <f t="shared" si="0"/>
        <v>Marshmallow 500g</v>
      </c>
      <c r="F27" s="160">
        <f t="array" ref="F27">IFERROR(INDEX('BD2'!$H$15:$H$957,MATCH('Tab2'!E27&amp;'Tab2'!$F$10:$H$10&amp;'Tab2'!$F$12,'BD2'!$F$15:$F$957&amp;'BD2'!$M$15:$M$957&amp;'BD2'!$N$15:$N$957,0)),"")</f>
        <v>10.5</v>
      </c>
      <c r="G27" s="160">
        <f t="array" ref="G27">IFERROR(INDEX('BD2'!$Q$15:$Q$957,MATCH('Tab2'!E27&amp;$I$10&amp;$G$12,'BD2'!$F$15:$F$957&amp;'BD2'!$M$15:$M$957&amp;'BD2'!$N$15:$N$957,0)),"")</f>
        <v>11.5</v>
      </c>
      <c r="H27" s="160">
        <f t="array" ref="H27">IFERROR(INDEX('BD2'!$Q$15:$Q$957,MATCH('Tab2'!E27&amp;$I$10&amp;'Tab2'!$H$12,'BD2'!$F$15:$F$957&amp;'BD2'!$M$15:$M$957&amp;'BD2'!$N$15:$N$957,0)),"")</f>
        <v>12.5</v>
      </c>
      <c r="I27" s="160">
        <f t="array" ref="I27">IFERROR(INDEX('BD2'!$H$15:$H$957,MATCH('Tab2'!E27&amp;'Tab2'!$I$10&amp;'Tab2'!$I$12,'BD2'!$F$15:$F$957&amp;'BD2'!$M$15:$M$957&amp;'BD2'!$N$15:$N$957,0)),"")</f>
        <v>13</v>
      </c>
      <c r="J27" s="160">
        <f t="array" ref="J27">IFERROR(INDEX('BD2'!$H$15:$H$957,MATCH('Tab2'!E27&amp;'Tab2'!$I$10&amp;'Tab2'!$J$12,'BD2'!$F$15:$F$957&amp;'BD2'!$M$15:$M$957&amp;'BD2'!$N$15:$N$957,0)),"")</f>
        <v>14</v>
      </c>
      <c r="K27" s="30"/>
      <c r="L27" s="30"/>
      <c r="M27" s="30"/>
      <c r="N27" s="30"/>
      <c r="O27" s="30"/>
      <c r="P27" s="30"/>
    </row>
    <row r="28" spans="1:16" ht="15" customHeight="1" x14ac:dyDescent="0.25">
      <c r="A28" s="41"/>
      <c r="B28" s="148"/>
      <c r="C28" s="128" t="str">
        <f>'Cad1'!F29</f>
        <v>Marshmallow 1kg</v>
      </c>
      <c r="D28" s="30"/>
      <c r="E28" s="30" t="str">
        <f t="shared" si="0"/>
        <v>Marshmallow 1kg</v>
      </c>
      <c r="F28" s="160">
        <f t="array" ref="F28">IFERROR(INDEX('BD2'!$H$15:$H$957,MATCH('Tab2'!E28&amp;'Tab2'!$F$10:$H$10&amp;'Tab2'!$F$12,'BD2'!$F$15:$F$957&amp;'BD2'!$M$15:$M$957&amp;'BD2'!$N$15:$N$957,0)),"")</f>
        <v>18</v>
      </c>
      <c r="G28" s="160">
        <f t="array" ref="G28">IFERROR(INDEX('BD2'!$Q$15:$Q$957,MATCH('Tab2'!E28&amp;$I$10&amp;$G$12,'BD2'!$F$15:$F$957&amp;'BD2'!$M$15:$M$957&amp;'BD2'!$N$15:$N$957,0)),"")</f>
        <v>20</v>
      </c>
      <c r="H28" s="160">
        <f t="array" ref="H28">IFERROR(INDEX('BD2'!$Q$15:$Q$957,MATCH('Tab2'!E28&amp;$I$10&amp;'Tab2'!$H$12,'BD2'!$F$15:$F$957&amp;'BD2'!$M$15:$M$957&amp;'BD2'!$N$15:$N$957,0)),"")</f>
        <v>22.5</v>
      </c>
      <c r="I28" s="160">
        <f t="array" ref="I28">IFERROR(INDEX('BD2'!$H$15:$H$957,MATCH('Tab2'!E28&amp;'Tab2'!$I$10&amp;'Tab2'!$I$12,'BD2'!$F$15:$F$957&amp;'BD2'!$M$15:$M$957&amp;'BD2'!$N$15:$N$957,0)),"")</f>
        <v>22.5</v>
      </c>
      <c r="J28" s="160">
        <f t="array" ref="J28">IFERROR(INDEX('BD2'!$H$15:$H$957,MATCH('Tab2'!E28&amp;'Tab2'!$I$10&amp;'Tab2'!$J$12,'BD2'!$F$15:$F$957&amp;'BD2'!$M$15:$M$957&amp;'BD2'!$N$15:$N$957,0)),"")</f>
        <v>24.5</v>
      </c>
      <c r="K28" s="30"/>
      <c r="L28" s="30"/>
      <c r="M28" s="30"/>
      <c r="N28" s="30"/>
      <c r="O28" s="30"/>
      <c r="P28" s="30"/>
    </row>
    <row r="29" spans="1:16" x14ac:dyDescent="0.25">
      <c r="A29" s="41"/>
      <c r="B29" s="62"/>
      <c r="C29" s="128" t="str">
        <f>'Cad1'!F31</f>
        <v>Coco Fresco 250g</v>
      </c>
      <c r="D29" s="30"/>
      <c r="E29" s="30" t="str">
        <f t="shared" si="0"/>
        <v>Coco Fresco 250g</v>
      </c>
      <c r="F29" s="160">
        <f t="array" ref="F29">IFERROR(INDEX('BD2'!$H$15:$H$957,MATCH('Tab2'!E29&amp;'Tab2'!$F$10:$H$10&amp;'Tab2'!$F$12,'BD2'!$F$15:$F$957&amp;'BD2'!$M$15:$M$957&amp;'BD2'!$N$15:$N$957,0)),"")</f>
        <v>5.6</v>
      </c>
      <c r="G29" s="160">
        <f t="array" ref="G29">IFERROR(INDEX('BD2'!$Q$15:$Q$957,MATCH('Tab2'!E29&amp;$I$10&amp;$G$12,'BD2'!$F$15:$F$957&amp;'BD2'!$M$15:$M$957&amp;'BD2'!$N$15:$N$957,0)),"")</f>
        <v>5.3</v>
      </c>
      <c r="H29" s="160">
        <f t="array" ref="H29">IFERROR(INDEX('BD2'!$Q$15:$Q$957,MATCH('Tab2'!E29&amp;$I$10&amp;'Tab2'!$H$12,'BD2'!$F$15:$F$957&amp;'BD2'!$M$15:$M$957&amp;'BD2'!$N$15:$N$957,0)),"")</f>
        <v>5.9</v>
      </c>
      <c r="I29" s="160">
        <f t="array" ref="I29">IFERROR(INDEX('BD2'!$H$15:$H$957,MATCH('Tab2'!E29&amp;'Tab2'!$I$10&amp;'Tab2'!$I$12,'BD2'!$F$15:$F$957&amp;'BD2'!$M$15:$M$957&amp;'BD2'!$N$15:$N$957,0)),"")</f>
        <v>6.3</v>
      </c>
      <c r="J29" s="160">
        <f t="array" ref="J29">IFERROR(INDEX('BD2'!$H$15:$H$957,MATCH('Tab2'!E29&amp;'Tab2'!$I$10&amp;'Tab2'!$J$12,'BD2'!$F$15:$F$957&amp;'BD2'!$M$15:$M$957&amp;'BD2'!$N$15:$N$957,0)),"")</f>
        <v>6.9</v>
      </c>
      <c r="K29" s="30"/>
      <c r="L29" s="30"/>
      <c r="M29" s="30"/>
      <c r="N29" s="30"/>
      <c r="O29" s="30"/>
      <c r="P29" s="30"/>
    </row>
    <row r="30" spans="1:16" x14ac:dyDescent="0.25">
      <c r="A30" s="41"/>
      <c r="B30" s="41"/>
      <c r="C30" s="128" t="str">
        <f>'Cad1'!F32</f>
        <v>Coco Fresco 500g</v>
      </c>
      <c r="D30" s="30"/>
      <c r="E30" s="30" t="str">
        <f t="shared" si="0"/>
        <v>Coco Fresco 500g</v>
      </c>
      <c r="F30" s="160">
        <f t="array" ref="F30">IFERROR(INDEX('BD2'!$H$15:$H$957,MATCH('Tab2'!E30&amp;'Tab2'!$F$10:$H$10&amp;'Tab2'!$F$12,'BD2'!$F$15:$F$957&amp;'BD2'!$M$15:$M$957&amp;'BD2'!$N$15:$N$957,0)),"")</f>
        <v>9.5</v>
      </c>
      <c r="G30" s="160">
        <f t="array" ref="G30">IFERROR(INDEX('BD2'!$Q$15:$Q$957,MATCH('Tab2'!E30&amp;$I$10&amp;$G$12,'BD2'!$F$15:$F$957&amp;'BD2'!$M$15:$M$957&amp;'BD2'!$N$15:$N$957,0)),"")</f>
        <v>10</v>
      </c>
      <c r="H30" s="160">
        <f t="array" ref="H30">IFERROR(INDEX('BD2'!$Q$15:$Q$957,MATCH('Tab2'!E30&amp;$I$10&amp;'Tab2'!$H$12,'BD2'!$F$15:$F$957&amp;'BD2'!$M$15:$M$957&amp;'BD2'!$N$15:$N$957,0)),"")</f>
        <v>11</v>
      </c>
      <c r="I30" s="160">
        <f t="array" ref="I30">IFERROR(INDEX('BD2'!$H$15:$H$957,MATCH('Tab2'!E30&amp;'Tab2'!$I$10&amp;'Tab2'!$I$12,'BD2'!$F$15:$F$957&amp;'BD2'!$M$15:$M$957&amp;'BD2'!$N$15:$N$957,0)),"")</f>
        <v>11</v>
      </c>
      <c r="J30" s="160">
        <f t="array" ref="J30">IFERROR(INDEX('BD2'!$H$15:$H$957,MATCH('Tab2'!E30&amp;'Tab2'!$I$10&amp;'Tab2'!$J$12,'BD2'!$F$15:$F$957&amp;'BD2'!$M$15:$M$957&amp;'BD2'!$N$15:$N$957,0)),"")</f>
        <v>12</v>
      </c>
      <c r="K30" s="30"/>
      <c r="L30" s="30"/>
      <c r="M30" s="30"/>
      <c r="N30" s="30"/>
      <c r="O30" s="30"/>
      <c r="P30" s="30"/>
    </row>
    <row r="31" spans="1:16" x14ac:dyDescent="0.25">
      <c r="A31" s="41"/>
      <c r="B31" s="41"/>
      <c r="C31" s="128" t="str">
        <f>'Cad1'!F33</f>
        <v>Coco Fresco 1kg</v>
      </c>
      <c r="D31" s="30"/>
      <c r="E31" s="30" t="str">
        <f t="shared" si="0"/>
        <v>Coco Fresco 1kg</v>
      </c>
      <c r="F31" s="160">
        <f t="array" ref="F31">IFERROR(INDEX('BD2'!$H$15:$H$957,MATCH('Tab2'!E31&amp;'Tab2'!$F$10:$H$10&amp;'Tab2'!$F$12,'BD2'!$F$15:$F$957&amp;'BD2'!$M$15:$M$957&amp;'BD2'!$N$15:$N$957,0)),"")</f>
        <v>18</v>
      </c>
      <c r="G31" s="160">
        <f t="array" ref="G31">IFERROR(INDEX('BD2'!$Q$15:$Q$957,MATCH('Tab2'!E31&amp;$I$10&amp;$G$12,'BD2'!$F$15:$F$957&amp;'BD2'!$M$15:$M$957&amp;'BD2'!$N$15:$N$957,0)),"")</f>
        <v>19</v>
      </c>
      <c r="H31" s="160">
        <f t="array" ref="H31">IFERROR(INDEX('BD2'!$Q$15:$Q$957,MATCH('Tab2'!E31&amp;$I$10&amp;'Tab2'!$H$12,'BD2'!$F$15:$F$957&amp;'BD2'!$M$15:$M$957&amp;'BD2'!$N$15:$N$957,0)),"")</f>
        <v>20.5</v>
      </c>
      <c r="I31" s="160">
        <f t="array" ref="I31">IFERROR(INDEX('BD2'!$H$15:$H$957,MATCH('Tab2'!E31&amp;'Tab2'!$I$10&amp;'Tab2'!$I$12,'BD2'!$F$15:$F$957&amp;'BD2'!$M$15:$M$957&amp;'BD2'!$N$15:$N$957,0)),"")</f>
        <v>20.5</v>
      </c>
      <c r="J31" s="160">
        <f t="array" ref="J31">IFERROR(INDEX('BD2'!$H$15:$H$957,MATCH('Tab2'!E31&amp;'Tab2'!$I$10&amp;'Tab2'!$J$12,'BD2'!$F$15:$F$957&amp;'BD2'!$M$15:$M$957&amp;'BD2'!$N$15:$N$957,0)),"")</f>
        <v>22</v>
      </c>
      <c r="K31" s="30"/>
      <c r="L31" s="30"/>
      <c r="M31" s="30"/>
      <c r="N31" s="30"/>
      <c r="O31" s="30"/>
      <c r="P31" s="30"/>
    </row>
    <row r="32" spans="1:16" x14ac:dyDescent="0.25">
      <c r="A32" s="41"/>
      <c r="B32" s="41"/>
      <c r="C32" s="128" t="str">
        <f>'Cad1'!F34</f>
        <v>Coco Fresco FITA 1kg</v>
      </c>
      <c r="D32" s="30"/>
      <c r="E32" s="30" t="str">
        <f t="shared" si="0"/>
        <v>Coco Fresco FITA 1kg</v>
      </c>
      <c r="F32" s="160" t="str">
        <f t="array" ref="F32">IFERROR(INDEX('BD2'!$H$15:$H$957,MATCH('Tab2'!E32&amp;'Tab2'!$F$10:$H$10&amp;'Tab2'!$F$12,'BD2'!$F$15:$F$957&amp;'BD2'!$M$15:$M$957&amp;'BD2'!$N$15:$N$957,0)),"")</f>
        <v/>
      </c>
      <c r="G32" s="160" t="str">
        <f t="array" ref="G32">IFERROR(INDEX('BD2'!$Q$15:$Q$957,MATCH('Tab2'!E32&amp;$I$10&amp;$G$12,'BD2'!$F$15:$F$957&amp;'BD2'!$M$15:$M$957&amp;'BD2'!$N$15:$N$957,0)),"")</f>
        <v/>
      </c>
      <c r="H32" s="160" t="str">
        <f t="array" ref="H32">IFERROR(INDEX('BD2'!$Q$15:$Q$957,MATCH('Tab2'!E32&amp;$I$10&amp;'Tab2'!$H$12,'BD2'!$F$15:$F$957&amp;'BD2'!$M$15:$M$957&amp;'BD2'!$N$15:$N$957,0)),"")</f>
        <v/>
      </c>
      <c r="I32" s="160" t="str">
        <f t="array" ref="I32">IFERROR(INDEX('BD2'!$H$15:$H$957,MATCH('Tab2'!E32&amp;'Tab2'!$I$10&amp;'Tab2'!$I$12,'BD2'!$F$15:$F$957&amp;'BD2'!$M$15:$M$957&amp;'BD2'!$N$15:$N$957,0)),"")</f>
        <v/>
      </c>
      <c r="J32" s="160" t="str">
        <f t="array" ref="J32">IFERROR(INDEX('BD2'!$H$15:$H$957,MATCH('Tab2'!E32&amp;'Tab2'!$I$10&amp;'Tab2'!$J$12,'BD2'!$F$15:$F$957&amp;'BD2'!$M$15:$M$957&amp;'BD2'!$N$15:$N$957,0)),"")</f>
        <v/>
      </c>
      <c r="K32" s="30"/>
      <c r="L32" s="30"/>
      <c r="M32" s="30"/>
      <c r="N32" s="30"/>
      <c r="O32" s="30"/>
      <c r="P32" s="30"/>
    </row>
    <row r="33" spans="1:16" x14ac:dyDescent="0.25">
      <c r="A33" s="41"/>
      <c r="B33" s="41"/>
      <c r="C33" s="128" t="str">
        <f>'Cad1'!F35</f>
        <v>Coco Seco Fino 500g</v>
      </c>
      <c r="D33" s="30"/>
      <c r="E33" s="30" t="str">
        <f t="shared" si="0"/>
        <v>Coco Seco Fino 500g</v>
      </c>
      <c r="F33" s="160">
        <f t="array" ref="F33">IFERROR(INDEX('BD2'!$H$15:$H$957,MATCH('Tab2'!E33&amp;'Tab2'!$F$10:$H$10&amp;'Tab2'!$F$12,'BD2'!$F$15:$F$957&amp;'BD2'!$M$15:$M$957&amp;'BD2'!$N$15:$N$957,0)),"")</f>
        <v>10</v>
      </c>
      <c r="G33" s="160" t="str">
        <f t="array" ref="G33">IFERROR(INDEX('BD2'!$Q$15:$Q$957,MATCH('Tab2'!E33&amp;$I$10&amp;$G$12,'BD2'!$F$15:$F$957&amp;'BD2'!$M$15:$M$957&amp;'BD2'!$N$15:$N$957,0)),"")</f>
        <v/>
      </c>
      <c r="H33" s="160">
        <f t="array" ref="H33">IFERROR(INDEX('BD2'!$Q$15:$Q$957,MATCH('Tab2'!E33&amp;$I$10&amp;'Tab2'!$H$12,'BD2'!$F$15:$F$957&amp;'BD2'!$M$15:$M$957&amp;'BD2'!$N$15:$N$957,0)),"")</f>
        <v>11</v>
      </c>
      <c r="I33" s="160" t="str">
        <f t="array" ref="I33">IFERROR(INDEX('BD2'!$H$15:$H$957,MATCH('Tab2'!E33&amp;'Tab2'!$I$10&amp;'Tab2'!$I$12,'BD2'!$F$15:$F$957&amp;'BD2'!$M$15:$M$957&amp;'BD2'!$N$15:$N$957,0)),"")</f>
        <v/>
      </c>
      <c r="J33" s="160">
        <f t="array" ref="J33">IFERROR(INDEX('BD2'!$H$15:$H$957,MATCH('Tab2'!E33&amp;'Tab2'!$I$10&amp;'Tab2'!$J$12,'BD2'!$F$15:$F$957&amp;'BD2'!$M$15:$M$957&amp;'BD2'!$N$15:$N$957,0)),"")</f>
        <v>12</v>
      </c>
      <c r="K33" s="30"/>
      <c r="L33" s="30"/>
      <c r="M33" s="30"/>
      <c r="N33" s="30"/>
      <c r="O33" s="30"/>
      <c r="P33" s="30"/>
    </row>
    <row r="34" spans="1:16" x14ac:dyDescent="0.25">
      <c r="A34" s="41"/>
      <c r="B34" s="41"/>
      <c r="C34" s="128" t="str">
        <f>'Cad1'!F36</f>
        <v>Coco Seco Flocos 500g</v>
      </c>
      <c r="D34" s="30"/>
      <c r="E34" s="30" t="str">
        <f t="shared" si="0"/>
        <v>Coco Seco Flocos 500g</v>
      </c>
      <c r="F34" s="160">
        <f t="array" ref="F34">IFERROR(INDEX('BD2'!$H$15:$H$957,MATCH('Tab2'!E34&amp;'Tab2'!$F$10:$H$10&amp;'Tab2'!$F$12,'BD2'!$F$15:$F$957&amp;'BD2'!$M$15:$M$957&amp;'BD2'!$N$15:$N$957,0)),"")</f>
        <v>18</v>
      </c>
      <c r="G34" s="160" t="str">
        <f t="array" ref="G34">IFERROR(INDEX('BD2'!$Q$15:$Q$957,MATCH('Tab2'!E34&amp;$I$10&amp;$G$12,'BD2'!$F$15:$F$957&amp;'BD2'!$M$15:$M$957&amp;'BD2'!$N$15:$N$957,0)),"")</f>
        <v/>
      </c>
      <c r="H34" s="160">
        <f t="array" ref="H34">IFERROR(INDEX('BD2'!$Q$15:$Q$957,MATCH('Tab2'!E34&amp;$I$10&amp;'Tab2'!$H$12,'BD2'!$F$15:$F$957&amp;'BD2'!$M$15:$M$957&amp;'BD2'!$N$15:$N$957,0)),"")</f>
        <v>19</v>
      </c>
      <c r="I34" s="160" t="str">
        <f t="array" ref="I34">IFERROR(INDEX('BD2'!$H$15:$H$957,MATCH('Tab2'!E34&amp;'Tab2'!$I$10&amp;'Tab2'!$I$12,'BD2'!$F$15:$F$957&amp;'BD2'!$M$15:$M$957&amp;'BD2'!$N$15:$N$957,0)),"")</f>
        <v/>
      </c>
      <c r="J34" s="160">
        <f t="array" ref="J34">IFERROR(INDEX('BD2'!$H$15:$H$957,MATCH('Tab2'!E34&amp;'Tab2'!$I$10&amp;'Tab2'!$J$12,'BD2'!$F$15:$F$957&amp;'BD2'!$M$15:$M$957&amp;'BD2'!$N$15:$N$957,0)),"")</f>
        <v>20</v>
      </c>
      <c r="K34" s="30"/>
      <c r="L34" s="30"/>
      <c r="M34" s="30"/>
      <c r="N34" s="30"/>
      <c r="O34" s="30"/>
      <c r="P34" s="30"/>
    </row>
    <row r="35" spans="1:16" x14ac:dyDescent="0.25">
      <c r="A35" s="41"/>
      <c r="B35" s="41"/>
      <c r="C35" s="128" t="str">
        <f>'Cad1'!F37</f>
        <v>Coco Seco Flocos 5kg</v>
      </c>
      <c r="D35" s="30"/>
      <c r="E35" s="30" t="str">
        <f t="shared" si="0"/>
        <v>Coco Seco Flocos 5kg</v>
      </c>
      <c r="F35" s="160">
        <f t="array" ref="F35">IFERROR(INDEX('BD2'!$H$15:$H$957,MATCH('Tab2'!E35&amp;'Tab2'!$F$10:$H$10&amp;'Tab2'!$F$12,'BD2'!$F$15:$F$957&amp;'BD2'!$M$15:$M$957&amp;'BD2'!$N$15:$N$957,0)),"")</f>
        <v>150</v>
      </c>
      <c r="G35" s="160" t="str">
        <f t="array" ref="G35">IFERROR(INDEX('BD2'!$Q$15:$Q$957,MATCH('Tab2'!E35&amp;$I$10&amp;$G$12,'BD2'!$F$15:$F$957&amp;'BD2'!$M$15:$M$957&amp;'BD2'!$N$15:$N$957,0)),"")</f>
        <v/>
      </c>
      <c r="H35" s="160">
        <f t="array" ref="H35">IFERROR(INDEX('BD2'!$Q$15:$Q$957,MATCH('Tab2'!E35&amp;$I$10&amp;'Tab2'!$H$12,'BD2'!$F$15:$F$957&amp;'BD2'!$M$15:$M$957&amp;'BD2'!$N$15:$N$957,0)),"")</f>
        <v>155</v>
      </c>
      <c r="I35" s="160" t="str">
        <f t="array" ref="I35">IFERROR(INDEX('BD2'!$H$15:$H$957,MATCH('Tab2'!E35&amp;'Tab2'!$I$10&amp;'Tab2'!$I$12,'BD2'!$F$15:$F$957&amp;'BD2'!$M$15:$M$957&amp;'BD2'!$N$15:$N$957,0)),"")</f>
        <v/>
      </c>
      <c r="J35" s="160">
        <f t="array" ref="J35">IFERROR(INDEX('BD2'!$H$15:$H$957,MATCH('Tab2'!E35&amp;'Tab2'!$I$10&amp;'Tab2'!$J$12,'BD2'!$F$15:$F$957&amp;'BD2'!$M$15:$M$957&amp;'BD2'!$N$15:$N$957,0)),"")</f>
        <v>160</v>
      </c>
      <c r="K35" s="30"/>
      <c r="L35" s="30"/>
      <c r="M35" s="30"/>
      <c r="N35" s="30"/>
      <c r="O35" s="30"/>
      <c r="P35" s="30"/>
    </row>
    <row r="36" spans="1:16" x14ac:dyDescent="0.25">
      <c r="A36" s="41"/>
      <c r="B36" s="41"/>
      <c r="C36" s="128" t="str">
        <f>'Cad1'!F38</f>
        <v>Saco Confeitar P (50 Unid)</v>
      </c>
      <c r="D36" s="30"/>
      <c r="E36" s="30" t="str">
        <f t="shared" si="0"/>
        <v>Saco Confeitar P (50 Unid)</v>
      </c>
      <c r="F36" s="160">
        <f t="array" ref="F36">IFERROR(INDEX('BD2'!$H$15:$H$957,MATCH('Tab2'!E36&amp;'Tab2'!$F$10:$H$10&amp;'Tab2'!$F$12,'BD2'!$F$15:$F$957&amp;'BD2'!$M$15:$M$957&amp;'BD2'!$N$15:$N$957,0)),"")</f>
        <v>16.5</v>
      </c>
      <c r="G36" s="160" t="str">
        <f t="array" ref="G36">IFERROR(INDEX('BD2'!$Q$15:$Q$957,MATCH('Tab2'!E36&amp;$I$10&amp;$G$12,'BD2'!$F$15:$F$957&amp;'BD2'!$M$15:$M$957&amp;'BD2'!$N$15:$N$957,0)),"")</f>
        <v/>
      </c>
      <c r="H36" s="160">
        <f t="array" ref="H36">IFERROR(INDEX('BD2'!$Q$15:$Q$957,MATCH('Tab2'!E36&amp;$I$10&amp;'Tab2'!$H$12,'BD2'!$F$15:$F$957&amp;'BD2'!$M$15:$M$957&amp;'BD2'!$N$15:$N$957,0)),"")</f>
        <v>19.5</v>
      </c>
      <c r="I36" s="160" t="str">
        <f t="array" ref="I36">IFERROR(INDEX('BD2'!$H$15:$H$957,MATCH('Tab2'!E36&amp;'Tab2'!$I$10&amp;'Tab2'!$I$12,'BD2'!$F$15:$F$957&amp;'BD2'!$M$15:$M$957&amp;'BD2'!$N$15:$N$957,0)),"")</f>
        <v/>
      </c>
      <c r="J36" s="160">
        <f t="array" ref="J36">IFERROR(INDEX('BD2'!$H$15:$H$957,MATCH('Tab2'!E36&amp;'Tab2'!$I$10&amp;'Tab2'!$J$12,'BD2'!$F$15:$F$957&amp;'BD2'!$M$15:$M$957&amp;'BD2'!$N$15:$N$957,0)),"")</f>
        <v>22.5</v>
      </c>
      <c r="K36" s="30"/>
      <c r="L36" s="30"/>
      <c r="M36" s="30"/>
      <c r="N36" s="30"/>
      <c r="O36" s="30"/>
      <c r="P36" s="30"/>
    </row>
    <row r="37" spans="1:16" x14ac:dyDescent="0.25">
      <c r="A37" s="41"/>
      <c r="B37" s="41"/>
      <c r="C37" s="128" t="str">
        <f>'Cad1'!F39</f>
        <v>Saco Confeitar M (50 Unid)</v>
      </c>
      <c r="D37" s="30"/>
      <c r="E37" s="30" t="str">
        <f t="shared" si="0"/>
        <v>Saco Confeitar M (50 Unid)</v>
      </c>
      <c r="F37" s="160">
        <f t="array" ref="F37">IFERROR(INDEX('BD2'!$H$15:$H$957,MATCH('Tab2'!E37&amp;'Tab2'!$F$10:$H$10&amp;'Tab2'!$F$12,'BD2'!$F$15:$F$957&amp;'BD2'!$M$15:$M$957&amp;'BD2'!$N$15:$N$957,0)),"")</f>
        <v>17.5</v>
      </c>
      <c r="G37" s="160" t="str">
        <f t="array" ref="G37">IFERROR(INDEX('BD2'!$Q$15:$Q$957,MATCH('Tab2'!E37&amp;$I$10&amp;$G$12,'BD2'!$F$15:$F$957&amp;'BD2'!$M$15:$M$957&amp;'BD2'!$N$15:$N$957,0)),"")</f>
        <v/>
      </c>
      <c r="H37" s="160">
        <f t="array" ref="H37">IFERROR(INDEX('BD2'!$Q$15:$Q$957,MATCH('Tab2'!E37&amp;$I$10&amp;'Tab2'!$H$12,'BD2'!$F$15:$F$957&amp;'BD2'!$M$15:$M$957&amp;'BD2'!$N$15:$N$957,0)),"")</f>
        <v>21</v>
      </c>
      <c r="I37" s="160" t="str">
        <f t="array" ref="I37">IFERROR(INDEX('BD2'!$H$15:$H$957,MATCH('Tab2'!E37&amp;'Tab2'!$I$10&amp;'Tab2'!$I$12,'BD2'!$F$15:$F$957&amp;'BD2'!$M$15:$M$957&amp;'BD2'!$N$15:$N$957,0)),"")</f>
        <v/>
      </c>
      <c r="J37" s="160">
        <f t="array" ref="J37">IFERROR(INDEX('BD2'!$H$15:$H$957,MATCH('Tab2'!E37&amp;'Tab2'!$I$10&amp;'Tab2'!$J$12,'BD2'!$F$15:$F$957&amp;'BD2'!$M$15:$M$957&amp;'BD2'!$N$15:$N$957,0)),"")</f>
        <v>24</v>
      </c>
      <c r="K37" s="30"/>
      <c r="L37" s="30"/>
      <c r="M37" s="30"/>
      <c r="N37" s="30"/>
      <c r="O37" s="30"/>
      <c r="P37" s="30"/>
    </row>
    <row r="38" spans="1:16" x14ac:dyDescent="0.25">
      <c r="A38" s="41"/>
      <c r="B38" s="41"/>
      <c r="C38" s="128" t="str">
        <f>'Cad1'!F40</f>
        <v>Saco Confeitar G (50 Unid)</v>
      </c>
      <c r="D38" s="30"/>
      <c r="E38" s="30" t="str">
        <f t="shared" si="0"/>
        <v>Saco Confeitar G (50 Unid)</v>
      </c>
      <c r="F38" s="160">
        <f t="array" ref="F38">IFERROR(INDEX('BD2'!$H$15:$H$957,MATCH('Tab2'!E38&amp;'Tab2'!$F$10:$H$10&amp;'Tab2'!$F$12,'BD2'!$F$15:$F$957&amp;'BD2'!$M$15:$M$957&amp;'BD2'!$N$15:$N$957,0)),"")</f>
        <v>19</v>
      </c>
      <c r="G38" s="160" t="str">
        <f t="array" ref="G38">IFERROR(INDEX('BD2'!$Q$15:$Q$957,MATCH('Tab2'!E38&amp;$I$10&amp;$G$12,'BD2'!$F$15:$F$957&amp;'BD2'!$M$15:$M$957&amp;'BD2'!$N$15:$N$957,0)),"")</f>
        <v/>
      </c>
      <c r="H38" s="160">
        <f t="array" ref="H38">IFERROR(INDEX('BD2'!$Q$15:$Q$957,MATCH('Tab2'!E38&amp;$I$10&amp;'Tab2'!$H$12,'BD2'!$F$15:$F$957&amp;'BD2'!$M$15:$M$957&amp;'BD2'!$N$15:$N$957,0)),"")</f>
        <v>23.5</v>
      </c>
      <c r="I38" s="160" t="str">
        <f t="array" ref="I38">IFERROR(INDEX('BD2'!$H$15:$H$957,MATCH('Tab2'!E38&amp;'Tab2'!$I$10&amp;'Tab2'!$I$12,'BD2'!$F$15:$F$957&amp;'BD2'!$M$15:$M$957&amp;'BD2'!$N$15:$N$957,0)),"")</f>
        <v/>
      </c>
      <c r="J38" s="160">
        <f t="array" ref="J38">IFERROR(INDEX('BD2'!$H$15:$H$957,MATCH('Tab2'!E38&amp;'Tab2'!$I$10&amp;'Tab2'!$J$12,'BD2'!$F$15:$F$957&amp;'BD2'!$M$15:$M$957&amp;'BD2'!$N$15:$N$957,0)),"")</f>
        <v>26.5</v>
      </c>
      <c r="K38" s="30"/>
      <c r="L38" s="30"/>
      <c r="M38" s="30"/>
      <c r="N38" s="30"/>
      <c r="O38" s="30"/>
      <c r="P38" s="30"/>
    </row>
    <row r="39" spans="1:16" x14ac:dyDescent="0.25">
      <c r="A39" s="41"/>
      <c r="B39" s="41"/>
      <c r="C39" s="128" t="str">
        <f>'Cad1'!F41</f>
        <v>Massa folhada 500g</v>
      </c>
      <c r="D39" s="30"/>
      <c r="E39" s="30" t="str">
        <f t="shared" si="0"/>
        <v>Massa folhada 500g</v>
      </c>
      <c r="F39" s="160">
        <f t="array" ref="F39">IFERROR(INDEX('BD2'!$H$15:$H$957,MATCH('Tab2'!E39&amp;'Tab2'!$F$10:$H$10&amp;'Tab2'!$F$12,'BD2'!$F$15:$F$957&amp;'BD2'!$M$15:$M$957&amp;'BD2'!$N$15:$N$957,0)),"")</f>
        <v>15</v>
      </c>
      <c r="G39" s="160">
        <f t="array" ref="G39">IFERROR(INDEX('BD2'!$Q$15:$Q$957,MATCH('Tab2'!E39&amp;$I$10&amp;$G$12,'BD2'!$F$15:$F$957&amp;'BD2'!$M$15:$M$957&amp;'BD2'!$N$15:$N$957,0)),"")</f>
        <v>16</v>
      </c>
      <c r="H39" s="160">
        <f t="array" ref="H39">IFERROR(INDEX('BD2'!$Q$15:$Q$957,MATCH('Tab2'!E39&amp;$I$10&amp;'Tab2'!$H$12,'BD2'!$F$15:$F$957&amp;'BD2'!$M$15:$M$957&amp;'BD2'!$N$15:$N$957,0)),"")</f>
        <v>17</v>
      </c>
      <c r="I39" s="160">
        <f t="array" ref="I39">IFERROR(INDEX('BD2'!$H$15:$H$957,MATCH('Tab2'!E39&amp;'Tab2'!$I$10&amp;'Tab2'!$I$12,'BD2'!$F$15:$F$957&amp;'BD2'!$M$15:$M$957&amp;'BD2'!$N$15:$N$957,0)),"")</f>
        <v>17</v>
      </c>
      <c r="J39" s="160">
        <f t="array" ref="J39">IFERROR(INDEX('BD2'!$H$15:$H$957,MATCH('Tab2'!E39&amp;'Tab2'!$I$10&amp;'Tab2'!$J$12,'BD2'!$F$15:$F$957&amp;'BD2'!$M$15:$M$957&amp;'BD2'!$N$15:$N$957,0)),"")</f>
        <v>18</v>
      </c>
      <c r="K39" s="30"/>
      <c r="L39" s="30"/>
      <c r="M39" s="30"/>
      <c r="N39" s="30"/>
      <c r="O39" s="30"/>
      <c r="P39" s="30"/>
    </row>
    <row r="40" spans="1:16" x14ac:dyDescent="0.25">
      <c r="A40" s="41"/>
      <c r="B40" s="41"/>
      <c r="C40" s="128" t="str">
        <f>'Cad1'!F42</f>
        <v>Massa folhada 1kg</v>
      </c>
      <c r="D40" s="30"/>
      <c r="E40" s="30" t="str">
        <f t="shared" si="0"/>
        <v>Massa folhada 1kg</v>
      </c>
      <c r="F40" s="160">
        <f t="array" ref="F40">IFERROR(INDEX('BD2'!$H$15:$H$957,MATCH('Tab2'!E40&amp;'Tab2'!$F$10:$H$10&amp;'Tab2'!$F$12,'BD2'!$F$15:$F$957&amp;'BD2'!$M$15:$M$957&amp;'BD2'!$N$15:$N$957,0)),"")</f>
        <v>24</v>
      </c>
      <c r="G40" s="160">
        <f t="array" ref="G40">IFERROR(INDEX('BD2'!$Q$15:$Q$957,MATCH('Tab2'!E40&amp;$I$10&amp;$G$12,'BD2'!$F$15:$F$957&amp;'BD2'!$M$15:$M$957&amp;'BD2'!$N$15:$N$957,0)),"")</f>
        <v>26</v>
      </c>
      <c r="H40" s="160">
        <f t="array" ref="H40">IFERROR(INDEX('BD2'!$Q$15:$Q$957,MATCH('Tab2'!E40&amp;$I$10&amp;'Tab2'!$H$12,'BD2'!$F$15:$F$957&amp;'BD2'!$M$15:$M$957&amp;'BD2'!$N$15:$N$957,0)),"")</f>
        <v>27</v>
      </c>
      <c r="I40" s="160">
        <f t="array" ref="I40">IFERROR(INDEX('BD2'!$H$15:$H$957,MATCH('Tab2'!E40&amp;'Tab2'!$I$10&amp;'Tab2'!$I$12,'BD2'!$F$15:$F$957&amp;'BD2'!$M$15:$M$957&amp;'BD2'!$N$15:$N$957,0)),"")</f>
        <v>28</v>
      </c>
      <c r="J40" s="160">
        <f t="array" ref="J40">IFERROR(INDEX('BD2'!$H$15:$H$957,MATCH('Tab2'!E40&amp;'Tab2'!$I$10&amp;'Tab2'!$J$12,'BD2'!$F$15:$F$957&amp;'BD2'!$M$15:$M$957&amp;'BD2'!$N$15:$N$957,0)),"")</f>
        <v>29</v>
      </c>
      <c r="K40" s="30"/>
      <c r="L40" s="30"/>
      <c r="M40" s="30"/>
      <c r="N40" s="30"/>
      <c r="O40" s="30"/>
      <c r="P40" s="30"/>
    </row>
    <row r="41" spans="1:16" x14ac:dyDescent="0.25">
      <c r="A41" s="41"/>
      <c r="B41" s="41"/>
      <c r="C41" s="128" t="str">
        <f>'Cad1'!F43</f>
        <v>Massa folhada 2.2kg</v>
      </c>
      <c r="D41" s="30"/>
      <c r="E41" s="30" t="str">
        <f t="shared" si="0"/>
        <v>Massa folhada 2.2kg</v>
      </c>
      <c r="F41" s="160">
        <f t="array" ref="F41">IFERROR(INDEX('BD2'!$H$15:$H$957,MATCH('Tab2'!E41&amp;'Tab2'!$F$10:$H$10&amp;'Tab2'!$F$12,'BD2'!$F$15:$F$957&amp;'BD2'!$M$15:$M$957&amp;'BD2'!$N$15:$N$957,0)),"")</f>
        <v>48</v>
      </c>
      <c r="G41" s="160">
        <f t="array" ref="G41">IFERROR(INDEX('BD2'!$Q$15:$Q$957,MATCH('Tab2'!E41&amp;$I$10&amp;$G$12,'BD2'!$F$15:$F$957&amp;'BD2'!$M$15:$M$957&amp;'BD2'!$N$15:$N$957,0)),"")</f>
        <v>49</v>
      </c>
      <c r="H41" s="160">
        <f t="array" ref="H41">IFERROR(INDEX('BD2'!$Q$15:$Q$957,MATCH('Tab2'!E41&amp;$I$10&amp;'Tab2'!$H$12,'BD2'!$F$15:$F$957&amp;'BD2'!$M$15:$M$957&amp;'BD2'!$N$15:$N$957,0)),"")</f>
        <v>54</v>
      </c>
      <c r="I41" s="160">
        <f t="array" ref="I41">IFERROR(INDEX('BD2'!$H$15:$H$957,MATCH('Tab2'!E41&amp;'Tab2'!$I$10&amp;'Tab2'!$I$12,'BD2'!$F$15:$F$957&amp;'BD2'!$M$15:$M$957&amp;'BD2'!$N$15:$N$957,0)),"")</f>
        <v>54</v>
      </c>
      <c r="J41" s="160">
        <f t="array" ref="J41">IFERROR(INDEX('BD2'!$H$15:$H$957,MATCH('Tab2'!E41&amp;'Tab2'!$I$10&amp;'Tab2'!$J$12,'BD2'!$F$15:$F$957&amp;'BD2'!$M$15:$M$957&amp;'BD2'!$N$15:$N$957,0)),"")</f>
        <v>59</v>
      </c>
      <c r="K41" s="30"/>
      <c r="L41" s="30"/>
      <c r="M41" s="30"/>
      <c r="N41" s="30"/>
      <c r="O41" s="30"/>
      <c r="P41" s="30"/>
    </row>
    <row r="42" spans="1:16" x14ac:dyDescent="0.25">
      <c r="A42" s="41"/>
      <c r="B42" s="41"/>
      <c r="C42" s="128" t="str">
        <f>'Cad1'!F44</f>
        <v>Massa Semi folhada 2kg</v>
      </c>
      <c r="D42" s="30"/>
      <c r="E42" s="30" t="str">
        <f t="shared" si="0"/>
        <v>Massa Semi folhada 2kg</v>
      </c>
      <c r="F42" s="160">
        <f t="array" ref="F42">IFERROR(INDEX('BD2'!$H$15:$H$957,MATCH('Tab2'!E42&amp;'Tab2'!$F$10:$H$10&amp;'Tab2'!$F$12,'BD2'!$F$15:$F$957&amp;'BD2'!$M$15:$M$957&amp;'BD2'!$N$15:$N$957,0)),"")</f>
        <v>44</v>
      </c>
      <c r="G42" s="160">
        <f t="array" ref="G42">IFERROR(INDEX('BD2'!$Q$15:$Q$957,MATCH('Tab2'!E42&amp;$I$10&amp;$G$12,'BD2'!$F$15:$F$957&amp;'BD2'!$M$15:$M$957&amp;'BD2'!$N$15:$N$957,0)),"")</f>
        <v>48</v>
      </c>
      <c r="H42" s="160">
        <f t="array" ref="H42">IFERROR(INDEX('BD2'!$Q$15:$Q$957,MATCH('Tab2'!E42&amp;$I$10&amp;'Tab2'!$H$12,'BD2'!$F$15:$F$957&amp;'BD2'!$M$15:$M$957&amp;'BD2'!$N$15:$N$957,0)),"")</f>
        <v>52</v>
      </c>
      <c r="I42" s="160">
        <f t="array" ref="I42">IFERROR(INDEX('BD2'!$H$15:$H$957,MATCH('Tab2'!E42&amp;'Tab2'!$I$10&amp;'Tab2'!$I$12,'BD2'!$F$15:$F$957&amp;'BD2'!$M$15:$M$957&amp;'BD2'!$N$15:$N$957,0)),"")</f>
        <v>53</v>
      </c>
      <c r="J42" s="160">
        <f t="array" ref="J42">IFERROR(INDEX('BD2'!$H$15:$H$957,MATCH('Tab2'!E42&amp;'Tab2'!$I$10&amp;'Tab2'!$J$12,'BD2'!$F$15:$F$957&amp;'BD2'!$M$15:$M$957&amp;'BD2'!$N$15:$N$957,0)),"")</f>
        <v>57</v>
      </c>
      <c r="K42" s="30"/>
      <c r="L42" s="30"/>
      <c r="M42" s="30"/>
      <c r="N42" s="30"/>
      <c r="O42" s="30"/>
      <c r="P42" s="30"/>
    </row>
    <row r="43" spans="1:16" ht="16.5" x14ac:dyDescent="0.25">
      <c r="A43" s="41"/>
      <c r="B43" s="60"/>
      <c r="C43" s="128" t="str">
        <f>'Cad1'!F45</f>
        <v>OVOS TP 1L</v>
      </c>
      <c r="D43" s="30"/>
      <c r="E43" s="30" t="str">
        <f t="shared" si="0"/>
        <v>OVOS TP 1L</v>
      </c>
      <c r="F43" s="160" t="str">
        <f t="array" ref="F43">IFERROR(INDEX('BD2'!$H$15:$H$957,MATCH('Tab2'!E43&amp;'Tab2'!$F$10:$H$10&amp;'Tab2'!$F$12,'BD2'!$F$15:$F$957&amp;'BD2'!$M$15:$M$957&amp;'BD2'!$N$15:$N$957,0)),"")</f>
        <v/>
      </c>
      <c r="G43" s="160" t="str">
        <f t="array" ref="G43">IFERROR(INDEX('BD2'!$Q$15:$Q$957,MATCH('Tab2'!E43&amp;$I$10&amp;$G$12,'BD2'!$F$15:$F$957&amp;'BD2'!$M$15:$M$957&amp;'BD2'!$N$15:$N$957,0)),"")</f>
        <v/>
      </c>
      <c r="H43" s="160">
        <f t="array" ref="H43">IFERROR(INDEX('BD2'!$Q$15:$Q$957,MATCH('Tab2'!E43&amp;$I$10&amp;'Tab2'!$H$12,'BD2'!$F$15:$F$957&amp;'BD2'!$M$15:$M$957&amp;'BD2'!$N$15:$N$957,0)),"")</f>
        <v>18.5</v>
      </c>
      <c r="I43" s="160" t="str">
        <f t="array" ref="I43">IFERROR(INDEX('BD2'!$H$15:$H$957,MATCH('Tab2'!E43&amp;'Tab2'!$I$10&amp;'Tab2'!$I$12,'BD2'!$F$15:$F$957&amp;'BD2'!$M$15:$M$957&amp;'BD2'!$N$15:$N$957,0)),"")</f>
        <v/>
      </c>
      <c r="J43" s="160">
        <f t="array" ref="J43">IFERROR(INDEX('BD2'!$H$15:$H$957,MATCH('Tab2'!E43&amp;'Tab2'!$I$10&amp;'Tab2'!$J$12,'BD2'!$F$15:$F$957&amp;'BD2'!$M$15:$M$957&amp;'BD2'!$N$15:$N$957,0)),"")</f>
        <v>20</v>
      </c>
      <c r="K43" s="30"/>
      <c r="L43" s="30"/>
      <c r="M43" s="30"/>
      <c r="N43" s="30"/>
      <c r="O43" s="30"/>
      <c r="P43" s="30"/>
    </row>
    <row r="44" spans="1:16" ht="19.5" x14ac:dyDescent="0.25">
      <c r="A44" s="41"/>
      <c r="B44" s="61"/>
      <c r="C44" s="128" t="str">
        <f>'Cad1'!F46</f>
        <v>GEMA TP 1L</v>
      </c>
      <c r="D44" s="30"/>
      <c r="E44" s="30" t="str">
        <f t="shared" si="0"/>
        <v>GEMA TP 1L</v>
      </c>
      <c r="F44" s="160" t="str">
        <f t="array" ref="F44">IFERROR(INDEX('BD2'!$H$15:$H$957,MATCH('Tab2'!E44&amp;'Tab2'!$F$10:$H$10&amp;'Tab2'!$F$12,'BD2'!$F$15:$F$957&amp;'BD2'!$M$15:$M$957&amp;'BD2'!$N$15:$N$957,0)),"")</f>
        <v/>
      </c>
      <c r="G44" s="160" t="str">
        <f t="array" ref="G44">IFERROR(INDEX('BD2'!$Q$15:$Q$957,MATCH('Tab2'!E44&amp;$I$10&amp;$G$12,'BD2'!$F$15:$F$957&amp;'BD2'!$M$15:$M$957&amp;'BD2'!$N$15:$N$957,0)),"")</f>
        <v/>
      </c>
      <c r="H44" s="160">
        <f t="array" ref="H44">IFERROR(INDEX('BD2'!$Q$15:$Q$957,MATCH('Tab2'!E44&amp;$I$10&amp;'Tab2'!$H$12,'BD2'!$F$15:$F$957&amp;'BD2'!$M$15:$M$957&amp;'BD2'!$N$15:$N$957,0)),"")</f>
        <v>33.5</v>
      </c>
      <c r="I44" s="160" t="str">
        <f t="array" ref="I44">IFERROR(INDEX('BD2'!$H$15:$H$957,MATCH('Tab2'!E44&amp;'Tab2'!$I$10&amp;'Tab2'!$I$12,'BD2'!$F$15:$F$957&amp;'BD2'!$M$15:$M$957&amp;'BD2'!$N$15:$N$957,0)),"")</f>
        <v/>
      </c>
      <c r="J44" s="160">
        <f t="array" ref="J44">IFERROR(INDEX('BD2'!$H$15:$H$957,MATCH('Tab2'!E44&amp;'Tab2'!$I$10&amp;'Tab2'!$J$12,'BD2'!$F$15:$F$957&amp;'BD2'!$M$15:$M$957&amp;'BD2'!$N$15:$N$957,0)),"")</f>
        <v>35</v>
      </c>
      <c r="K44" s="30"/>
      <c r="L44" s="30"/>
      <c r="M44" s="30"/>
      <c r="N44" s="30"/>
      <c r="O44" s="30"/>
      <c r="P44" s="30"/>
    </row>
    <row r="45" spans="1:16" ht="19.5" x14ac:dyDescent="0.25">
      <c r="A45" s="41"/>
      <c r="B45" s="61"/>
      <c r="C45" s="128" t="str">
        <f>'Cad1'!F47</f>
        <v>CLARA TP 1L</v>
      </c>
      <c r="D45" s="30"/>
      <c r="E45" s="30" t="str">
        <f t="shared" si="0"/>
        <v>CLARA TP 1L</v>
      </c>
      <c r="F45" s="160" t="str">
        <f t="array" ref="F45">IFERROR(INDEX('BD2'!$H$15:$H$957,MATCH('Tab2'!E45&amp;'Tab2'!$F$10:$H$10&amp;'Tab2'!$F$12,'BD2'!$F$15:$F$957&amp;'BD2'!$M$15:$M$957&amp;'BD2'!$N$15:$N$957,0)),"")</f>
        <v/>
      </c>
      <c r="G45" s="160" t="str">
        <f t="array" ref="G45">IFERROR(INDEX('BD2'!$Q$15:$Q$957,MATCH('Tab2'!E45&amp;$I$10&amp;$G$12,'BD2'!$F$15:$F$957&amp;'BD2'!$M$15:$M$957&amp;'BD2'!$N$15:$N$957,0)),"")</f>
        <v/>
      </c>
      <c r="H45" s="160">
        <f t="array" ref="H45">IFERROR(INDEX('BD2'!$Q$15:$Q$957,MATCH('Tab2'!E45&amp;$I$10&amp;'Tab2'!$H$12,'BD2'!$F$15:$F$957&amp;'BD2'!$M$15:$M$957&amp;'BD2'!$N$15:$N$957,0)),"")</f>
        <v>14.5</v>
      </c>
      <c r="I45" s="160" t="str">
        <f t="array" ref="I45">IFERROR(INDEX('BD2'!$H$15:$H$957,MATCH('Tab2'!E45&amp;'Tab2'!$I$10&amp;'Tab2'!$I$12,'BD2'!$F$15:$F$957&amp;'BD2'!$M$15:$M$957&amp;'BD2'!$N$15:$N$957,0)),"")</f>
        <v/>
      </c>
      <c r="J45" s="160">
        <f t="array" ref="J45">IFERROR(INDEX('BD2'!$H$15:$H$957,MATCH('Tab2'!E45&amp;'Tab2'!$I$10&amp;'Tab2'!$J$12,'BD2'!$F$15:$F$957&amp;'BD2'!$M$15:$M$957&amp;'BD2'!$N$15:$N$957,0)),"")</f>
        <v>16</v>
      </c>
      <c r="K45" s="30"/>
      <c r="L45" s="30"/>
      <c r="M45" s="30"/>
      <c r="N45" s="30"/>
      <c r="O45" s="30"/>
      <c r="P45" s="30"/>
    </row>
    <row r="46" spans="1:16" x14ac:dyDescent="0.25">
      <c r="A46" s="41"/>
      <c r="B46" s="62"/>
      <c r="C46" s="128" t="str">
        <f>'Cad1'!F48</f>
        <v>Pão de queijo Tradicional</v>
      </c>
      <c r="D46" s="30"/>
      <c r="E46" s="30" t="str">
        <f t="shared" si="0"/>
        <v>Pão de queijo Tradicional</v>
      </c>
      <c r="F46" s="160">
        <f t="array" ref="F46">IFERROR(INDEX('BD2'!$H$15:$H$957,MATCH('Tab2'!E46&amp;'Tab2'!$F$10:$H$10&amp;'Tab2'!$F$12,'BD2'!$F$15:$F$957&amp;'BD2'!$M$15:$M$957&amp;'BD2'!$N$15:$N$957,0)),"")</f>
        <v>17</v>
      </c>
      <c r="G46" s="160">
        <f t="array" ref="G46">IFERROR(INDEX('BD2'!$Q$15:$Q$957,MATCH('Tab2'!E46&amp;$I$10&amp;$G$12,'BD2'!$F$15:$F$957&amp;'BD2'!$M$15:$M$957&amp;'BD2'!$N$15:$N$957,0)),"")</f>
        <v>18</v>
      </c>
      <c r="H46" s="160">
        <f t="array" ref="H46">IFERROR(INDEX('BD2'!$Q$15:$Q$957,MATCH('Tab2'!E46&amp;$I$10&amp;'Tab2'!$H$12,'BD2'!$F$15:$F$957&amp;'BD2'!$M$15:$M$957&amp;'BD2'!$N$15:$N$957,0)),"")</f>
        <v>20.5</v>
      </c>
      <c r="I46" s="160">
        <f t="array" ref="I46">IFERROR(INDEX('BD2'!$H$15:$H$957,MATCH('Tab2'!E46&amp;'Tab2'!$I$10&amp;'Tab2'!$I$12,'BD2'!$F$15:$F$957&amp;'BD2'!$M$15:$M$957&amp;'BD2'!$N$15:$N$957,0)),"")</f>
        <v>19.5</v>
      </c>
      <c r="J46" s="160">
        <f t="array" ref="J46">IFERROR(INDEX('BD2'!$H$15:$H$957,MATCH('Tab2'!E46&amp;'Tab2'!$I$10&amp;'Tab2'!$J$12,'BD2'!$F$15:$F$957&amp;'BD2'!$M$15:$M$957&amp;'BD2'!$N$15:$N$957,0)),"")</f>
        <v>22</v>
      </c>
      <c r="K46" s="30"/>
      <c r="L46" s="30"/>
      <c r="M46" s="30"/>
      <c r="N46" s="30"/>
      <c r="O46" s="30"/>
      <c r="P46" s="30"/>
    </row>
    <row r="47" spans="1:16" x14ac:dyDescent="0.25">
      <c r="A47" s="41"/>
      <c r="B47" s="41"/>
      <c r="C47" s="128" t="str">
        <f>'Cad1'!F49</f>
        <v>Pão de queijo Recheado</v>
      </c>
      <c r="D47" s="30"/>
      <c r="E47" s="30" t="str">
        <f t="shared" si="0"/>
        <v>Pão de queijo Recheado</v>
      </c>
      <c r="F47" s="160">
        <f t="array" ref="F47">IFERROR(INDEX('BD2'!$H$15:$H$957,MATCH('Tab2'!E47&amp;'Tab2'!$F$10:$H$10&amp;'Tab2'!$F$12,'BD2'!$F$15:$F$957&amp;'BD2'!$M$15:$M$957&amp;'BD2'!$N$15:$N$957,0)),"")</f>
        <v>23.5</v>
      </c>
      <c r="G47" s="160">
        <f t="array" ref="G47">IFERROR(INDEX('BD2'!$Q$15:$Q$957,MATCH('Tab2'!E47&amp;$I$10&amp;$G$12,'BD2'!$F$15:$F$957&amp;'BD2'!$M$15:$M$957&amp;'BD2'!$N$15:$N$957,0)),"")</f>
        <v>25</v>
      </c>
      <c r="H47" s="160">
        <f t="array" ref="H47">IFERROR(INDEX('BD2'!$Q$15:$Q$957,MATCH('Tab2'!E47&amp;$I$10&amp;'Tab2'!$H$12,'BD2'!$F$15:$F$957&amp;'BD2'!$M$15:$M$957&amp;'BD2'!$N$15:$N$957,0)),"")</f>
        <v>28.5</v>
      </c>
      <c r="I47" s="160">
        <f t="array" ref="I47">IFERROR(INDEX('BD2'!$H$15:$H$957,MATCH('Tab2'!E47&amp;'Tab2'!$I$10&amp;'Tab2'!$I$12,'BD2'!$F$15:$F$957&amp;'BD2'!$M$15:$M$957&amp;'BD2'!$N$15:$N$957,0)),"")</f>
        <v>26.5</v>
      </c>
      <c r="J47" s="160">
        <f t="array" ref="J47">IFERROR(INDEX('BD2'!$H$15:$H$957,MATCH('Tab2'!E47&amp;'Tab2'!$I$10&amp;'Tab2'!$J$12,'BD2'!$F$15:$F$957&amp;'BD2'!$M$15:$M$957&amp;'BD2'!$N$15:$N$957,0)),"")</f>
        <v>30</v>
      </c>
      <c r="K47" s="30"/>
      <c r="L47" s="30"/>
      <c r="M47" s="30"/>
      <c r="N47" s="30"/>
      <c r="O47" s="30"/>
      <c r="P47" s="30"/>
    </row>
    <row r="48" spans="1:16" x14ac:dyDescent="0.25">
      <c r="A48" s="41"/>
      <c r="B48" s="41"/>
      <c r="C48" s="128" t="str">
        <f>'Cad1'!F50</f>
        <v>Abacaxi Congelado 500g</v>
      </c>
      <c r="D48" s="30"/>
      <c r="E48" s="30" t="str">
        <f t="shared" si="0"/>
        <v>Abacaxi Congelado 500g</v>
      </c>
      <c r="F48" s="160"/>
      <c r="G48" s="160"/>
      <c r="H48" s="160"/>
      <c r="I48" s="160"/>
      <c r="J48" s="160"/>
      <c r="K48" s="30"/>
      <c r="L48" s="30"/>
      <c r="M48" s="30"/>
      <c r="N48" s="30"/>
      <c r="O48" s="30"/>
      <c r="P48" s="30"/>
    </row>
    <row r="49" spans="1:16" x14ac:dyDescent="0.25">
      <c r="A49" s="41"/>
      <c r="B49" s="41"/>
      <c r="C49" s="128" t="str">
        <f>'Cad1'!F51</f>
        <v>Morango Congelado 500g</v>
      </c>
      <c r="D49" s="30"/>
      <c r="E49" s="30" t="str">
        <f t="shared" si="0"/>
        <v>Morango Congelado 500g</v>
      </c>
      <c r="F49" s="160"/>
      <c r="G49" s="160"/>
      <c r="H49" s="160"/>
      <c r="I49" s="160"/>
      <c r="J49" s="160"/>
      <c r="K49" s="30"/>
      <c r="L49" s="30"/>
      <c r="M49" s="30"/>
      <c r="N49" s="30"/>
      <c r="O49" s="30"/>
      <c r="P49" s="30"/>
    </row>
    <row r="50" spans="1:16" x14ac:dyDescent="0.25">
      <c r="A50" s="41"/>
      <c r="B50" s="252"/>
      <c r="C50" s="128">
        <f>'Cad1'!F52</f>
        <v>0</v>
      </c>
      <c r="D50" s="30"/>
      <c r="E50" s="30" t="str">
        <f t="shared" si="0"/>
        <v/>
      </c>
      <c r="F50" s="160" t="str">
        <f t="array" ref="F50">IFERROR(INDEX('BD2'!$H$15:$H$957,MATCH('Tab2'!E50&amp;'Tab2'!$F$10:$H$10&amp;'Tab2'!$F$12,'BD2'!$F$15:$F$957&amp;'BD2'!$M$15:$M$957&amp;'BD2'!$N$15:$N$957,0)),"")</f>
        <v/>
      </c>
      <c r="G50" s="160" t="str">
        <f t="array" ref="G50">IFERROR(INDEX('BD2'!$Q$15:$Q$957,MATCH('Tab2'!E50&amp;$I$10&amp;$G$12,'BD2'!$F$15:$F$957&amp;'BD2'!$M$15:$M$957&amp;'BD2'!$N$15:$N$957,0)),"")</f>
        <v/>
      </c>
      <c r="H50" s="160" t="str">
        <f t="array" ref="H50">IFERROR(INDEX('BD2'!$Q$15:$Q$957,MATCH('Tab2'!E50&amp;$I$10&amp;'Tab2'!$H$12,'BD2'!$F$15:$F$957&amp;'BD2'!$M$15:$M$957&amp;'BD2'!$N$15:$N$957,0)),"")</f>
        <v/>
      </c>
      <c r="I50" s="160" t="str">
        <f t="array" ref="I50">IFERROR(INDEX('BD2'!$H$15:$H$957,MATCH('Tab2'!E50&amp;'Tab2'!$I$10&amp;'Tab2'!$I$12,'BD2'!$F$15:$F$957&amp;'BD2'!$M$15:$M$957&amp;'BD2'!$N$15:$N$957,0)),"")</f>
        <v/>
      </c>
      <c r="J50" s="160" t="str">
        <f t="array" ref="J50">IFERROR(INDEX('BD2'!$H$15:$H$957,MATCH('Tab2'!E50&amp;'Tab2'!$I$10&amp;'Tab2'!$J$12,'BD2'!$F$15:$F$957&amp;'BD2'!$M$15:$M$957&amp;'BD2'!$N$15:$N$957,0)),"")</f>
        <v/>
      </c>
      <c r="K50" s="30"/>
      <c r="L50" s="30"/>
      <c r="M50" s="30"/>
      <c r="N50" s="30"/>
      <c r="O50" s="30"/>
      <c r="P50" s="30"/>
    </row>
    <row r="51" spans="1:16" x14ac:dyDescent="0.25">
      <c r="A51" s="41"/>
      <c r="B51" s="252"/>
      <c r="C51" s="128">
        <f>'Cad1'!F53</f>
        <v>0</v>
      </c>
      <c r="D51" s="30"/>
      <c r="E51" s="30" t="str">
        <f t="shared" si="0"/>
        <v/>
      </c>
      <c r="F51" s="160" t="str">
        <f t="array" ref="F51">IFERROR(INDEX('BD2'!$H$15:$H$957,MATCH('Tab2'!E51&amp;'Tab2'!$F$10:$H$10&amp;'Tab2'!$F$12,'BD2'!$F$15:$F$957&amp;'BD2'!$M$15:$M$957&amp;'BD2'!$N$15:$N$957,0)),"")</f>
        <v/>
      </c>
      <c r="G51" s="160" t="str">
        <f t="array" ref="G51">IFERROR(INDEX('BD2'!$Q$15:$Q$957,MATCH('Tab2'!E51&amp;$I$10&amp;$G$12,'BD2'!$F$15:$F$957&amp;'BD2'!$M$15:$M$957&amp;'BD2'!$N$15:$N$957,0)),"")</f>
        <v/>
      </c>
      <c r="H51" s="160" t="str">
        <f t="array" ref="H51">IFERROR(INDEX('BD2'!$Q$15:$Q$957,MATCH('Tab2'!E51&amp;$I$10&amp;'Tab2'!$H$12,'BD2'!$F$15:$F$957&amp;'BD2'!$M$15:$M$957&amp;'BD2'!$N$15:$N$957,0)),"")</f>
        <v/>
      </c>
      <c r="I51" s="160" t="str">
        <f t="array" ref="I51">IFERROR(INDEX('BD2'!$H$15:$H$957,MATCH('Tab2'!E51&amp;'Tab2'!$I$10&amp;'Tab2'!$I$12,'BD2'!$F$15:$F$957&amp;'BD2'!$M$15:$M$957&amp;'BD2'!$N$15:$N$957,0)),"")</f>
        <v/>
      </c>
      <c r="J51" s="160" t="str">
        <f t="array" ref="J51">IFERROR(INDEX('BD2'!$H$15:$H$957,MATCH('Tab2'!E51&amp;'Tab2'!$I$10&amp;'Tab2'!$J$12,'BD2'!$F$15:$F$957&amp;'BD2'!$M$15:$M$957&amp;'BD2'!$N$15:$N$957,0)),"")</f>
        <v/>
      </c>
      <c r="K51" s="30"/>
      <c r="L51" s="30"/>
      <c r="M51" s="30"/>
      <c r="N51" s="30"/>
      <c r="O51" s="30"/>
      <c r="P51" s="30"/>
    </row>
    <row r="52" spans="1:16" x14ac:dyDescent="0.25">
      <c r="A52" s="41"/>
      <c r="B52" s="252"/>
      <c r="C52" s="128">
        <f>'Cad1'!F54</f>
        <v>0</v>
      </c>
      <c r="D52" s="30"/>
      <c r="E52" s="30" t="str">
        <f t="shared" si="0"/>
        <v/>
      </c>
      <c r="F52" s="160" t="str">
        <f t="array" ref="F52">IFERROR(INDEX('BD2'!$H$15:$H$957,MATCH('Tab2'!E52&amp;'Tab2'!$F$10:$H$10&amp;'Tab2'!$F$12,'BD2'!$F$15:$F$957&amp;'BD2'!$M$15:$M$957&amp;'BD2'!$N$15:$N$957,0)),"")</f>
        <v/>
      </c>
      <c r="G52" s="160" t="str">
        <f t="array" ref="G52">IFERROR(INDEX('BD2'!$Q$15:$Q$957,MATCH('Tab2'!E52&amp;$I$10&amp;$G$12,'BD2'!$F$15:$F$957&amp;'BD2'!$M$15:$M$957&amp;'BD2'!$N$15:$N$957,0)),"")</f>
        <v/>
      </c>
      <c r="H52" s="160" t="str">
        <f t="array" ref="H52">IFERROR(INDEX('BD2'!$Q$15:$Q$957,MATCH('Tab2'!E52&amp;$I$10&amp;'Tab2'!$H$12,'BD2'!$F$15:$F$957&amp;'BD2'!$M$15:$M$957&amp;'BD2'!$N$15:$N$957,0)),"")</f>
        <v/>
      </c>
      <c r="I52" s="160" t="str">
        <f t="array" ref="I52">IFERROR(INDEX('BD2'!$H$15:$H$957,MATCH('Tab2'!E52&amp;'Tab2'!$I$10&amp;'Tab2'!$I$12,'BD2'!$F$15:$F$957&amp;'BD2'!$M$15:$M$957&amp;'BD2'!$N$15:$N$957,0)),"")</f>
        <v/>
      </c>
      <c r="J52" s="160" t="str">
        <f t="array" ref="J52">IFERROR(INDEX('BD2'!$H$15:$H$957,MATCH('Tab2'!E52&amp;'Tab2'!$I$10&amp;'Tab2'!$J$12,'BD2'!$F$15:$F$957&amp;'BD2'!$M$15:$M$957&amp;'BD2'!$N$15:$N$957,0)),"")</f>
        <v/>
      </c>
      <c r="K52" s="30"/>
      <c r="L52" s="30"/>
      <c r="M52" s="30"/>
      <c r="N52" s="30"/>
      <c r="O52" s="30"/>
      <c r="P52" s="30"/>
    </row>
    <row r="53" spans="1:16" x14ac:dyDescent="0.25">
      <c r="A53" s="41"/>
      <c r="B53" s="252"/>
      <c r="C53" s="128">
        <f>'Cad1'!F55</f>
        <v>0</v>
      </c>
      <c r="D53" s="30"/>
      <c r="E53" s="30" t="str">
        <f t="shared" si="0"/>
        <v/>
      </c>
      <c r="F53" s="160" t="str">
        <f t="array" ref="F53">IFERROR(INDEX('BD2'!$H$15:$H$957,MATCH('Tab2'!E53&amp;'Tab2'!$F$10:$H$10&amp;'Tab2'!$F$12,'BD2'!$F$15:$F$957&amp;'BD2'!$M$15:$M$957&amp;'BD2'!$N$15:$N$957,0)),"")</f>
        <v/>
      </c>
      <c r="G53" s="160" t="str">
        <f t="array" ref="G53">IFERROR(INDEX('BD2'!$Q$15:$Q$957,MATCH('Tab2'!E53&amp;$I$10&amp;$G$12,'BD2'!$F$15:$F$957&amp;'BD2'!$M$15:$M$957&amp;'BD2'!$N$15:$N$957,0)),"")</f>
        <v/>
      </c>
      <c r="H53" s="160" t="str">
        <f t="array" ref="H53">IFERROR(INDEX('BD2'!$Q$15:$Q$957,MATCH('Tab2'!E53&amp;$I$10&amp;'Tab2'!$H$12,'BD2'!$F$15:$F$957&amp;'BD2'!$M$15:$M$957&amp;'BD2'!$N$15:$N$957,0)),"")</f>
        <v/>
      </c>
      <c r="I53" s="160" t="str">
        <f t="array" ref="I53">IFERROR(INDEX('BD2'!$H$15:$H$957,MATCH('Tab2'!E53&amp;'Tab2'!$I$10&amp;'Tab2'!$I$12,'BD2'!$F$15:$F$957&amp;'BD2'!$M$15:$M$957&amp;'BD2'!$N$15:$N$957,0)),"")</f>
        <v/>
      </c>
      <c r="J53" s="160" t="str">
        <f t="array" ref="J53">IFERROR(INDEX('BD2'!$H$15:$H$957,MATCH('Tab2'!E53&amp;'Tab2'!$I$10&amp;'Tab2'!$J$12,'BD2'!$F$15:$F$957&amp;'BD2'!$M$15:$M$957&amp;'BD2'!$N$15:$N$957,0)),"")</f>
        <v/>
      </c>
      <c r="K53" s="30"/>
      <c r="L53" s="30"/>
      <c r="M53" s="30"/>
      <c r="N53" s="30"/>
      <c r="O53" s="30"/>
      <c r="P53" s="30"/>
    </row>
    <row r="54" spans="1:16" x14ac:dyDescent="0.25">
      <c r="A54" s="41"/>
      <c r="B54" s="41"/>
      <c r="C54" s="128">
        <f>'Cad1'!F56</f>
        <v>0</v>
      </c>
      <c r="D54" s="30"/>
      <c r="E54" s="30" t="str">
        <f t="shared" si="0"/>
        <v/>
      </c>
      <c r="F54" s="160" t="str">
        <f t="array" ref="F54">IFERROR(INDEX('BD2'!$H$15:$H$957,MATCH('Tab2'!E54&amp;'Tab2'!$F$10:$H$10&amp;'Tab2'!$F$12,'BD2'!$F$15:$F$957&amp;'BD2'!$M$15:$M$957&amp;'BD2'!$N$15:$N$957,0)),"")</f>
        <v/>
      </c>
      <c r="G54" s="160" t="str">
        <f t="array" ref="G54">IFERROR(INDEX('BD2'!$Q$15:$Q$957,MATCH('Tab2'!E54&amp;$I$10&amp;$G$12,'BD2'!$F$15:$F$957&amp;'BD2'!$M$15:$M$957&amp;'BD2'!$N$15:$N$957,0)),"")</f>
        <v/>
      </c>
      <c r="H54" s="160" t="str">
        <f t="array" ref="H54">IFERROR(INDEX('BD2'!$Q$15:$Q$957,MATCH('Tab2'!E54&amp;$I$10&amp;'Tab2'!$H$12,'BD2'!$F$15:$F$957&amp;'BD2'!$M$15:$M$957&amp;'BD2'!$N$15:$N$957,0)),"")</f>
        <v/>
      </c>
      <c r="I54" s="160" t="str">
        <f t="array" ref="I54">IFERROR(INDEX('BD2'!$H$15:$H$957,MATCH('Tab2'!E54&amp;'Tab2'!$I$10&amp;'Tab2'!$I$12,'BD2'!$F$15:$F$957&amp;'BD2'!$M$15:$M$957&amp;'BD2'!$N$15:$N$957,0)),"")</f>
        <v/>
      </c>
      <c r="J54" s="160" t="str">
        <f t="array" ref="J54">IFERROR(INDEX('BD2'!$H$15:$H$957,MATCH('Tab2'!E54&amp;'Tab2'!$I$10&amp;'Tab2'!$J$12,'BD2'!$F$15:$F$957&amp;'BD2'!$M$15:$M$957&amp;'BD2'!$N$15:$N$957,0)),"")</f>
        <v/>
      </c>
      <c r="K54" s="30"/>
      <c r="L54" s="30"/>
      <c r="M54" s="30"/>
      <c r="N54" s="30"/>
      <c r="O54" s="30"/>
      <c r="P54" s="30"/>
    </row>
    <row r="55" spans="1:16" x14ac:dyDescent="0.25">
      <c r="A55" s="41"/>
      <c r="B55" s="41"/>
      <c r="C55" s="128">
        <f>'Cad1'!F57</f>
        <v>0</v>
      </c>
      <c r="D55" s="30"/>
      <c r="E55" s="30" t="str">
        <f t="shared" si="0"/>
        <v/>
      </c>
      <c r="F55" s="160" t="str">
        <f t="array" ref="F55">IFERROR(INDEX('BD2'!$H$15:$H$957,MATCH('Tab2'!E55&amp;'Tab2'!$F$10:$H$10&amp;'Tab2'!$F$12,'BD2'!$F$15:$F$957&amp;'BD2'!$M$15:$M$957&amp;'BD2'!$N$15:$N$957,0)),"")</f>
        <v/>
      </c>
      <c r="G55" s="160" t="str">
        <f t="array" ref="G55">IFERROR(INDEX('BD2'!$Q$15:$Q$957,MATCH('Tab2'!E55&amp;$I$10&amp;$G$12,'BD2'!$F$15:$F$957&amp;'BD2'!$M$15:$M$957&amp;'BD2'!$N$15:$N$957,0)),"")</f>
        <v/>
      </c>
      <c r="H55" s="160" t="str">
        <f t="array" ref="H55">IFERROR(INDEX('BD2'!$Q$15:$Q$957,MATCH('Tab2'!E55&amp;$I$10&amp;'Tab2'!$H$12,'BD2'!$F$15:$F$957&amp;'BD2'!$M$15:$M$957&amp;'BD2'!$N$15:$N$957,0)),"")</f>
        <v/>
      </c>
      <c r="I55" s="160" t="str">
        <f t="array" ref="I55">IFERROR(INDEX('BD2'!$H$15:$H$957,MATCH('Tab2'!E55&amp;'Tab2'!$I$10&amp;'Tab2'!$I$12,'BD2'!$F$15:$F$957&amp;'BD2'!$M$15:$M$957&amp;'BD2'!$N$15:$N$957,0)),"")</f>
        <v/>
      </c>
      <c r="J55" s="160" t="str">
        <f t="array" ref="J55">IFERROR(INDEX('BD2'!$H$15:$H$957,MATCH('Tab2'!E55&amp;'Tab2'!$I$10&amp;'Tab2'!$J$12,'BD2'!$F$15:$F$957&amp;'BD2'!$M$15:$M$957&amp;'BD2'!$N$15:$N$957,0)),"")</f>
        <v/>
      </c>
      <c r="K55" s="30"/>
      <c r="L55" s="30"/>
      <c r="M55" s="30"/>
      <c r="N55" s="30"/>
      <c r="O55" s="30"/>
      <c r="P55" s="30"/>
    </row>
    <row r="56" spans="1:16" x14ac:dyDescent="0.25">
      <c r="A56" s="41"/>
      <c r="B56" s="41"/>
      <c r="C56" s="128">
        <f>'Cad1'!F58</f>
        <v>0</v>
      </c>
      <c r="D56" s="30"/>
      <c r="E56" s="30" t="str">
        <f t="shared" si="0"/>
        <v/>
      </c>
      <c r="F56" s="160" t="str">
        <f t="array" ref="F56">IFERROR(INDEX('BD2'!$H$15:$H$957,MATCH('Tab2'!E56&amp;'Tab2'!$F$10:$H$10&amp;'Tab2'!$F$12,'BD2'!$F$15:$F$957&amp;'BD2'!$M$15:$M$957&amp;'BD2'!$N$15:$N$957,0)),"")</f>
        <v/>
      </c>
      <c r="G56" s="160" t="str">
        <f t="array" ref="G56">IFERROR(INDEX('BD2'!$Q$15:$Q$957,MATCH('Tab2'!E56&amp;$I$10&amp;$G$12,'BD2'!$F$15:$F$957&amp;'BD2'!$M$15:$M$957&amp;'BD2'!$N$15:$N$957,0)),"")</f>
        <v/>
      </c>
      <c r="H56" s="160" t="str">
        <f t="array" ref="H56">IFERROR(INDEX('BD2'!$Q$15:$Q$957,MATCH('Tab2'!E56&amp;$I$10&amp;'Tab2'!$H$12,'BD2'!$F$15:$F$957&amp;'BD2'!$M$15:$M$957&amp;'BD2'!$N$15:$N$957,0)),"")</f>
        <v/>
      </c>
      <c r="I56" s="160" t="str">
        <f t="array" ref="I56">IFERROR(INDEX('BD2'!$H$15:$H$957,MATCH('Tab2'!E56&amp;'Tab2'!$I$10&amp;'Tab2'!$I$12,'BD2'!$F$15:$F$957&amp;'BD2'!$M$15:$M$957&amp;'BD2'!$N$15:$N$957,0)),"")</f>
        <v/>
      </c>
      <c r="J56" s="160" t="str">
        <f t="array" ref="J56">IFERROR(INDEX('BD2'!$H$15:$H$957,MATCH('Tab2'!E56&amp;'Tab2'!$I$10&amp;'Tab2'!$J$12,'BD2'!$F$15:$F$957&amp;'BD2'!$M$15:$M$957&amp;'BD2'!$N$15:$N$957,0)),"")</f>
        <v/>
      </c>
      <c r="K56" s="30"/>
      <c r="L56" s="30"/>
      <c r="M56" s="30"/>
      <c r="N56" s="30"/>
      <c r="O56" s="30"/>
      <c r="P56" s="30"/>
    </row>
    <row r="57" spans="1:16" x14ac:dyDescent="0.25">
      <c r="A57" s="41"/>
      <c r="B57" s="41"/>
      <c r="C57" s="128">
        <f>'Cad1'!F59</f>
        <v>0</v>
      </c>
      <c r="D57" s="30"/>
      <c r="E57" s="30" t="str">
        <f t="shared" si="0"/>
        <v/>
      </c>
      <c r="F57" s="160" t="str">
        <f t="array" ref="F57">IFERROR(INDEX('BD2'!$H$15:$H$957,MATCH('Tab2'!E57&amp;'Tab2'!$F$10:$H$10&amp;'Tab2'!$F$12,'BD2'!$F$15:$F$957&amp;'BD2'!$M$15:$M$957&amp;'BD2'!$N$15:$N$957,0)),"")</f>
        <v/>
      </c>
      <c r="G57" s="160" t="str">
        <f t="array" ref="G57">IFERROR(INDEX('BD2'!$Q$15:$Q$957,MATCH('Tab2'!E57&amp;$I$10&amp;$G$12,'BD2'!$F$15:$F$957&amp;'BD2'!$M$15:$M$957&amp;'BD2'!$N$15:$N$957,0)),"")</f>
        <v/>
      </c>
      <c r="H57" s="160" t="str">
        <f t="array" ref="H57">IFERROR(INDEX('BD2'!$Q$15:$Q$957,MATCH('Tab2'!E57&amp;$I$10&amp;'Tab2'!$H$12,'BD2'!$F$15:$F$957&amp;'BD2'!$M$15:$M$957&amp;'BD2'!$N$15:$N$957,0)),"")</f>
        <v/>
      </c>
      <c r="I57" s="160" t="str">
        <f t="array" ref="I57">IFERROR(INDEX('BD2'!$H$15:$H$957,MATCH('Tab2'!E57&amp;'Tab2'!$I$10&amp;'Tab2'!$I$12,'BD2'!$F$15:$F$957&amp;'BD2'!$M$15:$M$957&amp;'BD2'!$N$15:$N$957,0)),"")</f>
        <v/>
      </c>
      <c r="J57" s="160" t="str">
        <f t="array" ref="J57">IFERROR(INDEX('BD2'!$H$15:$H$957,MATCH('Tab2'!E57&amp;'Tab2'!$I$10&amp;'Tab2'!$J$12,'BD2'!$F$15:$F$957&amp;'BD2'!$M$15:$M$957&amp;'BD2'!$N$15:$N$957,0)),"")</f>
        <v/>
      </c>
      <c r="K57" s="30"/>
      <c r="L57" s="30"/>
      <c r="M57" s="30"/>
      <c r="N57" s="30"/>
      <c r="O57" s="30"/>
      <c r="P57" s="30"/>
    </row>
    <row r="58" spans="1:16" x14ac:dyDescent="0.25">
      <c r="A58" s="41"/>
      <c r="B58" s="41"/>
      <c r="C58" s="128">
        <f>'Cad1'!F60</f>
        <v>0</v>
      </c>
      <c r="D58" s="30"/>
      <c r="E58" s="30" t="str">
        <f t="shared" si="0"/>
        <v/>
      </c>
      <c r="F58" s="160" t="str">
        <f t="array" ref="F58">IFERROR(INDEX('BD2'!$H$15:$H$957,MATCH('Tab2'!E58&amp;'Tab2'!$F$10:$H$10&amp;'Tab2'!$F$12,'BD2'!$F$15:$F$957&amp;'BD2'!$M$15:$M$957&amp;'BD2'!$N$15:$N$957,0)),"")</f>
        <v/>
      </c>
      <c r="G58" s="160" t="str">
        <f t="array" ref="G58">IFERROR(INDEX('BD2'!$Q$15:$Q$957,MATCH('Tab2'!E58&amp;$I$10&amp;$G$12,'BD2'!$F$15:$F$957&amp;'BD2'!$M$15:$M$957&amp;'BD2'!$N$15:$N$957,0)),"")</f>
        <v/>
      </c>
      <c r="H58" s="160" t="str">
        <f t="array" ref="H58">IFERROR(INDEX('BD2'!$Q$15:$Q$957,MATCH('Tab2'!E58&amp;$I$10&amp;'Tab2'!$H$12,'BD2'!$F$15:$F$957&amp;'BD2'!$M$15:$M$957&amp;'BD2'!$N$15:$N$957,0)),"")</f>
        <v/>
      </c>
      <c r="I58" s="160" t="str">
        <f t="array" ref="I58">IFERROR(INDEX('BD2'!$H$15:$H$957,MATCH('Tab2'!E58&amp;'Tab2'!$I$10&amp;'Tab2'!$I$12,'BD2'!$F$15:$F$957&amp;'BD2'!$M$15:$M$957&amp;'BD2'!$N$15:$N$957,0)),"")</f>
        <v/>
      </c>
      <c r="J58" s="160" t="str">
        <f t="array" ref="J58">IFERROR(INDEX('BD2'!$H$15:$H$957,MATCH('Tab2'!E58&amp;'Tab2'!$I$10&amp;'Tab2'!$J$12,'BD2'!$F$15:$F$957&amp;'BD2'!$M$15:$M$957&amp;'BD2'!$N$15:$N$957,0)),"")</f>
        <v/>
      </c>
      <c r="K58" s="30"/>
      <c r="L58" s="30"/>
      <c r="M58" s="30"/>
      <c r="N58" s="30"/>
      <c r="O58" s="30"/>
      <c r="P58" s="30"/>
    </row>
    <row r="59" spans="1:16" x14ac:dyDescent="0.25">
      <c r="A59" s="41"/>
      <c r="B59" s="41"/>
      <c r="C59" s="128">
        <f>'Cad1'!F61</f>
        <v>0</v>
      </c>
      <c r="D59" s="30"/>
      <c r="E59" s="30" t="str">
        <f t="shared" si="0"/>
        <v/>
      </c>
      <c r="F59" s="160" t="str">
        <f t="array" ref="F59">IFERROR(INDEX('BD2'!$H$15:$H$957,MATCH('Tab2'!E59&amp;'Tab2'!$F$10:$H$10&amp;'Tab2'!$F$12,'BD2'!$F$15:$F$957&amp;'BD2'!$M$15:$M$957&amp;'BD2'!$N$15:$N$957,0)),"")</f>
        <v/>
      </c>
      <c r="G59" s="160" t="str">
        <f t="array" ref="G59">IFERROR(INDEX('BD2'!$Q$15:$Q$957,MATCH('Tab2'!E59&amp;$I$10&amp;$G$12,'BD2'!$F$15:$F$957&amp;'BD2'!$M$15:$M$957&amp;'BD2'!$N$15:$N$957,0)),"")</f>
        <v/>
      </c>
      <c r="H59" s="160" t="str">
        <f t="array" ref="H59">IFERROR(INDEX('BD2'!$Q$15:$Q$957,MATCH('Tab2'!E59&amp;$I$10&amp;'Tab2'!$H$12,'BD2'!$F$15:$F$957&amp;'BD2'!$M$15:$M$957&amp;'BD2'!$N$15:$N$957,0)),"")</f>
        <v/>
      </c>
      <c r="I59" s="160" t="str">
        <f t="array" ref="I59">IFERROR(INDEX('BD2'!$H$15:$H$957,MATCH('Tab2'!E59&amp;'Tab2'!$I$10&amp;'Tab2'!$I$12,'BD2'!$F$15:$F$957&amp;'BD2'!$M$15:$M$957&amp;'BD2'!$N$15:$N$957,0)),"")</f>
        <v/>
      </c>
      <c r="J59" s="160" t="str">
        <f t="array" ref="J59">IFERROR(INDEX('BD2'!$H$15:$H$957,MATCH('Tab2'!E59&amp;'Tab2'!$I$10&amp;'Tab2'!$J$12,'BD2'!$F$15:$F$957&amp;'BD2'!$M$15:$M$957&amp;'BD2'!$N$15:$N$957,0)),"")</f>
        <v/>
      </c>
      <c r="K59" s="30"/>
      <c r="L59" s="30"/>
      <c r="M59" s="30"/>
      <c r="N59" s="30"/>
      <c r="O59" s="30"/>
      <c r="P59" s="30"/>
    </row>
    <row r="60" spans="1:16" x14ac:dyDescent="0.25">
      <c r="A60" s="41"/>
      <c r="B60" s="41"/>
      <c r="C60" s="128">
        <f>'Cad1'!F62</f>
        <v>0</v>
      </c>
      <c r="D60" s="30"/>
      <c r="E60" s="30" t="str">
        <f t="shared" si="0"/>
        <v/>
      </c>
      <c r="F60" s="160" t="str">
        <f t="array" ref="F60">IFERROR(INDEX('BD2'!$H$15:$H$957,MATCH('Tab2'!E60&amp;'Tab2'!$F$10:$H$10&amp;'Tab2'!$F$12,'BD2'!$F$15:$F$957&amp;'BD2'!$M$15:$M$957&amp;'BD2'!$N$15:$N$957,0)),"")</f>
        <v/>
      </c>
      <c r="G60" s="160" t="str">
        <f t="array" ref="G60">IFERROR(INDEX('BD2'!$Q$15:$Q$957,MATCH('Tab2'!E60&amp;$I$10&amp;$G$12,'BD2'!$F$15:$F$957&amp;'BD2'!$M$15:$M$957&amp;'BD2'!$N$15:$N$957,0)),"")</f>
        <v/>
      </c>
      <c r="H60" s="160" t="str">
        <f t="array" ref="H60">IFERROR(INDEX('BD2'!$Q$15:$Q$957,MATCH('Tab2'!E60&amp;$I$10&amp;'Tab2'!$H$12,'BD2'!$F$15:$F$957&amp;'BD2'!$M$15:$M$957&amp;'BD2'!$N$15:$N$957,0)),"")</f>
        <v/>
      </c>
      <c r="I60" s="160" t="str">
        <f t="array" ref="I60">IFERROR(INDEX('BD2'!$H$15:$H$957,MATCH('Tab2'!E60&amp;'Tab2'!$I$10&amp;'Tab2'!$I$12,'BD2'!$F$15:$F$957&amp;'BD2'!$M$15:$M$957&amp;'BD2'!$N$15:$N$957,0)),"")</f>
        <v/>
      </c>
      <c r="J60" s="160" t="str">
        <f t="array" ref="J60">IFERROR(INDEX('BD2'!$H$15:$H$957,MATCH('Tab2'!E60&amp;'Tab2'!$I$10&amp;'Tab2'!$J$12,'BD2'!$F$15:$F$957&amp;'BD2'!$M$15:$M$957&amp;'BD2'!$N$15:$N$957,0)),"")</f>
        <v/>
      </c>
      <c r="K60" s="30"/>
      <c r="L60" s="30"/>
      <c r="M60" s="30"/>
      <c r="N60" s="30"/>
      <c r="O60" s="30"/>
      <c r="P60" s="30"/>
    </row>
    <row r="61" spans="1:16" x14ac:dyDescent="0.25">
      <c r="A61" s="41"/>
      <c r="B61" s="41"/>
      <c r="C61" s="128">
        <f>'Cad1'!F63</f>
        <v>0</v>
      </c>
      <c r="D61" s="30"/>
      <c r="E61" s="30" t="str">
        <f t="shared" si="0"/>
        <v/>
      </c>
      <c r="F61" s="160" t="str">
        <f t="array" ref="F61">IFERROR(INDEX('BD2'!$H$15:$H$957,MATCH('Tab2'!E61&amp;'Tab2'!$F$10:$H$10&amp;'Tab2'!$F$12,'BD2'!$F$15:$F$957&amp;'BD2'!$M$15:$M$957&amp;'BD2'!$N$15:$N$957,0)),"")</f>
        <v/>
      </c>
      <c r="G61" s="160" t="str">
        <f t="array" ref="G61">IFERROR(INDEX('BD2'!$Q$15:$Q$957,MATCH('Tab2'!E61&amp;$I$10&amp;$G$12,'BD2'!$F$15:$F$957&amp;'BD2'!$M$15:$M$957&amp;'BD2'!$N$15:$N$957,0)),"")</f>
        <v/>
      </c>
      <c r="H61" s="160" t="str">
        <f t="array" ref="H61">IFERROR(INDEX('BD2'!$Q$15:$Q$957,MATCH('Tab2'!E61&amp;$I$10&amp;'Tab2'!$H$12,'BD2'!$F$15:$F$957&amp;'BD2'!$M$15:$M$957&amp;'BD2'!$N$15:$N$957,0)),"")</f>
        <v/>
      </c>
      <c r="I61" s="160" t="str">
        <f t="array" ref="I61">IFERROR(INDEX('BD2'!$H$15:$H$957,MATCH('Tab2'!E61&amp;'Tab2'!$I$10&amp;'Tab2'!$I$12,'BD2'!$F$15:$F$957&amp;'BD2'!$M$15:$M$957&amp;'BD2'!$N$15:$N$957,0)),"")</f>
        <v/>
      </c>
      <c r="J61" s="160" t="str">
        <f t="array" ref="J61">IFERROR(INDEX('BD2'!$H$15:$H$957,MATCH('Tab2'!E61&amp;'Tab2'!$I$10&amp;'Tab2'!$J$12,'BD2'!$F$15:$F$957&amp;'BD2'!$M$15:$M$957&amp;'BD2'!$N$15:$N$957,0)),"")</f>
        <v/>
      </c>
      <c r="K61" s="30"/>
      <c r="L61" s="30"/>
      <c r="M61" s="30"/>
      <c r="N61" s="30"/>
      <c r="O61" s="30"/>
      <c r="P61" s="30"/>
    </row>
    <row r="62" spans="1:16" x14ac:dyDescent="0.25">
      <c r="A62" s="2"/>
      <c r="B62" s="2"/>
      <c r="C62" s="18">
        <f>'Cad1'!F64</f>
        <v>0</v>
      </c>
      <c r="E62" s="30" t="str">
        <f t="shared" si="0"/>
        <v/>
      </c>
      <c r="F62" s="160" t="str">
        <f t="array" ref="F62">IFERROR(INDEX('BD2'!$H$15:$H$957,MATCH('Tab2'!E62&amp;'Tab2'!$F$10:$H$10&amp;'Tab2'!$F$12,'BD2'!$F$15:$F$957&amp;'BD2'!$M$15:$M$957&amp;'BD2'!$N$15:$N$957,0)),"")</f>
        <v/>
      </c>
      <c r="G62" s="160" t="str">
        <f t="array" ref="G62">IFERROR(INDEX('BD2'!$Q$15:$Q$957,MATCH('Tab2'!E62&amp;$I$10&amp;$G$12,'BD2'!$F$15:$F$957&amp;'BD2'!$M$15:$M$957&amp;'BD2'!$N$15:$N$957,0)),"")</f>
        <v/>
      </c>
      <c r="H62" s="160" t="str">
        <f t="array" ref="H62">IFERROR(INDEX('BD2'!$Q$15:$Q$957,MATCH('Tab2'!E62&amp;$I$10&amp;'Tab2'!$H$12,'BD2'!$F$15:$F$957&amp;'BD2'!$M$15:$M$957&amp;'BD2'!$N$15:$N$957,0)),"")</f>
        <v/>
      </c>
      <c r="I62" s="160" t="str">
        <f t="array" ref="I62">IFERROR(INDEX('BD2'!$H$15:$H$957,MATCH('Tab2'!E62&amp;'Tab2'!$I$10&amp;'Tab2'!$I$12,'BD2'!$F$15:$F$957&amp;'BD2'!$M$15:$M$957&amp;'BD2'!$N$15:$N$957,0)),"")</f>
        <v/>
      </c>
      <c r="J62" s="160" t="str">
        <f t="array" ref="J62">IFERROR(INDEX('BD2'!$H$15:$H$957,MATCH('Tab2'!E62&amp;'Tab2'!$I$10&amp;'Tab2'!$J$12,'BD2'!$F$15:$F$957&amp;'BD2'!$M$15:$M$957&amp;'BD2'!$N$15:$N$957,0)),"")</f>
        <v/>
      </c>
    </row>
    <row r="63" spans="1:16" x14ac:dyDescent="0.25">
      <c r="A63" s="2"/>
      <c r="B63" s="2"/>
      <c r="C63" s="18">
        <f>'Cad1'!F65</f>
        <v>0</v>
      </c>
      <c r="E63" s="30" t="str">
        <f t="shared" si="0"/>
        <v/>
      </c>
      <c r="F63" s="160" t="str">
        <f t="array" ref="F63">IFERROR(INDEX('BD2'!$H$15:$H$957,MATCH('Tab2'!E63&amp;'Tab2'!$F$10:$H$10&amp;'Tab2'!$F$12,'BD2'!$F$15:$F$957&amp;'BD2'!$M$15:$M$957&amp;'BD2'!$N$15:$N$957,0)),"")</f>
        <v/>
      </c>
      <c r="G63" s="160" t="str">
        <f t="array" ref="G63">IFERROR(INDEX('BD2'!$Q$15:$Q$957,MATCH('Tab2'!E63&amp;$I$10&amp;$G$12,'BD2'!$F$15:$F$957&amp;'BD2'!$M$15:$M$957&amp;'BD2'!$N$15:$N$957,0)),"")</f>
        <v/>
      </c>
      <c r="H63" s="160" t="str">
        <f t="array" ref="H63">IFERROR(INDEX('BD2'!$Q$15:$Q$957,MATCH('Tab2'!E63&amp;$I$10&amp;'Tab2'!$H$12,'BD2'!$F$15:$F$957&amp;'BD2'!$M$15:$M$957&amp;'BD2'!$N$15:$N$957,0)),"")</f>
        <v/>
      </c>
      <c r="I63" s="160" t="str">
        <f t="array" ref="I63">IFERROR(INDEX('BD2'!$H$15:$H$957,MATCH('Tab2'!E63&amp;'Tab2'!$I$10&amp;'Tab2'!$I$12,'BD2'!$F$15:$F$957&amp;'BD2'!$M$15:$M$957&amp;'BD2'!$N$15:$N$957,0)),"")</f>
        <v/>
      </c>
      <c r="J63" s="160" t="str">
        <f t="array" ref="J63">IFERROR(INDEX('BD2'!$H$15:$H$957,MATCH('Tab2'!E63&amp;'Tab2'!$I$10&amp;'Tab2'!$J$12,'BD2'!$F$15:$F$957&amp;'BD2'!$M$15:$M$957&amp;'BD2'!$N$15:$N$957,0)),"")</f>
        <v/>
      </c>
    </row>
    <row r="64" spans="1:16" x14ac:dyDescent="0.25">
      <c r="A64" s="2"/>
      <c r="B64" s="2"/>
      <c r="C64" s="18">
        <f>'Cad1'!F66</f>
        <v>0</v>
      </c>
      <c r="E64" s="30" t="str">
        <f t="shared" si="0"/>
        <v/>
      </c>
      <c r="F64" s="160" t="str">
        <f t="array" ref="F64">IFERROR(INDEX('BD2'!$H$15:$H$957,MATCH('Tab2'!E64&amp;'Tab2'!$F$10:$H$10&amp;'Tab2'!$F$12,'BD2'!$F$15:$F$957&amp;'BD2'!$M$15:$M$957&amp;'BD2'!$N$15:$N$957,0)),"")</f>
        <v/>
      </c>
      <c r="G64" s="160" t="str">
        <f t="array" ref="G64">IFERROR(INDEX('BD2'!$Q$15:$Q$957,MATCH('Tab2'!E64&amp;$I$10&amp;$G$12,'BD2'!$F$15:$F$957&amp;'BD2'!$M$15:$M$957&amp;'BD2'!$N$15:$N$957,0)),"")</f>
        <v/>
      </c>
      <c r="H64" s="160" t="str">
        <f t="array" ref="H64">IFERROR(INDEX('BD2'!$Q$15:$Q$957,MATCH('Tab2'!E64&amp;$I$10&amp;'Tab2'!$H$12,'BD2'!$F$15:$F$957&amp;'BD2'!$M$15:$M$957&amp;'BD2'!$N$15:$N$957,0)),"")</f>
        <v/>
      </c>
      <c r="I64" s="160" t="str">
        <f t="array" ref="I64">IFERROR(INDEX('BD2'!$H$15:$H$957,MATCH('Tab2'!E64&amp;'Tab2'!$I$10&amp;'Tab2'!$I$12,'BD2'!$F$15:$F$957&amp;'BD2'!$M$15:$M$957&amp;'BD2'!$N$15:$N$957,0)),"")</f>
        <v/>
      </c>
      <c r="J64" s="160" t="str">
        <f t="array" ref="J64">IFERROR(INDEX('BD2'!$H$15:$H$957,MATCH('Tab2'!E64&amp;'Tab2'!$I$10&amp;'Tab2'!$J$12,'BD2'!$F$15:$F$957&amp;'BD2'!$M$15:$M$957&amp;'BD2'!$N$15:$N$957,0)),"")</f>
        <v/>
      </c>
    </row>
    <row r="65" spans="2:10" x14ac:dyDescent="0.25">
      <c r="B65" s="2"/>
      <c r="C65" s="18">
        <f>'Cad1'!F67</f>
        <v>0</v>
      </c>
      <c r="E65" s="30" t="str">
        <f t="shared" si="0"/>
        <v/>
      </c>
      <c r="F65" s="160" t="str">
        <f t="array" ref="F65">IFERROR(INDEX('BD2'!$H$15:$H$957,MATCH('Tab2'!E65&amp;'Tab2'!$F$10:$H$10&amp;'Tab2'!$F$12,'BD2'!$F$15:$F$957&amp;'BD2'!$M$15:$M$957&amp;'BD2'!$N$15:$N$957,0)),"")</f>
        <v/>
      </c>
      <c r="G65" s="160" t="str">
        <f t="array" ref="G65">IFERROR(INDEX('BD2'!$Q$15:$Q$957,MATCH('Tab2'!E65&amp;$I$10&amp;$G$12,'BD2'!$F$15:$F$957&amp;'BD2'!$M$15:$M$957&amp;'BD2'!$N$15:$N$957,0)),"")</f>
        <v/>
      </c>
      <c r="H65" s="160" t="str">
        <f t="array" ref="H65">IFERROR(INDEX('BD2'!$Q$15:$Q$957,MATCH('Tab2'!E65&amp;$I$10&amp;'Tab2'!$H$12,'BD2'!$F$15:$F$957&amp;'BD2'!$M$15:$M$957&amp;'BD2'!$N$15:$N$957,0)),"")</f>
        <v/>
      </c>
      <c r="I65" s="160" t="str">
        <f t="array" ref="I65">IFERROR(INDEX('BD2'!$H$15:$H$957,MATCH('Tab2'!E65&amp;'Tab2'!$I$10&amp;'Tab2'!$I$12,'BD2'!$F$15:$F$957&amp;'BD2'!$M$15:$M$957&amp;'BD2'!$N$15:$N$957,0)),"")</f>
        <v/>
      </c>
      <c r="J65" s="160" t="str">
        <f t="array" ref="J65">IFERROR(INDEX('BD2'!$H$15:$H$957,MATCH('Tab2'!E65&amp;'Tab2'!$I$10&amp;'Tab2'!$J$12,'BD2'!$F$15:$F$957&amp;'BD2'!$M$15:$M$957&amp;'BD2'!$N$15:$N$957,0)),"")</f>
        <v/>
      </c>
    </row>
    <row r="66" spans="2:10" x14ac:dyDescent="0.25">
      <c r="B66" s="2"/>
      <c r="C66" s="18">
        <f>'Cad1'!F68</f>
        <v>0</v>
      </c>
      <c r="E66" s="30" t="str">
        <f t="shared" si="0"/>
        <v/>
      </c>
      <c r="F66" s="160" t="str">
        <f t="array" ref="F66">IFERROR(INDEX('BD2'!$H$15:$H$957,MATCH('Tab2'!E66&amp;'Tab2'!$F$10:$H$10&amp;'Tab2'!$F$12,'BD2'!$F$15:$F$957&amp;'BD2'!$M$15:$M$957&amp;'BD2'!$N$15:$N$957,0)),"")</f>
        <v/>
      </c>
      <c r="G66" s="160" t="str">
        <f t="array" ref="G66">IFERROR(INDEX('BD2'!$Q$15:$Q$957,MATCH('Tab2'!E66&amp;$I$10&amp;$G$12,'BD2'!$F$15:$F$957&amp;'BD2'!$M$15:$M$957&amp;'BD2'!$N$15:$N$957,0)),"")</f>
        <v/>
      </c>
      <c r="H66" s="160" t="str">
        <f t="array" ref="H66">IFERROR(INDEX('BD2'!$Q$15:$Q$957,MATCH('Tab2'!E66&amp;$I$10&amp;'Tab2'!$H$12,'BD2'!$F$15:$F$957&amp;'BD2'!$M$15:$M$957&amp;'BD2'!$N$15:$N$957,0)),"")</f>
        <v/>
      </c>
      <c r="I66" s="160" t="str">
        <f t="array" ref="I66">IFERROR(INDEX('BD2'!$H$15:$H$957,MATCH('Tab2'!E66&amp;'Tab2'!$I$10&amp;'Tab2'!$I$12,'BD2'!$F$15:$F$957&amp;'BD2'!$M$15:$M$957&amp;'BD2'!$N$15:$N$957,0)),"")</f>
        <v/>
      </c>
      <c r="J66" s="160" t="str">
        <f t="array" ref="J66">IFERROR(INDEX('BD2'!$H$15:$H$957,MATCH('Tab2'!E66&amp;'Tab2'!$I$10&amp;'Tab2'!$J$12,'BD2'!$F$15:$F$957&amp;'BD2'!$M$15:$M$957&amp;'BD2'!$N$15:$N$957,0)),"")</f>
        <v/>
      </c>
    </row>
    <row r="67" spans="2:10" x14ac:dyDescent="0.25">
      <c r="B67" s="2"/>
      <c r="C67" s="18">
        <f>'Cad1'!F69</f>
        <v>0</v>
      </c>
      <c r="E67" s="30" t="str">
        <f t="shared" si="0"/>
        <v/>
      </c>
      <c r="F67" s="160" t="str">
        <f t="array" ref="F67">IFERROR(INDEX('BD2'!$H$15:$H$957,MATCH('Tab2'!E67&amp;'Tab2'!$F$10:$H$10&amp;'Tab2'!$F$12,'BD2'!$F$15:$F$957&amp;'BD2'!$M$15:$M$957&amp;'BD2'!$N$15:$N$957,0)),"")</f>
        <v/>
      </c>
      <c r="G67" s="160" t="str">
        <f t="array" ref="G67">IFERROR(INDEX('BD2'!$Q$15:$Q$957,MATCH('Tab2'!E67&amp;$I$10&amp;$G$12,'BD2'!$F$15:$F$957&amp;'BD2'!$M$15:$M$957&amp;'BD2'!$N$15:$N$957,0)),"")</f>
        <v/>
      </c>
      <c r="H67" s="160" t="str">
        <f t="array" ref="H67">IFERROR(INDEX('BD2'!$Q$15:$Q$957,MATCH('Tab2'!E67&amp;$I$10&amp;'Tab2'!$H$12,'BD2'!$F$15:$F$957&amp;'BD2'!$M$15:$M$957&amp;'BD2'!$N$15:$N$957,0)),"")</f>
        <v/>
      </c>
      <c r="I67" s="160" t="str">
        <f t="array" ref="I67">IFERROR(INDEX('BD2'!$H$15:$H$957,MATCH('Tab2'!E67&amp;'Tab2'!$I$10&amp;'Tab2'!$I$12,'BD2'!$F$15:$F$957&amp;'BD2'!$M$15:$M$957&amp;'BD2'!$N$15:$N$957,0)),"")</f>
        <v/>
      </c>
      <c r="J67" s="160" t="str">
        <f t="array" ref="J67">IFERROR(INDEX('BD2'!$H$15:$H$957,MATCH('Tab2'!E67&amp;'Tab2'!$I$10&amp;'Tab2'!$J$12,'BD2'!$F$15:$F$957&amp;'BD2'!$M$15:$M$957&amp;'BD2'!$N$15:$N$957,0)),"")</f>
        <v/>
      </c>
    </row>
    <row r="68" spans="2:10" x14ac:dyDescent="0.25">
      <c r="B68" s="2"/>
      <c r="C68" s="18">
        <f>'Cad1'!F70</f>
        <v>0</v>
      </c>
      <c r="E68" s="30" t="str">
        <f t="shared" si="0"/>
        <v/>
      </c>
      <c r="F68" s="160" t="str">
        <f t="array" ref="F68">IFERROR(INDEX('BD2'!$H$15:$H$957,MATCH('Tab2'!E68&amp;'Tab2'!$F$10:$H$10&amp;'Tab2'!$F$12,'BD2'!$F$15:$F$957&amp;'BD2'!$M$15:$M$957&amp;'BD2'!$N$15:$N$957,0)),"")</f>
        <v/>
      </c>
      <c r="G68" s="160" t="str">
        <f t="array" ref="G68">IFERROR(INDEX('BD2'!$Q$15:$Q$957,MATCH('Tab2'!E68&amp;$I$10&amp;$G$12,'BD2'!$F$15:$F$957&amp;'BD2'!$M$15:$M$957&amp;'BD2'!$N$15:$N$957,0)),"")</f>
        <v/>
      </c>
      <c r="H68" s="160" t="str">
        <f t="array" ref="H68">IFERROR(INDEX('BD2'!$Q$15:$Q$957,MATCH('Tab2'!E68&amp;$I$10&amp;'Tab2'!$H$12,'BD2'!$F$15:$F$957&amp;'BD2'!$M$15:$M$957&amp;'BD2'!$N$15:$N$957,0)),"")</f>
        <v/>
      </c>
      <c r="I68" s="160" t="str">
        <f t="array" ref="I68">IFERROR(INDEX('BD2'!$H$15:$H$957,MATCH('Tab2'!E68&amp;'Tab2'!$I$10&amp;'Tab2'!$I$12,'BD2'!$F$15:$F$957&amp;'BD2'!$M$15:$M$957&amp;'BD2'!$N$15:$N$957,0)),"")</f>
        <v/>
      </c>
      <c r="J68" s="160" t="str">
        <f t="array" ref="J68">IFERROR(INDEX('BD2'!$H$15:$H$957,MATCH('Tab2'!E68&amp;'Tab2'!$I$10&amp;'Tab2'!$J$12,'BD2'!$F$15:$F$957&amp;'BD2'!$M$15:$M$957&amp;'BD2'!$N$15:$N$957,0)),"")</f>
        <v/>
      </c>
    </row>
    <row r="69" spans="2:10" x14ac:dyDescent="0.25">
      <c r="B69" s="2"/>
      <c r="C69" s="18">
        <f>'Cad1'!F71</f>
        <v>0</v>
      </c>
      <c r="E69" s="30" t="str">
        <f t="shared" si="0"/>
        <v/>
      </c>
      <c r="F69" s="160" t="str">
        <f t="array" ref="F69">IFERROR(INDEX('BD2'!$H$15:$H$957,MATCH('Tab2'!E69&amp;'Tab2'!$F$10:$H$10&amp;'Tab2'!$F$12,'BD2'!$F$15:$F$957&amp;'BD2'!$M$15:$M$957&amp;'BD2'!$N$15:$N$957,0)),"")</f>
        <v/>
      </c>
      <c r="G69" s="160" t="str">
        <f t="array" ref="G69">IFERROR(INDEX('BD2'!$Q$15:$Q$957,MATCH('Tab2'!E69&amp;$I$10&amp;$G$12,'BD2'!$F$15:$F$957&amp;'BD2'!$M$15:$M$957&amp;'BD2'!$N$15:$N$957,0)),"")</f>
        <v/>
      </c>
      <c r="H69" s="160" t="str">
        <f t="array" ref="H69">IFERROR(INDEX('BD2'!$Q$15:$Q$957,MATCH('Tab2'!E69&amp;$I$10&amp;'Tab2'!$H$12,'BD2'!$F$15:$F$957&amp;'BD2'!$M$15:$M$957&amp;'BD2'!$N$15:$N$957,0)),"")</f>
        <v/>
      </c>
      <c r="I69" s="160" t="str">
        <f t="array" ref="I69">IFERROR(INDEX('BD2'!$H$15:$H$957,MATCH('Tab2'!E69&amp;'Tab2'!$I$10&amp;'Tab2'!$I$12,'BD2'!$F$15:$F$957&amp;'BD2'!$M$15:$M$957&amp;'BD2'!$N$15:$N$957,0)),"")</f>
        <v/>
      </c>
      <c r="J69" s="160" t="str">
        <f t="array" ref="J69">IFERROR(INDEX('BD2'!$H$15:$H$957,MATCH('Tab2'!E69&amp;'Tab2'!$I$10&amp;'Tab2'!$J$12,'BD2'!$F$15:$F$957&amp;'BD2'!$M$15:$M$957&amp;'BD2'!$N$15:$N$957,0)),"")</f>
        <v/>
      </c>
    </row>
    <row r="70" spans="2:10" x14ac:dyDescent="0.25">
      <c r="B70" s="2"/>
      <c r="C70" s="18">
        <f>'Cad1'!F72</f>
        <v>0</v>
      </c>
      <c r="E70" s="30" t="str">
        <f t="shared" si="0"/>
        <v/>
      </c>
      <c r="F70" s="160" t="str">
        <f t="array" ref="F70">IFERROR(INDEX('BD2'!$H$15:$H$957,MATCH('Tab2'!E70&amp;'Tab2'!$F$10:$H$10&amp;'Tab2'!$F$12,'BD2'!$F$15:$F$957&amp;'BD2'!$M$15:$M$957&amp;'BD2'!$N$15:$N$957,0)),"")</f>
        <v/>
      </c>
      <c r="G70" s="160" t="str">
        <f t="array" ref="G70">IFERROR(INDEX('BD2'!$Q$15:$Q$957,MATCH('Tab2'!E70&amp;$I$10&amp;$G$12,'BD2'!$F$15:$F$957&amp;'BD2'!$M$15:$M$957&amp;'BD2'!$N$15:$N$957,0)),"")</f>
        <v/>
      </c>
      <c r="H70" s="160" t="str">
        <f t="array" ref="H70">IFERROR(INDEX('BD2'!$Q$15:$Q$957,MATCH('Tab2'!E70&amp;$I$10&amp;'Tab2'!$H$12,'BD2'!$F$15:$F$957&amp;'BD2'!$M$15:$M$957&amp;'BD2'!$N$15:$N$957,0)),"")</f>
        <v/>
      </c>
      <c r="I70" s="160" t="str">
        <f t="array" ref="I70">IFERROR(INDEX('BD2'!$H$15:$H$957,MATCH('Tab2'!E70&amp;'Tab2'!$I$10&amp;'Tab2'!$I$12,'BD2'!$F$15:$F$957&amp;'BD2'!$M$15:$M$957&amp;'BD2'!$N$15:$N$957,0)),"")</f>
        <v/>
      </c>
      <c r="J70" s="160" t="str">
        <f t="array" ref="J70">IFERROR(INDEX('BD2'!$H$15:$H$957,MATCH('Tab2'!E70&amp;'Tab2'!$I$10&amp;'Tab2'!$J$12,'BD2'!$F$15:$F$957&amp;'BD2'!$M$15:$M$957&amp;'BD2'!$N$15:$N$957,0)),"")</f>
        <v/>
      </c>
    </row>
    <row r="71" spans="2:10" x14ac:dyDescent="0.25">
      <c r="B71" s="2"/>
      <c r="C71" s="18">
        <f>'Cad1'!F73</f>
        <v>0</v>
      </c>
      <c r="E71" s="30" t="str">
        <f t="shared" si="0"/>
        <v/>
      </c>
      <c r="F71" s="160" t="str">
        <f t="array" ref="F71">IFERROR(INDEX('BD2'!$H$15:$H$957,MATCH('Tab2'!E71&amp;'Tab2'!$F$10:$H$10&amp;'Tab2'!$F$12,'BD2'!$F$15:$F$957&amp;'BD2'!$M$15:$M$957&amp;'BD2'!$N$15:$N$957,0)),"")</f>
        <v/>
      </c>
      <c r="G71" s="160" t="str">
        <f t="array" ref="G71">IFERROR(INDEX('BD2'!$Q$15:$Q$957,MATCH('Tab2'!E71&amp;$I$10&amp;$G$12,'BD2'!$F$15:$F$957&amp;'BD2'!$M$15:$M$957&amp;'BD2'!$N$15:$N$957,0)),"")</f>
        <v/>
      </c>
      <c r="H71" s="160" t="str">
        <f t="array" ref="H71">IFERROR(INDEX('BD2'!$Q$15:$Q$957,MATCH('Tab2'!E71&amp;$I$10&amp;'Tab2'!$H$12,'BD2'!$F$15:$F$957&amp;'BD2'!$M$15:$M$957&amp;'BD2'!$N$15:$N$957,0)),"")</f>
        <v/>
      </c>
      <c r="I71" s="160" t="str">
        <f t="array" ref="I71">IFERROR(INDEX('BD2'!$H$15:$H$957,MATCH('Tab2'!E71&amp;'Tab2'!$I$10&amp;'Tab2'!$I$12,'BD2'!$F$15:$F$957&amp;'BD2'!$M$15:$M$957&amp;'BD2'!$N$15:$N$957,0)),"")</f>
        <v/>
      </c>
      <c r="J71" s="160" t="str">
        <f t="array" ref="J71">IFERROR(INDEX('BD2'!$H$15:$H$957,MATCH('Tab2'!E71&amp;'Tab2'!$I$10&amp;'Tab2'!$J$12,'BD2'!$F$15:$F$957&amp;'BD2'!$M$15:$M$957&amp;'BD2'!$N$15:$N$957,0)),"")</f>
        <v/>
      </c>
    </row>
    <row r="72" spans="2:10" x14ac:dyDescent="0.25">
      <c r="B72" s="2"/>
      <c r="C72" s="18">
        <f>'Cad1'!F74</f>
        <v>0</v>
      </c>
      <c r="E72" s="30" t="str">
        <f t="shared" si="0"/>
        <v/>
      </c>
      <c r="F72" s="160" t="str">
        <f t="array" ref="F72">IFERROR(INDEX('BD2'!$H$15:$H$957,MATCH('Tab2'!E72&amp;'Tab2'!$F$10:$H$10&amp;'Tab2'!$F$12,'BD2'!$F$15:$F$957&amp;'BD2'!$M$15:$M$957&amp;'BD2'!$N$15:$N$957,0)),"")</f>
        <v/>
      </c>
      <c r="G72" s="160" t="str">
        <f t="array" ref="G72">IFERROR(INDEX('BD2'!$Q$15:$Q$957,MATCH('Tab2'!E72&amp;$I$10&amp;$G$12,'BD2'!$F$15:$F$957&amp;'BD2'!$M$15:$M$957&amp;'BD2'!$N$15:$N$957,0)),"")</f>
        <v/>
      </c>
      <c r="H72" s="160" t="str">
        <f t="array" ref="H72">IFERROR(INDEX('BD2'!$Q$15:$Q$957,MATCH('Tab2'!E72&amp;$I$10&amp;'Tab2'!$H$12,'BD2'!$F$15:$F$957&amp;'BD2'!$M$15:$M$957&amp;'BD2'!$N$15:$N$957,0)),"")</f>
        <v/>
      </c>
      <c r="I72" s="160" t="str">
        <f t="array" ref="I72">IFERROR(INDEX('BD2'!$H$15:$H$957,MATCH('Tab2'!E72&amp;'Tab2'!$I$10&amp;'Tab2'!$I$12,'BD2'!$F$15:$F$957&amp;'BD2'!$M$15:$M$957&amp;'BD2'!$N$15:$N$957,0)),"")</f>
        <v/>
      </c>
      <c r="J72" s="160" t="str">
        <f t="array" ref="J72">IFERROR(INDEX('BD2'!$H$15:$H$957,MATCH('Tab2'!E72&amp;'Tab2'!$I$10&amp;'Tab2'!$J$12,'BD2'!$F$15:$F$957&amp;'BD2'!$M$15:$M$957&amp;'BD2'!$N$15:$N$957,0)),"")</f>
        <v/>
      </c>
    </row>
    <row r="73" spans="2:10" x14ac:dyDescent="0.25">
      <c r="B73" s="2"/>
      <c r="C73" s="18">
        <f>'Cad1'!F75</f>
        <v>0</v>
      </c>
      <c r="E73" s="30" t="str">
        <f t="shared" si="0"/>
        <v/>
      </c>
      <c r="F73" s="160" t="str">
        <f t="array" ref="F73">IFERROR(INDEX('BD2'!$H$15:$H$957,MATCH('Tab2'!E73&amp;'Tab2'!$F$10:$H$10&amp;'Tab2'!$F$12,'BD2'!$F$15:$F$957&amp;'BD2'!$M$15:$M$957&amp;'BD2'!$N$15:$N$957,0)),"")</f>
        <v/>
      </c>
      <c r="G73" s="160" t="str">
        <f t="array" ref="G73">IFERROR(INDEX('BD2'!$Q$15:$Q$957,MATCH('Tab2'!E73&amp;$I$10&amp;$G$12,'BD2'!$F$15:$F$957&amp;'BD2'!$M$15:$M$957&amp;'BD2'!$N$15:$N$957,0)),"")</f>
        <v/>
      </c>
      <c r="H73" s="160" t="str">
        <f t="array" ref="H73">IFERROR(INDEX('BD2'!$Q$15:$Q$957,MATCH('Tab2'!E73&amp;$I$10&amp;'Tab2'!$H$12,'BD2'!$F$15:$F$957&amp;'BD2'!$M$15:$M$957&amp;'BD2'!$N$15:$N$957,0)),"")</f>
        <v/>
      </c>
      <c r="I73" s="160" t="str">
        <f t="array" ref="I73">IFERROR(INDEX('BD2'!$H$15:$H$957,MATCH('Tab2'!E73&amp;'Tab2'!$I$10&amp;'Tab2'!$I$12,'BD2'!$F$15:$F$957&amp;'BD2'!$M$15:$M$957&amp;'BD2'!$N$15:$N$957,0)),"")</f>
        <v/>
      </c>
      <c r="J73" s="160" t="str">
        <f t="array" ref="J73">IFERROR(INDEX('BD2'!$H$15:$H$957,MATCH('Tab2'!E73&amp;'Tab2'!$I$10&amp;'Tab2'!$J$12,'BD2'!$F$15:$F$957&amp;'BD2'!$M$15:$M$957&amp;'BD2'!$N$15:$N$957,0)),"")</f>
        <v/>
      </c>
    </row>
    <row r="74" spans="2:10" x14ac:dyDescent="0.25">
      <c r="B74" s="2"/>
      <c r="C74" s="18">
        <f>'Cad1'!F76</f>
        <v>0</v>
      </c>
      <c r="E74" s="30" t="str">
        <f t="shared" si="0"/>
        <v/>
      </c>
      <c r="F74" s="160" t="str">
        <f t="array" ref="F74">IFERROR(INDEX('BD2'!$H$15:$H$957,MATCH('Tab2'!E74&amp;'Tab2'!$F$10:$H$10&amp;'Tab2'!$F$12,'BD2'!$F$15:$F$957&amp;'BD2'!$M$15:$M$957&amp;'BD2'!$N$15:$N$957,0)),"")</f>
        <v/>
      </c>
      <c r="G74" s="160" t="str">
        <f t="array" ref="G74">IFERROR(INDEX('BD2'!$Q$15:$Q$957,MATCH('Tab2'!E74&amp;$I$10&amp;$G$12,'BD2'!$F$15:$F$957&amp;'BD2'!$M$15:$M$957&amp;'BD2'!$N$15:$N$957,0)),"")</f>
        <v/>
      </c>
      <c r="H74" s="160" t="str">
        <f t="array" ref="H74">IFERROR(INDEX('BD2'!$Q$15:$Q$957,MATCH('Tab2'!E74&amp;$I$10&amp;'Tab2'!$H$12,'BD2'!$F$15:$F$957&amp;'BD2'!$M$15:$M$957&amp;'BD2'!$N$15:$N$957,0)),"")</f>
        <v/>
      </c>
      <c r="I74" s="160" t="str">
        <f t="array" ref="I74">IFERROR(INDEX('BD2'!$H$15:$H$957,MATCH('Tab2'!E74&amp;'Tab2'!$I$10&amp;'Tab2'!$I$12,'BD2'!$F$15:$F$957&amp;'BD2'!$M$15:$M$957&amp;'BD2'!$N$15:$N$957,0)),"")</f>
        <v/>
      </c>
      <c r="J74" s="160" t="str">
        <f t="array" ref="J74">IFERROR(INDEX('BD2'!$H$15:$H$957,MATCH('Tab2'!E74&amp;'Tab2'!$I$10&amp;'Tab2'!$J$12,'BD2'!$F$15:$F$957&amp;'BD2'!$M$15:$M$957&amp;'BD2'!$N$15:$N$957,0)),"")</f>
        <v/>
      </c>
    </row>
    <row r="75" spans="2:10" x14ac:dyDescent="0.25">
      <c r="B75" s="2"/>
      <c r="C75" s="18">
        <f>'Cad1'!F77</f>
        <v>0</v>
      </c>
      <c r="E75" s="30" t="str">
        <f t="shared" si="0"/>
        <v/>
      </c>
      <c r="F75" s="160" t="str">
        <f t="array" ref="F75">IFERROR(INDEX('BD2'!$H$15:$H$957,MATCH('Tab2'!E75&amp;'Tab2'!$F$10:$H$10&amp;'Tab2'!$F$12,'BD2'!$F$15:$F$957&amp;'BD2'!$M$15:$M$957&amp;'BD2'!$N$15:$N$957,0)),"")</f>
        <v/>
      </c>
      <c r="G75" s="160" t="str">
        <f t="array" ref="G75">IFERROR(INDEX('BD2'!$Q$15:$Q$957,MATCH('Tab2'!E75&amp;$I$10&amp;$G$12,'BD2'!$F$15:$F$957&amp;'BD2'!$M$15:$M$957&amp;'BD2'!$N$15:$N$957,0)),"")</f>
        <v/>
      </c>
      <c r="H75" s="160" t="str">
        <f t="array" ref="H75">IFERROR(INDEX('BD2'!$Q$15:$Q$957,MATCH('Tab2'!E75&amp;$I$10&amp;'Tab2'!$H$12,'BD2'!$F$15:$F$957&amp;'BD2'!$M$15:$M$957&amp;'BD2'!$N$15:$N$957,0)),"")</f>
        <v/>
      </c>
      <c r="I75" s="160" t="str">
        <f t="array" ref="I75">IFERROR(INDEX('BD2'!$H$15:$H$957,MATCH('Tab2'!E75&amp;'Tab2'!$I$10&amp;'Tab2'!$I$12,'BD2'!$F$15:$F$957&amp;'BD2'!$M$15:$M$957&amp;'BD2'!$N$15:$N$957,0)),"")</f>
        <v/>
      </c>
      <c r="J75" s="160" t="str">
        <f t="array" ref="J75">IFERROR(INDEX('BD2'!$H$15:$H$957,MATCH('Tab2'!E75&amp;'Tab2'!$I$10&amp;'Tab2'!$J$12,'BD2'!$F$15:$F$957&amp;'BD2'!$M$15:$M$957&amp;'BD2'!$N$15:$N$957,0)),"")</f>
        <v/>
      </c>
    </row>
    <row r="76" spans="2:10" x14ac:dyDescent="0.25">
      <c r="B76" s="2"/>
      <c r="C76" s="18">
        <f>'Cad1'!F78</f>
        <v>0</v>
      </c>
      <c r="E76" s="30" t="str">
        <f t="shared" si="0"/>
        <v/>
      </c>
      <c r="F76" s="160" t="str">
        <f t="array" ref="F76">IFERROR(INDEX('BD2'!$H$15:$H$957,MATCH('Tab2'!E76&amp;'Tab2'!$F$10:$H$10&amp;'Tab2'!$F$12,'BD2'!$F$15:$F$957&amp;'BD2'!$M$15:$M$957&amp;'BD2'!$N$15:$N$957,0)),"")</f>
        <v/>
      </c>
      <c r="G76" s="160" t="str">
        <f t="array" ref="G76">IFERROR(INDEX('BD2'!$Q$15:$Q$957,MATCH('Tab2'!E76&amp;$I$10&amp;$G$12,'BD2'!$F$15:$F$957&amp;'BD2'!$M$15:$M$957&amp;'BD2'!$N$15:$N$957,0)),"")</f>
        <v/>
      </c>
      <c r="H76" s="160" t="str">
        <f t="array" ref="H76">IFERROR(INDEX('BD2'!$Q$15:$Q$957,MATCH('Tab2'!E76&amp;$I$10&amp;'Tab2'!$H$12,'BD2'!$F$15:$F$957&amp;'BD2'!$M$15:$M$957&amp;'BD2'!$N$15:$N$957,0)),"")</f>
        <v/>
      </c>
      <c r="I76" s="160" t="str">
        <f t="array" ref="I76">IFERROR(INDEX('BD2'!$H$15:$H$957,MATCH('Tab2'!E76&amp;'Tab2'!$I$10&amp;'Tab2'!$I$12,'BD2'!$F$15:$F$957&amp;'BD2'!$M$15:$M$957&amp;'BD2'!$N$15:$N$957,0)),"")</f>
        <v/>
      </c>
      <c r="J76" s="160" t="str">
        <f t="array" ref="J76">IFERROR(INDEX('BD2'!$H$15:$H$957,MATCH('Tab2'!E76&amp;'Tab2'!$I$10&amp;'Tab2'!$J$12,'BD2'!$F$15:$F$957&amp;'BD2'!$M$15:$M$957&amp;'BD2'!$N$15:$N$957,0)),"")</f>
        <v/>
      </c>
    </row>
    <row r="77" spans="2:10" x14ac:dyDescent="0.25">
      <c r="B77" s="2"/>
      <c r="C77" s="18">
        <f>'Cad1'!F79</f>
        <v>0</v>
      </c>
      <c r="E77" s="30" t="str">
        <f t="shared" si="0"/>
        <v/>
      </c>
      <c r="F77" s="160" t="str">
        <f t="array" ref="F77">IFERROR(INDEX('BD2'!$H$15:$H$957,MATCH('Tab2'!E77&amp;'Tab2'!$F$10:$H$10&amp;'Tab2'!$F$12,'BD2'!$F$15:$F$957&amp;'BD2'!$M$15:$M$957&amp;'BD2'!$N$15:$N$957,0)),"")</f>
        <v/>
      </c>
      <c r="G77" s="160" t="str">
        <f t="array" ref="G77">IFERROR(INDEX('BD2'!$Q$15:$Q$957,MATCH('Tab2'!E77&amp;$I$10&amp;$G$12,'BD2'!$F$15:$F$957&amp;'BD2'!$M$15:$M$957&amp;'BD2'!$N$15:$N$957,0)),"")</f>
        <v/>
      </c>
      <c r="H77" s="160" t="str">
        <f t="array" ref="H77">IFERROR(INDEX('BD2'!$Q$15:$Q$957,MATCH('Tab2'!E77&amp;$I$10&amp;'Tab2'!$H$12,'BD2'!$F$15:$F$957&amp;'BD2'!$M$15:$M$957&amp;'BD2'!$N$15:$N$957,0)),"")</f>
        <v/>
      </c>
      <c r="I77" s="160" t="str">
        <f t="array" ref="I77">IFERROR(INDEX('BD2'!$H$15:$H$957,MATCH('Tab2'!E77&amp;'Tab2'!$I$10&amp;'Tab2'!$I$12,'BD2'!$F$15:$F$957&amp;'BD2'!$M$15:$M$957&amp;'BD2'!$N$15:$N$957,0)),"")</f>
        <v/>
      </c>
      <c r="J77" s="160" t="str">
        <f t="array" ref="J77">IFERROR(INDEX('BD2'!$H$15:$H$957,MATCH('Tab2'!E77&amp;'Tab2'!$I$10&amp;'Tab2'!$J$12,'BD2'!$F$15:$F$957&amp;'BD2'!$M$15:$M$957&amp;'BD2'!$N$15:$N$957,0)),"")</f>
        <v/>
      </c>
    </row>
    <row r="78" spans="2:10" x14ac:dyDescent="0.25">
      <c r="B78" s="2"/>
      <c r="C78" s="18">
        <f>'Cad1'!F80</f>
        <v>0</v>
      </c>
      <c r="E78" s="30" t="str">
        <f t="shared" ref="E78:E79" si="1">IF(C78=0,"",C78)</f>
        <v/>
      </c>
      <c r="F78" s="160" t="str">
        <f t="array" ref="F78">IFERROR(INDEX('BD2'!$H$15:$H$957,MATCH('Tab2'!E78&amp;'Tab2'!$F$10:$H$10&amp;'Tab2'!$F$12,'BD2'!$F$15:$F$957&amp;'BD2'!$M$15:$M$957&amp;'BD2'!$N$15:$N$957,0)),"")</f>
        <v/>
      </c>
      <c r="G78" s="160" t="str">
        <f t="array" ref="G78">IFERROR(INDEX('BD2'!$Q$15:$Q$957,MATCH('Tab2'!E78&amp;$I$10&amp;$G$12,'BD2'!$F$15:$F$957&amp;'BD2'!$M$15:$M$957&amp;'BD2'!$N$15:$N$957,0)),"")</f>
        <v/>
      </c>
      <c r="H78" s="160" t="str">
        <f t="array" ref="H78">IFERROR(INDEX('BD2'!$Q$15:$Q$957,MATCH('Tab2'!E78&amp;$I$10&amp;'Tab2'!$H$12,'BD2'!$F$15:$F$957&amp;'BD2'!$M$15:$M$957&amp;'BD2'!$N$15:$N$957,0)),"")</f>
        <v/>
      </c>
      <c r="I78" s="160" t="str">
        <f t="array" ref="I78">IFERROR(INDEX('BD2'!$H$15:$H$957,MATCH('Tab2'!E78&amp;'Tab2'!$I$10&amp;'Tab2'!$I$12,'BD2'!$F$15:$F$957&amp;'BD2'!$M$15:$M$957&amp;'BD2'!$N$15:$N$957,0)),"")</f>
        <v/>
      </c>
      <c r="J78" s="160" t="str">
        <f t="array" ref="J78">IFERROR(INDEX('BD2'!$H$15:$H$957,MATCH('Tab2'!E78&amp;'Tab2'!$I$10&amp;'Tab2'!$J$12,'BD2'!$F$15:$F$957&amp;'BD2'!$M$15:$M$957&amp;'BD2'!$N$15:$N$957,0)),"")</f>
        <v/>
      </c>
    </row>
    <row r="79" spans="2:10" x14ac:dyDescent="0.25">
      <c r="B79" s="2"/>
      <c r="C79" s="18">
        <f>'Cad1'!F81</f>
        <v>0</v>
      </c>
      <c r="E79" s="30" t="str">
        <f t="shared" si="1"/>
        <v/>
      </c>
      <c r="F79" s="160" t="str">
        <f t="array" ref="F79">IFERROR(INDEX('BD2'!$H$15:$H$957,MATCH('Tab2'!E79&amp;'Tab2'!$F$10:$H$10&amp;'Tab2'!$F$12,'BD2'!$F$15:$F$957&amp;'BD2'!$M$15:$M$957&amp;'BD2'!$N$15:$N$957,0)),"")</f>
        <v/>
      </c>
      <c r="G79" s="160" t="str">
        <f t="array" ref="G79">IFERROR(INDEX('BD2'!$Q$15:$Q$957,MATCH('Tab2'!E79&amp;$I$10&amp;$G$12,'BD2'!$F$15:$F$957&amp;'BD2'!$M$15:$M$957&amp;'BD2'!$N$15:$N$957,0)),"")</f>
        <v/>
      </c>
      <c r="H79" s="160" t="str">
        <f t="array" ref="H79">IFERROR(INDEX('BD2'!$Q$15:$Q$957,MATCH('Tab2'!E79&amp;$I$10&amp;'Tab2'!$H$12,'BD2'!$F$15:$F$957&amp;'BD2'!$M$15:$M$957&amp;'BD2'!$N$15:$N$957,0)),"")</f>
        <v/>
      </c>
      <c r="I79" s="160" t="str">
        <f t="array" ref="I79">IFERROR(INDEX('BD2'!$H$15:$H$957,MATCH('Tab2'!E79&amp;'Tab2'!$I$10&amp;'Tab2'!$I$12,'BD2'!$F$15:$F$957&amp;'BD2'!$M$15:$M$957&amp;'BD2'!$N$15:$N$957,0)),"")</f>
        <v/>
      </c>
      <c r="J79" s="160" t="str">
        <f t="array" ref="J79">IFERROR(INDEX('BD2'!$H$15:$H$957,MATCH('Tab2'!E79&amp;'Tab2'!$I$10&amp;'Tab2'!$J$12,'BD2'!$F$15:$F$957&amp;'BD2'!$M$15:$M$957&amp;'BD2'!$N$15:$N$957,0)),"")</f>
        <v/>
      </c>
    </row>
    <row r="80" spans="2:10" x14ac:dyDescent="0.25">
      <c r="B80" s="2"/>
      <c r="F80" s="160" t="str">
        <f t="array" ref="F80">IFERROR(INDEX('BD2'!$H$15:$H$957,MATCH('Tab2'!E80&amp;'Tab2'!$F$10:$H$10&amp;'Tab2'!$F$12,'BD2'!$F$15:$F$957&amp;'BD2'!$M$15:$M$957&amp;'BD2'!$N$15:$N$957,0)),"")</f>
        <v/>
      </c>
      <c r="G80" s="160" t="str">
        <f t="array" ref="G80">IFERROR(INDEX('BD2'!$Q$15:$Q$957,MATCH('Tab2'!E80&amp;$I$10&amp;$G$12,'BD2'!$F$15:$F$957&amp;'BD2'!$M$15:$M$957&amp;'BD2'!$N$15:$N$957,0)),"")</f>
        <v/>
      </c>
      <c r="H80" s="160" t="str">
        <f t="array" ref="H80">IFERROR(INDEX('BD2'!$Q$15:$Q$957,MATCH('Tab2'!E80&amp;$I$10&amp;'Tab2'!$H$12,'BD2'!$F$15:$F$957&amp;'BD2'!$M$15:$M$957&amp;'BD2'!$N$15:$N$957,0)),"")</f>
        <v/>
      </c>
      <c r="I80" s="160" t="str">
        <f t="array" ref="I80">IFERROR(INDEX('BD2'!$H$15:$H$957,MATCH('Tab2'!E80&amp;'Tab2'!$I$10&amp;'Tab2'!$I$12,'BD2'!$F$15:$F$957&amp;'BD2'!$M$15:$M$957&amp;'BD2'!$N$15:$N$957,0)),"")</f>
        <v/>
      </c>
      <c r="J80" s="160" t="str">
        <f t="array" ref="J80">IFERROR(INDEX('BD2'!$H$15:$H$957,MATCH('Tab2'!E80&amp;'Tab2'!$I$10&amp;'Tab2'!$J$12,'BD2'!$F$15:$F$957&amp;'BD2'!$M$15:$M$957&amp;'BD2'!$N$15:$N$957,0)),"")</f>
        <v/>
      </c>
    </row>
    <row r="81" spans="2:10" x14ac:dyDescent="0.25">
      <c r="B81" s="2"/>
      <c r="F81" s="160" t="str">
        <f t="array" ref="F81">IFERROR(INDEX('BD2'!$H$15:$H$957,MATCH('Tab2'!E81&amp;'Tab2'!$F$10:$H$10&amp;'Tab2'!$F$12,'BD2'!$F$15:$F$957&amp;'BD2'!$M$15:$M$957&amp;'BD2'!$N$15:$N$957,0)),"")</f>
        <v/>
      </c>
      <c r="G81" s="160" t="str">
        <f t="array" ref="G81">IFERROR(INDEX('BD2'!$Q$15:$Q$957,MATCH('Tab2'!E81&amp;$I$10&amp;$G$12,'BD2'!$F$15:$F$957&amp;'BD2'!$M$15:$M$957&amp;'BD2'!$N$15:$N$957,0)),"")</f>
        <v/>
      </c>
      <c r="H81" s="160" t="str">
        <f t="array" ref="H81">IFERROR(INDEX('BD2'!$Q$15:$Q$957,MATCH('Tab2'!E81&amp;$I$10&amp;'Tab2'!$H$12,'BD2'!$F$15:$F$957&amp;'BD2'!$M$15:$M$957&amp;'BD2'!$N$15:$N$957,0)),"")</f>
        <v/>
      </c>
      <c r="I81" s="160" t="str">
        <f t="array" ref="I81">IFERROR(INDEX('BD2'!$H$15:$H$957,MATCH('Tab2'!E81&amp;'Tab2'!$I$10&amp;'Tab2'!$I$12,'BD2'!$F$15:$F$957&amp;'BD2'!$M$15:$M$957&amp;'BD2'!$N$15:$N$957,0)),"")</f>
        <v/>
      </c>
      <c r="J81" s="160" t="str">
        <f t="array" ref="J81">IFERROR(INDEX('BD2'!$H$15:$H$957,MATCH('Tab2'!E81&amp;'Tab2'!$I$10&amp;'Tab2'!$J$12,'BD2'!$F$15:$F$957&amp;'BD2'!$M$15:$M$957&amp;'BD2'!$N$15:$N$957,0)),"")</f>
        <v/>
      </c>
    </row>
    <row r="82" spans="2:10" x14ac:dyDescent="0.25">
      <c r="B82" s="2"/>
      <c r="F82" s="160" t="str">
        <f t="array" ref="F82">IFERROR(INDEX('BD2'!$H$15:$H$957,MATCH('Tab2'!E82&amp;'Tab2'!$F$10:$H$10&amp;'Tab2'!$F$12,'BD2'!$F$15:$F$957&amp;'BD2'!$M$15:$M$957&amp;'BD2'!$N$15:$N$957,0)),"")</f>
        <v/>
      </c>
      <c r="G82" s="160" t="str">
        <f t="array" ref="G82">IFERROR(INDEX('BD2'!$Q$15:$Q$957,MATCH('Tab2'!E82&amp;$I$10&amp;$G$12,'BD2'!$F$15:$F$957&amp;'BD2'!$M$15:$M$957&amp;'BD2'!$N$15:$N$957,0)),"")</f>
        <v/>
      </c>
      <c r="H82" s="160" t="str">
        <f t="array" ref="H82">IFERROR(INDEX('BD2'!$Q$15:$Q$957,MATCH('Tab2'!E82&amp;$I$10&amp;'Tab2'!$H$12,'BD2'!$F$15:$F$957&amp;'BD2'!$M$15:$M$957&amp;'BD2'!$N$15:$N$957,0)),"")</f>
        <v/>
      </c>
      <c r="I82" s="160" t="str">
        <f t="array" ref="I82">IFERROR(INDEX('BD2'!$H$15:$H$957,MATCH('Tab2'!E82&amp;'Tab2'!$I$10&amp;'Tab2'!$I$12,'BD2'!$F$15:$F$957&amp;'BD2'!$M$15:$M$957&amp;'BD2'!$N$15:$N$957,0)),"")</f>
        <v/>
      </c>
      <c r="J82" s="160" t="str">
        <f t="array" ref="J82">IFERROR(INDEX('BD2'!$H$15:$H$957,MATCH('Tab2'!E82&amp;'Tab2'!$I$10&amp;'Tab2'!$J$12,'BD2'!$F$15:$F$957&amp;'BD2'!$M$15:$M$957&amp;'BD2'!$N$15:$N$957,0)),"")</f>
        <v/>
      </c>
    </row>
    <row r="83" spans="2:10" x14ac:dyDescent="0.25">
      <c r="B83" s="2"/>
      <c r="F83" s="160" t="str">
        <f t="array" ref="F83">IFERROR(INDEX('BD2'!$H$15:$H$957,MATCH('Tab2'!E83&amp;'Tab2'!$F$10:$H$10&amp;'Tab2'!$F$12,'BD2'!$F$15:$F$957&amp;'BD2'!$M$15:$M$957&amp;'BD2'!$N$15:$N$957,0)),"")</f>
        <v/>
      </c>
      <c r="G83" s="160" t="str">
        <f t="array" ref="G83">IFERROR(INDEX('BD2'!$Q$15:$Q$957,MATCH('Tab2'!E83&amp;$I$10&amp;$G$12,'BD2'!$F$15:$F$957&amp;'BD2'!$M$15:$M$957&amp;'BD2'!$N$15:$N$957,0)),"")</f>
        <v/>
      </c>
      <c r="H83" s="160" t="str">
        <f t="array" ref="H83">IFERROR(INDEX('BD2'!$Q$15:$Q$957,MATCH('Tab2'!E83&amp;$I$10&amp;'Tab2'!$H$12,'BD2'!$F$15:$F$957&amp;'BD2'!$M$15:$M$957&amp;'BD2'!$N$15:$N$957,0)),"")</f>
        <v/>
      </c>
      <c r="I83" s="160" t="str">
        <f t="array" ref="I83">IFERROR(INDEX('BD2'!$H$15:$H$957,MATCH('Tab2'!E83&amp;'Tab2'!$I$10&amp;'Tab2'!$I$12,'BD2'!$F$15:$F$957&amp;'BD2'!$M$15:$M$957&amp;'BD2'!$N$15:$N$957,0)),"")</f>
        <v/>
      </c>
      <c r="J83" s="160" t="str">
        <f t="array" ref="J83">IFERROR(INDEX('BD2'!$H$15:$H$957,MATCH('Tab2'!E83&amp;'Tab2'!$I$10&amp;'Tab2'!$J$12,'BD2'!$F$15:$F$957&amp;'BD2'!$M$15:$M$957&amp;'BD2'!$N$15:$N$957,0)),"")</f>
        <v/>
      </c>
    </row>
    <row r="84" spans="2:10" x14ac:dyDescent="0.25">
      <c r="B84" s="2"/>
      <c r="F84" s="160" t="str">
        <f t="array" ref="F84">IFERROR(INDEX('BD2'!$H$15:$H$957,MATCH('Tab2'!E84&amp;'Tab2'!$F$10:$H$10&amp;'Tab2'!$F$12,'BD2'!$F$15:$F$957&amp;'BD2'!$M$15:$M$957&amp;'BD2'!$N$15:$N$957,0)),"")</f>
        <v/>
      </c>
      <c r="G84" s="160" t="str">
        <f t="array" ref="G84">IFERROR(INDEX('BD2'!$Q$15:$Q$957,MATCH('Tab2'!E84&amp;$I$10&amp;$G$12,'BD2'!$F$15:$F$957&amp;'BD2'!$M$15:$M$957&amp;'BD2'!$N$15:$N$957,0)),"")</f>
        <v/>
      </c>
      <c r="H84" s="160" t="str">
        <f t="array" ref="H84">IFERROR(INDEX('BD2'!$Q$15:$Q$957,MATCH('Tab2'!E84&amp;$I$10&amp;'Tab2'!$H$12,'BD2'!$F$15:$F$957&amp;'BD2'!$M$15:$M$957&amp;'BD2'!$N$15:$N$957,0)),"")</f>
        <v/>
      </c>
      <c r="I84" s="160" t="str">
        <f t="array" ref="I84">IFERROR(INDEX('BD2'!$H$15:$H$957,MATCH('Tab2'!E84&amp;'Tab2'!$I$10&amp;'Tab2'!$I$12,'BD2'!$F$15:$F$957&amp;'BD2'!$M$15:$M$957&amp;'BD2'!$N$15:$N$957,0)),"")</f>
        <v/>
      </c>
      <c r="J84" s="160" t="str">
        <f t="array" ref="J84">IFERROR(INDEX('BD2'!$H$15:$H$957,MATCH('Tab2'!E84&amp;'Tab2'!$I$10&amp;'Tab2'!$J$12,'BD2'!$F$15:$F$957&amp;'BD2'!$M$15:$M$957&amp;'BD2'!$N$15:$N$957,0)),"")</f>
        <v/>
      </c>
    </row>
    <row r="85" spans="2:10" x14ac:dyDescent="0.25">
      <c r="B85" s="2"/>
      <c r="F85" s="160" t="str">
        <f t="array" ref="F85">IFERROR(INDEX('BD2'!$H$15:$H$957,MATCH('Tab2'!E85&amp;'Tab2'!$F$10:$H$10&amp;'Tab2'!$F$12,'BD2'!$F$15:$F$957&amp;'BD2'!$M$15:$M$957&amp;'BD2'!$N$15:$N$957,0)),"")</f>
        <v/>
      </c>
      <c r="G85" s="160" t="str">
        <f t="array" ref="G85">IFERROR(INDEX('BD2'!$Q$15:$Q$957,MATCH('Tab2'!E85&amp;$I$10&amp;$G$12,'BD2'!$F$15:$F$957&amp;'BD2'!$M$15:$M$957&amp;'BD2'!$N$15:$N$957,0)),"")</f>
        <v/>
      </c>
      <c r="H85" s="160" t="str">
        <f t="array" ref="H85">IFERROR(INDEX('BD2'!$Q$15:$Q$957,MATCH('Tab2'!E85&amp;$I$10&amp;'Tab2'!$H$12,'BD2'!$F$15:$F$957&amp;'BD2'!$M$15:$M$957&amp;'BD2'!$N$15:$N$957,0)),"")</f>
        <v/>
      </c>
      <c r="I85" s="160" t="str">
        <f t="array" ref="I85">IFERROR(INDEX('BD2'!$H$15:$H$957,MATCH('Tab2'!E85&amp;'Tab2'!$I$10&amp;'Tab2'!$I$12,'BD2'!$F$15:$F$957&amp;'BD2'!$M$15:$M$957&amp;'BD2'!$N$15:$N$957,0)),"")</f>
        <v/>
      </c>
      <c r="J85" s="160" t="str">
        <f t="array" ref="J85">IFERROR(INDEX('BD2'!$H$15:$H$957,MATCH('Tab2'!E85&amp;'Tab2'!$I$10&amp;'Tab2'!$J$12,'BD2'!$F$15:$F$957&amp;'BD2'!$M$15:$M$957&amp;'BD2'!$N$15:$N$957,0)),"")</f>
        <v/>
      </c>
    </row>
    <row r="86" spans="2:10" x14ac:dyDescent="0.25">
      <c r="B86" s="2"/>
      <c r="F86" s="160" t="str">
        <f t="array" ref="F86">IFERROR(INDEX('BD2'!$H$15:$H$957,MATCH('Tab2'!E86&amp;'Tab2'!$F$10:$H$10&amp;'Tab2'!$F$12,'BD2'!$F$15:$F$957&amp;'BD2'!$M$15:$M$957&amp;'BD2'!$N$15:$N$957,0)),"")</f>
        <v/>
      </c>
      <c r="G86" s="160" t="str">
        <f t="array" ref="G86">IFERROR(INDEX('BD2'!$Q$15:$Q$957,MATCH('Tab2'!E86&amp;$I$10&amp;$G$12,'BD2'!$F$15:$F$957&amp;'BD2'!$M$15:$M$957&amp;'BD2'!$N$15:$N$957,0)),"")</f>
        <v/>
      </c>
      <c r="H86" s="160" t="str">
        <f t="array" ref="H86">IFERROR(INDEX('BD2'!$Q$15:$Q$957,MATCH('Tab2'!E86&amp;$I$10&amp;'Tab2'!$H$12,'BD2'!$F$15:$F$957&amp;'BD2'!$M$15:$M$957&amp;'BD2'!$N$15:$N$957,0)),"")</f>
        <v/>
      </c>
      <c r="I86" s="160" t="str">
        <f t="array" ref="I86">IFERROR(INDEX('BD2'!$H$15:$H$957,MATCH('Tab2'!E86&amp;'Tab2'!$I$10&amp;'Tab2'!$I$12,'BD2'!$F$15:$F$957&amp;'BD2'!$M$15:$M$957&amp;'BD2'!$N$15:$N$957,0)),"")</f>
        <v/>
      </c>
      <c r="J86" s="160" t="str">
        <f t="array" ref="J86">IFERROR(INDEX('BD2'!$H$15:$H$957,MATCH('Tab2'!E86&amp;'Tab2'!$I$10&amp;'Tab2'!$J$12,'BD2'!$F$15:$F$957&amp;'BD2'!$M$15:$M$957&amp;'BD2'!$N$15:$N$957,0)),"")</f>
        <v/>
      </c>
    </row>
    <row r="87" spans="2:10" x14ac:dyDescent="0.25">
      <c r="B87" s="2"/>
      <c r="F87" s="160" t="str">
        <f t="array" ref="F87">IFERROR(INDEX('BD2'!$H$15:$H$957,MATCH('Tab2'!E87&amp;'Tab2'!$F$10:$H$10&amp;'Tab2'!$F$12,'BD2'!$F$15:$F$957&amp;'BD2'!$M$15:$M$957&amp;'BD2'!$N$15:$N$957,0)),"")</f>
        <v/>
      </c>
      <c r="G87" s="160" t="str">
        <f t="array" ref="G87">IFERROR(INDEX('BD2'!$Q$15:$Q$957,MATCH('Tab2'!E87&amp;$I$10&amp;$G$12,'BD2'!$F$15:$F$957&amp;'BD2'!$M$15:$M$957&amp;'BD2'!$N$15:$N$957,0)),"")</f>
        <v/>
      </c>
      <c r="H87" s="160" t="str">
        <f t="array" ref="H87">IFERROR(INDEX('BD2'!$Q$15:$Q$957,MATCH('Tab2'!E87&amp;$I$10&amp;'Tab2'!$H$12,'BD2'!$F$15:$F$957&amp;'BD2'!$M$15:$M$957&amp;'BD2'!$N$15:$N$957,0)),"")</f>
        <v/>
      </c>
      <c r="I87" s="160" t="str">
        <f t="array" ref="I87">IFERROR(INDEX('BD2'!$H$15:$H$957,MATCH('Tab2'!E87&amp;'Tab2'!$I$10&amp;'Tab2'!$I$12,'BD2'!$F$15:$F$957&amp;'BD2'!$M$15:$M$957&amp;'BD2'!$N$15:$N$957,0)),"")</f>
        <v/>
      </c>
      <c r="J87" s="160" t="str">
        <f t="array" ref="J87">IFERROR(INDEX('BD2'!$H$15:$H$957,MATCH('Tab2'!E87&amp;'Tab2'!$I$10&amp;'Tab2'!$J$12,'BD2'!$F$15:$F$957&amp;'BD2'!$M$15:$M$957&amp;'BD2'!$N$15:$N$957,0)),"")</f>
        <v/>
      </c>
    </row>
    <row r="88" spans="2:10" x14ac:dyDescent="0.25">
      <c r="B88" s="2"/>
      <c r="F88" s="160" t="str">
        <f t="array" ref="F88">IFERROR(INDEX('BD2'!$H$15:$H$957,MATCH('Tab2'!E88&amp;'Tab2'!$F$10:$H$10&amp;'Tab2'!$F$12,'BD2'!$F$15:$F$957&amp;'BD2'!$M$15:$M$957&amp;'BD2'!$N$15:$N$957,0)),"")</f>
        <v/>
      </c>
      <c r="G88" s="160" t="str">
        <f t="array" ref="G88">IFERROR(INDEX('BD2'!$Q$15:$Q$957,MATCH('Tab2'!E88&amp;$I$10&amp;$G$12,'BD2'!$F$15:$F$957&amp;'BD2'!$M$15:$M$957&amp;'BD2'!$N$15:$N$957,0)),"")</f>
        <v/>
      </c>
      <c r="H88" s="160" t="str">
        <f t="array" ref="H88">IFERROR(INDEX('BD2'!$Q$15:$Q$957,MATCH('Tab2'!E88&amp;$I$10&amp;'Tab2'!$H$12,'BD2'!$F$15:$F$957&amp;'BD2'!$M$15:$M$957&amp;'BD2'!$N$15:$N$957,0)),"")</f>
        <v/>
      </c>
      <c r="I88" s="160" t="str">
        <f t="array" ref="I88">IFERROR(INDEX('BD2'!$H$15:$H$957,MATCH('Tab2'!E88&amp;'Tab2'!$I$10&amp;'Tab2'!$I$12,'BD2'!$F$15:$F$957&amp;'BD2'!$M$15:$M$957&amp;'BD2'!$N$15:$N$957,0)),"")</f>
        <v/>
      </c>
      <c r="J88" s="160" t="str">
        <f t="array" ref="J88">IFERROR(INDEX('BD2'!$H$15:$H$957,MATCH('Tab2'!E88&amp;'Tab2'!$I$10&amp;'Tab2'!$J$12,'BD2'!$F$15:$F$957&amp;'BD2'!$M$15:$M$957&amp;'BD2'!$N$15:$N$957,0)),"")</f>
        <v/>
      </c>
    </row>
    <row r="89" spans="2:10" ht="24" x14ac:dyDescent="0.25">
      <c r="B89" s="10"/>
      <c r="F89" s="160" t="str">
        <f t="array" ref="F89">IFERROR(INDEX('BD2'!$H$15:$H$957,MATCH('Tab2'!E89&amp;'Tab2'!$F$10:$H$10&amp;'Tab2'!$F$12,'BD2'!$F$15:$F$957&amp;'BD2'!$M$15:$M$957&amp;'BD2'!$N$15:$N$957,0)),"")</f>
        <v/>
      </c>
      <c r="G89" s="160" t="str">
        <f t="array" ref="G89">IFERROR(INDEX('BD2'!$Q$15:$Q$957,MATCH('Tab2'!E89&amp;$I$10&amp;$G$12,'BD2'!$F$15:$F$957&amp;'BD2'!$M$15:$M$957&amp;'BD2'!$N$15:$N$957,0)),"")</f>
        <v/>
      </c>
      <c r="H89" s="160" t="str">
        <f t="array" ref="H89">IFERROR(INDEX('BD2'!$Q$15:$Q$957,MATCH('Tab2'!E89&amp;$I$10&amp;'Tab2'!$H$12,'BD2'!$F$15:$F$957&amp;'BD2'!$M$15:$M$957&amp;'BD2'!$N$15:$N$957,0)),"")</f>
        <v/>
      </c>
      <c r="I89" s="160" t="str">
        <f t="array" ref="I89">IFERROR(INDEX('BD2'!$H$15:$H$957,MATCH('Tab2'!E89&amp;'Tab2'!$I$10&amp;'Tab2'!$I$12,'BD2'!$F$15:$F$957&amp;'BD2'!$M$15:$M$957&amp;'BD2'!$N$15:$N$957,0)),"")</f>
        <v/>
      </c>
      <c r="J89" s="160" t="str">
        <f t="array" ref="J89">IFERROR(INDEX('BD2'!$H$15:$H$957,MATCH('Tab2'!E89&amp;'Tab2'!$I$10&amp;'Tab2'!$J$12,'BD2'!$F$15:$F$957&amp;'BD2'!$M$15:$M$957&amp;'BD2'!$N$15:$N$957,0)),"")</f>
        <v/>
      </c>
    </row>
    <row r="90" spans="2:10" ht="24" x14ac:dyDescent="0.25">
      <c r="B90" s="10"/>
      <c r="F90" s="160" t="str">
        <f t="array" ref="F90">IFERROR(INDEX('BD2'!$H$15:$H$957,MATCH('Tab2'!E90&amp;'Tab2'!$F$10:$H$10&amp;'Tab2'!$F$12,'BD2'!$F$15:$F$957&amp;'BD2'!$M$15:$M$957&amp;'BD2'!$N$15:$N$957,0)),"")</f>
        <v/>
      </c>
      <c r="G90" s="160" t="str">
        <f t="array" ref="G90">IFERROR(INDEX('BD2'!$Q$15:$Q$957,MATCH('Tab2'!E90&amp;$I$10&amp;$G$12,'BD2'!$F$15:$F$957&amp;'BD2'!$M$15:$M$957&amp;'BD2'!$N$15:$N$957,0)),"")</f>
        <v/>
      </c>
      <c r="H90" s="160" t="str">
        <f t="array" ref="H90">IFERROR(INDEX('BD2'!$Q$15:$Q$957,MATCH('Tab2'!E90&amp;$I$10&amp;'Tab2'!$H$12,'BD2'!$F$15:$F$957&amp;'BD2'!$M$15:$M$957&amp;'BD2'!$N$15:$N$957,0)),"")</f>
        <v/>
      </c>
      <c r="I90" s="160" t="str">
        <f t="array" ref="I90">IFERROR(INDEX('BD2'!$H$15:$H$957,MATCH('Tab2'!E90&amp;'Tab2'!$I$10&amp;'Tab2'!$I$12,'BD2'!$F$15:$F$957&amp;'BD2'!$M$15:$M$957&amp;'BD2'!$N$15:$N$957,0)),"")</f>
        <v/>
      </c>
      <c r="J90" s="160" t="str">
        <f t="array" ref="J90">IFERROR(INDEX('BD2'!$H$15:$H$957,MATCH('Tab2'!E90&amp;'Tab2'!$I$10&amp;'Tab2'!$J$12,'BD2'!$F$15:$F$957&amp;'BD2'!$M$15:$M$957&amp;'BD2'!$N$15:$N$957,0)),"")</f>
        <v/>
      </c>
    </row>
    <row r="91" spans="2:10" ht="24" x14ac:dyDescent="0.25">
      <c r="B91" s="10"/>
      <c r="F91" s="160" t="str">
        <f t="array" ref="F91">IFERROR(INDEX('BD2'!$H$15:$H$957,MATCH('Tab2'!E91&amp;'Tab2'!$F$10:$H$10&amp;'Tab2'!$F$12,'BD2'!$F$15:$F$957&amp;'BD2'!$M$15:$M$957&amp;'BD2'!$N$15:$N$957,0)),"")</f>
        <v/>
      </c>
      <c r="G91" s="160" t="str">
        <f t="array" ref="G91">IFERROR(INDEX('BD2'!$Q$15:$Q$957,MATCH('Tab2'!E91&amp;$I$10&amp;$G$12,'BD2'!$F$15:$F$957&amp;'BD2'!$M$15:$M$957&amp;'BD2'!$N$15:$N$957,0)),"")</f>
        <v/>
      </c>
      <c r="H91" s="160" t="str">
        <f t="array" ref="H91">IFERROR(INDEX('BD2'!$Q$15:$Q$957,MATCH('Tab2'!E91&amp;$I$10&amp;'Tab2'!$H$12,'BD2'!$F$15:$F$957&amp;'BD2'!$M$15:$M$957&amp;'BD2'!$N$15:$N$957,0)),"")</f>
        <v/>
      </c>
      <c r="I91" s="160" t="str">
        <f t="array" ref="I91">IFERROR(INDEX('BD2'!$H$15:$H$957,MATCH('Tab2'!E91&amp;'Tab2'!$I$10&amp;'Tab2'!$I$12,'BD2'!$F$15:$F$957&amp;'BD2'!$M$15:$M$957&amp;'BD2'!$N$15:$N$957,0)),"")</f>
        <v/>
      </c>
      <c r="J91" s="160" t="str">
        <f t="array" ref="J91">IFERROR(INDEX('BD2'!$H$15:$H$957,MATCH('Tab2'!E91&amp;'Tab2'!$I$10&amp;'Tab2'!$J$12,'BD2'!$F$15:$F$957&amp;'BD2'!$M$15:$M$957&amp;'BD2'!$N$15:$N$957,0)),"")</f>
        <v/>
      </c>
    </row>
    <row r="92" spans="2:10" x14ac:dyDescent="0.25">
      <c r="B92" s="2"/>
      <c r="F92" s="160" t="str">
        <f t="array" ref="F92">IFERROR(INDEX('BD2'!$H$15:$H$957,MATCH('Tab2'!E92&amp;'Tab2'!$F$10:$H$10&amp;'Tab2'!$F$12,'BD2'!$F$15:$F$957&amp;'BD2'!$M$15:$M$957&amp;'BD2'!$N$15:$N$957,0)),"")</f>
        <v/>
      </c>
      <c r="G92" s="160" t="str">
        <f t="array" ref="G92">IFERROR(INDEX('BD2'!$Q$15:$Q$957,MATCH('Tab2'!E92&amp;$I$10&amp;$G$12,'BD2'!$F$15:$F$957&amp;'BD2'!$M$15:$M$957&amp;'BD2'!$N$15:$N$957,0)),"")</f>
        <v/>
      </c>
      <c r="H92" s="160" t="str">
        <f t="array" ref="H92">IFERROR(INDEX('BD2'!$Q$15:$Q$957,MATCH('Tab2'!E92&amp;$I$10&amp;'Tab2'!$H$12,'BD2'!$F$15:$F$957&amp;'BD2'!$M$15:$M$957&amp;'BD2'!$N$15:$N$957,0)),"")</f>
        <v/>
      </c>
      <c r="I92" s="160" t="str">
        <f t="array" ref="I92">IFERROR(INDEX('BD2'!$H$15:$H$957,MATCH('Tab2'!E92&amp;'Tab2'!$I$10&amp;'Tab2'!$I$12,'BD2'!$F$15:$F$957&amp;'BD2'!$M$15:$M$957&amp;'BD2'!$N$15:$N$957,0)),"")</f>
        <v/>
      </c>
      <c r="J92" s="160" t="str">
        <f t="array" ref="J92">IFERROR(INDEX('BD2'!$H$15:$H$957,MATCH('Tab2'!E92&amp;'Tab2'!$I$10&amp;'Tab2'!$J$12,'BD2'!$F$15:$F$957&amp;'BD2'!$M$15:$M$957&amp;'BD2'!$N$15:$N$957,0)),"")</f>
        <v/>
      </c>
    </row>
    <row r="93" spans="2:10" x14ac:dyDescent="0.25">
      <c r="F93" s="160" t="str">
        <f t="array" ref="F93">IFERROR(INDEX('BD2'!$H$15:$H$957,MATCH('Tab2'!E93&amp;'Tab2'!$F$10:$H$10&amp;'Tab2'!$F$12,'BD2'!$F$15:$F$957&amp;'BD2'!$M$15:$M$957&amp;'BD2'!$N$15:$N$957,0)),"")</f>
        <v/>
      </c>
      <c r="G93" s="160" t="str">
        <f t="array" ref="G93">IFERROR(INDEX('BD2'!$Q$15:$Q$957,MATCH('Tab2'!E93&amp;$I$10&amp;$G$12,'BD2'!$F$15:$F$957&amp;'BD2'!$M$15:$M$957&amp;'BD2'!$N$15:$N$957,0)),"")</f>
        <v/>
      </c>
      <c r="H93" s="160" t="str">
        <f t="array" ref="H93">IFERROR(INDEX('BD2'!$Q$15:$Q$957,MATCH('Tab2'!E93&amp;$I$10&amp;'Tab2'!$H$12,'BD2'!$F$15:$F$957&amp;'BD2'!$M$15:$M$957&amp;'BD2'!$N$15:$N$957,0)),"")</f>
        <v/>
      </c>
      <c r="I93" s="160" t="str">
        <f t="array" ref="I93">IFERROR(INDEX('BD2'!$H$15:$H$957,MATCH('Tab2'!E93&amp;'Tab2'!$I$10&amp;'Tab2'!$I$12,'BD2'!$F$15:$F$957&amp;'BD2'!$M$15:$M$957&amp;'BD2'!$N$15:$N$957,0)),"")</f>
        <v/>
      </c>
      <c r="J93" s="160" t="str">
        <f t="array" ref="J93">IFERROR(INDEX('BD2'!$H$15:$H$957,MATCH('Tab2'!E93&amp;'Tab2'!$I$10&amp;'Tab2'!$J$12,'BD2'!$F$15:$F$957&amp;'BD2'!$M$15:$M$957&amp;'BD2'!$N$15:$N$957,0)),"")</f>
        <v/>
      </c>
    </row>
    <row r="94" spans="2:10" x14ac:dyDescent="0.25">
      <c r="F94" s="160" t="str">
        <f t="array" ref="F94">IFERROR(INDEX('BD2'!$H$15:$H$957,MATCH('Tab2'!E94&amp;'Tab2'!$F$10:$H$10&amp;'Tab2'!$F$12,'BD2'!$F$15:$F$957&amp;'BD2'!$M$15:$M$957&amp;'BD2'!$N$15:$N$957,0)),"")</f>
        <v/>
      </c>
      <c r="G94" s="160" t="str">
        <f t="array" ref="G94">IFERROR(INDEX('BD2'!$Q$15:$Q$957,MATCH('Tab2'!E94&amp;$I$10&amp;$G$12,'BD2'!$F$15:$F$957&amp;'BD2'!$M$15:$M$957&amp;'BD2'!$N$15:$N$957,0)),"")</f>
        <v/>
      </c>
      <c r="H94" s="160" t="str">
        <f t="array" ref="H94">IFERROR(INDEX('BD2'!$Q$15:$Q$957,MATCH('Tab2'!E94&amp;$I$10&amp;'Tab2'!$H$12,'BD2'!$F$15:$F$957&amp;'BD2'!$M$15:$M$957&amp;'BD2'!$N$15:$N$957,0)),"")</f>
        <v/>
      </c>
      <c r="I94" s="160" t="str">
        <f t="array" ref="I94">IFERROR(INDEX('BD2'!$H$15:$H$957,MATCH('Tab2'!E94&amp;'Tab2'!$I$10&amp;'Tab2'!$I$12,'BD2'!$F$15:$F$957&amp;'BD2'!$M$15:$M$957&amp;'BD2'!$N$15:$N$957,0)),"")</f>
        <v/>
      </c>
      <c r="J94" s="160" t="str">
        <f t="array" ref="J94">IFERROR(INDEX('BD2'!$H$15:$H$957,MATCH('Tab2'!E94&amp;'Tab2'!$I$10&amp;'Tab2'!$J$12,'BD2'!$F$15:$F$957&amp;'BD2'!$M$15:$M$957&amp;'BD2'!$N$15:$N$957,0)),"")</f>
        <v/>
      </c>
    </row>
    <row r="95" spans="2:10" x14ac:dyDescent="0.25">
      <c r="F95" s="160" t="str">
        <f t="array" ref="F95">IFERROR(INDEX('BD2'!$H$15:$H$957,MATCH('Tab2'!E95&amp;'Tab2'!$F$10:$H$10&amp;'Tab2'!$F$12,'BD2'!$F$15:$F$957&amp;'BD2'!$M$15:$M$957&amp;'BD2'!$N$15:$N$957,0)),"")</f>
        <v/>
      </c>
      <c r="G95" s="160" t="str">
        <f t="array" ref="G95">IFERROR(INDEX('BD2'!$Q$15:$Q$957,MATCH('Tab2'!E95&amp;$I$10&amp;$G$12,'BD2'!$F$15:$F$957&amp;'BD2'!$M$15:$M$957&amp;'BD2'!$N$15:$N$957,0)),"")</f>
        <v/>
      </c>
      <c r="H95" s="160" t="str">
        <f t="array" ref="H95">IFERROR(INDEX('BD2'!$Q$15:$Q$957,MATCH('Tab2'!E95&amp;$I$10&amp;'Tab2'!$H$12,'BD2'!$F$15:$F$957&amp;'BD2'!$M$15:$M$957&amp;'BD2'!$N$15:$N$957,0)),"")</f>
        <v/>
      </c>
      <c r="I95" s="160" t="str">
        <f t="array" ref="I95">IFERROR(INDEX('BD2'!$H$15:$H$957,MATCH('Tab2'!E95&amp;'Tab2'!$I$10&amp;'Tab2'!$I$12,'BD2'!$F$15:$F$957&amp;'BD2'!$M$15:$M$957&amp;'BD2'!$N$15:$N$957,0)),"")</f>
        <v/>
      </c>
      <c r="J95" s="160" t="str">
        <f t="array" ref="J95">IFERROR(INDEX('BD2'!$H$15:$H$957,MATCH('Tab2'!E95&amp;'Tab2'!$I$10&amp;'Tab2'!$J$12,'BD2'!$F$15:$F$957&amp;'BD2'!$M$15:$M$957&amp;'BD2'!$N$15:$N$957,0)),"")</f>
        <v/>
      </c>
    </row>
    <row r="96" spans="2:10" x14ac:dyDescent="0.25">
      <c r="F96" s="160" t="str">
        <f t="array" ref="F96">IFERROR(INDEX('BD2'!$H$15:$H$957,MATCH('Tab2'!E96&amp;'Tab2'!$F$10:$H$10&amp;'Tab2'!$F$12,'BD2'!$F$15:$F$957&amp;'BD2'!$M$15:$M$957&amp;'BD2'!$N$15:$N$957,0)),"")</f>
        <v/>
      </c>
      <c r="G96" s="160" t="str">
        <f t="array" ref="G96">IFERROR(INDEX('BD2'!$Q$15:$Q$957,MATCH('Tab2'!E96&amp;$I$10&amp;$G$12,'BD2'!$F$15:$F$957&amp;'BD2'!$M$15:$M$957&amp;'BD2'!$N$15:$N$957,0)),"")</f>
        <v/>
      </c>
      <c r="H96" s="160" t="str">
        <f t="array" ref="H96">IFERROR(INDEX('BD2'!$Q$15:$Q$957,MATCH('Tab2'!E96&amp;$I$10&amp;'Tab2'!$H$12,'BD2'!$F$15:$F$957&amp;'BD2'!$M$15:$M$957&amp;'BD2'!$N$15:$N$957,0)),"")</f>
        <v/>
      </c>
      <c r="I96" s="160" t="str">
        <f t="array" ref="I96">IFERROR(INDEX('BD2'!$H$15:$H$957,MATCH('Tab2'!E96&amp;'Tab2'!$I$10&amp;'Tab2'!$I$12,'BD2'!$F$15:$F$957&amp;'BD2'!$M$15:$M$957&amp;'BD2'!$N$15:$N$957,0)),"")</f>
        <v/>
      </c>
      <c r="J96" s="160" t="str">
        <f t="array" ref="J96">IFERROR(INDEX('BD2'!$H$15:$H$957,MATCH('Tab2'!E96&amp;'Tab2'!$I$10&amp;'Tab2'!$J$12,'BD2'!$F$15:$F$957&amp;'BD2'!$M$15:$M$957&amp;'BD2'!$N$15:$N$957,0)),"")</f>
        <v/>
      </c>
    </row>
    <row r="97" spans="6:10" x14ac:dyDescent="0.25">
      <c r="F97" s="160" t="str">
        <f t="array" ref="F97">IFERROR(INDEX('BD2'!$H$15:$H$957,MATCH('Tab2'!E97&amp;'Tab2'!$F$10:$H$10&amp;'Tab2'!$F$12,'BD2'!$F$15:$F$957&amp;'BD2'!$M$15:$M$957&amp;'BD2'!$N$15:$N$957,0)),"")</f>
        <v/>
      </c>
      <c r="G97" s="160" t="str">
        <f t="array" ref="G97">IFERROR(INDEX('BD2'!$Q$15:$Q$957,MATCH('Tab2'!E97&amp;$I$10&amp;$G$12,'BD2'!$F$15:$F$957&amp;'BD2'!$M$15:$M$957&amp;'BD2'!$N$15:$N$957,0)),"")</f>
        <v/>
      </c>
      <c r="H97" s="160" t="str">
        <f t="array" ref="H97">IFERROR(INDEX('BD2'!$Q$15:$Q$957,MATCH('Tab2'!E97&amp;$I$10&amp;'Tab2'!$H$12,'BD2'!$F$15:$F$957&amp;'BD2'!$M$15:$M$957&amp;'BD2'!$N$15:$N$957,0)),"")</f>
        <v/>
      </c>
      <c r="I97" s="160" t="str">
        <f t="array" ref="I97">IFERROR(INDEX('BD2'!$H$15:$H$957,MATCH('Tab2'!E97&amp;'Tab2'!$I$10&amp;'Tab2'!$I$12,'BD2'!$F$15:$F$957&amp;'BD2'!$M$15:$M$957&amp;'BD2'!$N$15:$N$957,0)),"")</f>
        <v/>
      </c>
      <c r="J97" s="160" t="str">
        <f t="array" ref="J97">IFERROR(INDEX('BD2'!$H$15:$H$957,MATCH('Tab2'!E97&amp;'Tab2'!$I$10&amp;'Tab2'!$J$12,'BD2'!$F$15:$F$957&amp;'BD2'!$M$15:$M$957&amp;'BD2'!$N$15:$N$957,0)),"")</f>
        <v/>
      </c>
    </row>
    <row r="98" spans="6:10" x14ac:dyDescent="0.25">
      <c r="F98" s="160" t="str">
        <f t="array" ref="F98">IFERROR(INDEX('BD2'!$H$15:$H$957,MATCH('Tab2'!E98&amp;'Tab2'!$F$10:$H$10&amp;'Tab2'!$F$12,'BD2'!$F$15:$F$957&amp;'BD2'!$M$15:$M$957&amp;'BD2'!$N$15:$N$957,0)),"")</f>
        <v/>
      </c>
      <c r="G98" s="160" t="str">
        <f t="array" ref="G98">IFERROR(INDEX('BD2'!$Q$15:$Q$957,MATCH('Tab2'!E98&amp;$I$10&amp;$G$12,'BD2'!$F$15:$F$957&amp;'BD2'!$M$15:$M$957&amp;'BD2'!$N$15:$N$957,0)),"")</f>
        <v/>
      </c>
      <c r="H98" s="160" t="str">
        <f t="array" ref="H98">IFERROR(INDEX('BD2'!$Q$15:$Q$957,MATCH('Tab2'!E98&amp;$I$10&amp;'Tab2'!$H$12,'BD2'!$F$15:$F$957&amp;'BD2'!$M$15:$M$957&amp;'BD2'!$N$15:$N$957,0)),"")</f>
        <v/>
      </c>
      <c r="I98" s="160" t="str">
        <f t="array" ref="I98">IFERROR(INDEX('BD2'!$H$15:$H$957,MATCH('Tab2'!E98&amp;'Tab2'!$I$10&amp;'Tab2'!$I$12,'BD2'!$F$15:$F$957&amp;'BD2'!$M$15:$M$957&amp;'BD2'!$N$15:$N$957,0)),"")</f>
        <v/>
      </c>
      <c r="J98" s="160" t="str">
        <f t="array" ref="J98">IFERROR(INDEX('BD2'!$H$15:$H$957,MATCH('Tab2'!E98&amp;'Tab2'!$I$10&amp;'Tab2'!$J$12,'BD2'!$F$15:$F$957&amp;'BD2'!$M$15:$M$957&amp;'BD2'!$N$15:$N$957,0)),"")</f>
        <v/>
      </c>
    </row>
    <row r="99" spans="6:10" x14ac:dyDescent="0.25">
      <c r="F99" s="160" t="str">
        <f t="array" ref="F99">IFERROR(INDEX('BD2'!$H$15:$H$957,MATCH('Tab2'!E99&amp;'Tab2'!$F$10:$H$10&amp;'Tab2'!$F$12,'BD2'!$F$15:$F$957&amp;'BD2'!$M$15:$M$957&amp;'BD2'!$N$15:$N$957,0)),"")</f>
        <v/>
      </c>
      <c r="G99" s="160" t="str">
        <f t="array" ref="G99">IFERROR(INDEX('BD2'!$Q$15:$Q$957,MATCH('Tab2'!E99&amp;$I$10&amp;$G$12,'BD2'!$F$15:$F$957&amp;'BD2'!$M$15:$M$957&amp;'BD2'!$N$15:$N$957,0)),"")</f>
        <v/>
      </c>
      <c r="H99" s="160" t="str">
        <f t="array" ref="H99">IFERROR(INDEX('BD2'!$Q$15:$Q$957,MATCH('Tab2'!E99&amp;$I$10&amp;'Tab2'!$H$12,'BD2'!$F$15:$F$957&amp;'BD2'!$M$15:$M$957&amp;'BD2'!$N$15:$N$957,0)),"")</f>
        <v/>
      </c>
      <c r="I99" s="160" t="str">
        <f t="array" ref="I99">IFERROR(INDEX('BD2'!$H$15:$H$957,MATCH('Tab2'!E99&amp;'Tab2'!$I$10&amp;'Tab2'!$I$12,'BD2'!$F$15:$F$957&amp;'BD2'!$M$15:$M$957&amp;'BD2'!$N$15:$N$957,0)),"")</f>
        <v/>
      </c>
      <c r="J99" s="160" t="str">
        <f t="array" ref="J99">IFERROR(INDEX('BD2'!$H$15:$H$957,MATCH('Tab2'!E99&amp;'Tab2'!$I$10&amp;'Tab2'!$J$12,'BD2'!$F$15:$F$957&amp;'BD2'!$M$15:$M$957&amp;'BD2'!$N$15:$N$957,0)),"")</f>
        <v/>
      </c>
    </row>
    <row r="100" spans="6:10" x14ac:dyDescent="0.25">
      <c r="F100" s="160" t="str">
        <f t="array" ref="F100">IFERROR(INDEX('BD2'!$H$15:$H$957,MATCH('Tab2'!E100&amp;'Tab2'!$F$10:$H$10&amp;'Tab2'!$F$12,'BD2'!$F$15:$F$957&amp;'BD2'!$M$15:$M$957&amp;'BD2'!$N$15:$N$957,0)),"")</f>
        <v/>
      </c>
      <c r="G100" s="160" t="str">
        <f t="array" ref="G100">IFERROR(INDEX('BD2'!$Q$15:$Q$957,MATCH('Tab2'!E100&amp;$I$10&amp;$G$12,'BD2'!$F$15:$F$957&amp;'BD2'!$M$15:$M$957&amp;'BD2'!$N$15:$N$957,0)),"")</f>
        <v/>
      </c>
      <c r="H100" s="160" t="str">
        <f t="array" ref="H100">IFERROR(INDEX('BD2'!$Q$15:$Q$957,MATCH('Tab2'!E100&amp;$I$10&amp;'Tab2'!$H$12,'BD2'!$F$15:$F$957&amp;'BD2'!$M$15:$M$957&amp;'BD2'!$N$15:$N$957,0)),"")</f>
        <v/>
      </c>
      <c r="I100" s="160" t="str">
        <f t="array" ref="I100">IFERROR(INDEX('BD2'!$H$15:$H$957,MATCH('Tab2'!E100&amp;'Tab2'!$I$10&amp;'Tab2'!$I$12,'BD2'!$F$15:$F$957&amp;'BD2'!$M$15:$M$957&amp;'BD2'!$N$15:$N$957,0)),"")</f>
        <v/>
      </c>
      <c r="J100" s="160" t="str">
        <f t="array" ref="J100">IFERROR(INDEX('BD2'!$H$15:$H$957,MATCH('Tab2'!E100&amp;'Tab2'!$I$10&amp;'Tab2'!$J$12,'BD2'!$F$15:$F$957&amp;'BD2'!$M$15:$M$957&amp;'BD2'!$N$15:$N$957,0)),"")</f>
        <v/>
      </c>
    </row>
    <row r="101" spans="6:10" x14ac:dyDescent="0.25">
      <c r="F101" s="160"/>
      <c r="G101" s="160" t="str">
        <f t="array" ref="G101">IFERROR(INDEX('BD2'!$Q$15:$Q$957,MATCH('Tab2'!E101&amp;$I$10&amp;$G$12,'BD2'!$F$15:$F$957&amp;'BD2'!$M$15:$M$957&amp;'BD2'!$N$15:$N$957,0)),"")</f>
        <v/>
      </c>
      <c r="H101" s="160" t="str">
        <f t="array" ref="H101">IFERROR(INDEX('BD2'!$Q$15:$Q$957,MATCH('Tab2'!E101&amp;$I$10&amp;'Tab2'!$H$12,'BD2'!$F$15:$F$957&amp;'BD2'!$M$15:$M$957&amp;'BD2'!$N$15:$N$957,0)),"")</f>
        <v/>
      </c>
      <c r="I101" s="160"/>
      <c r="J101" s="160"/>
    </row>
    <row r="102" spans="6:10" x14ac:dyDescent="0.25">
      <c r="G102" s="160" t="str">
        <f t="array" ref="G102">IFERROR(INDEX('BD2'!$Q$15:$Q$957,MATCH('Tab2'!E102&amp;$I$10&amp;$G$12,'BD2'!$F$15:$F$957&amp;'BD2'!$M$15:$M$957&amp;'BD2'!$N$15:$N$957,0)),"")</f>
        <v/>
      </c>
      <c r="H102" s="160" t="str">
        <f t="array" ref="H102">IFERROR(INDEX('BD2'!$Q$15:$Q$957,MATCH('Tab2'!E102&amp;$I$10&amp;'Tab2'!$H$12,'BD2'!$F$15:$F$957&amp;'BD2'!$M$15:$M$957&amp;'BD2'!$N$15:$N$957,0)),"")</f>
        <v/>
      </c>
    </row>
    <row r="103" spans="6:10" x14ac:dyDescent="0.25">
      <c r="G103" s="160" t="str">
        <f t="array" ref="G103">IFERROR(INDEX('BD2'!$Q$15:$Q$957,MATCH('Tab2'!E103&amp;$I$10&amp;$G$12,'BD2'!$F$15:$F$957&amp;'BD2'!$M$15:$M$957&amp;'BD2'!$N$15:$N$957,0)),"")</f>
        <v/>
      </c>
      <c r="H103" s="160" t="str">
        <f t="array" ref="H103">IFERROR(INDEX('BD2'!$Q$15:$Q$957,MATCH('Tab2'!E103&amp;$I$10&amp;'Tab2'!$H$12,'BD2'!$F$15:$F$957&amp;'BD2'!$M$15:$M$957&amp;'BD2'!$N$15:$N$957,0)),"")</f>
        <v/>
      </c>
    </row>
    <row r="104" spans="6:10" x14ac:dyDescent="0.25">
      <c r="G104" s="160" t="str">
        <f t="array" ref="G104">IFERROR(INDEX('BD2'!$Q$15:$Q$957,MATCH('Tab2'!E104&amp;$I$10&amp;$G$12,'BD2'!$F$15:$F$957&amp;'BD2'!$M$15:$M$957&amp;'BD2'!$N$15:$N$957,0)),"")</f>
        <v/>
      </c>
      <c r="H104" s="160" t="str">
        <f t="array" ref="H104">IFERROR(INDEX('BD2'!$Q$15:$Q$957,MATCH('Tab2'!E104&amp;$I$10&amp;'Tab2'!$H$12,'BD2'!$F$15:$F$957&amp;'BD2'!$M$15:$M$957&amp;'BD2'!$N$15:$N$957,0)),"")</f>
        <v/>
      </c>
    </row>
    <row r="105" spans="6:10" x14ac:dyDescent="0.25">
      <c r="G105" s="160" t="str">
        <f t="array" ref="G105">IFERROR(INDEX('BD2'!$Q$15:$Q$957,MATCH('Tab2'!E105&amp;$I$10&amp;$G$12,'BD2'!$F$15:$F$957&amp;'BD2'!$M$15:$M$957&amp;'BD2'!$N$15:$N$957,0)),"")</f>
        <v/>
      </c>
      <c r="H105" s="160" t="str">
        <f t="array" ref="H105">IFERROR(INDEX('BD2'!$Q$15:$Q$957,MATCH('Tab2'!E105&amp;$I$10&amp;'Tab2'!$H$12,'BD2'!$F$15:$F$957&amp;'BD2'!$M$15:$M$957&amp;'BD2'!$N$15:$N$957,0)),"")</f>
        <v/>
      </c>
    </row>
    <row r="106" spans="6:10" x14ac:dyDescent="0.25">
      <c r="G106" s="160" t="str">
        <f t="array" ref="G106">IFERROR(INDEX('BD2'!$Q$15:$Q$957,MATCH('Tab2'!E106&amp;$I$10&amp;$G$12,'BD2'!$F$15:$F$957&amp;'BD2'!$M$15:$M$957&amp;'BD2'!$N$15:$N$957,0)),"")</f>
        <v/>
      </c>
      <c r="H106" s="160" t="str">
        <f t="array" ref="H106">IFERROR(INDEX('BD2'!$Q$15:$Q$957,MATCH('Tab2'!E106&amp;$I$10&amp;'Tab2'!$H$12,'BD2'!$F$15:$F$957&amp;'BD2'!$M$15:$M$957&amp;'BD2'!$N$15:$N$957,0)),"")</f>
        <v/>
      </c>
    </row>
    <row r="107" spans="6:10" x14ac:dyDescent="0.25">
      <c r="G107" s="160" t="str">
        <f t="array" ref="G107">IFERROR(INDEX('BD2'!$Q$15:$Q$957,MATCH('Tab2'!E107&amp;$I$10&amp;$G$12,'BD2'!$F$15:$F$957&amp;'BD2'!$M$15:$M$957&amp;'BD2'!$N$15:$N$957,0)),"")</f>
        <v/>
      </c>
      <c r="H107" s="160" t="str">
        <f t="array" ref="H107">IFERROR(INDEX('BD2'!$Q$15:$Q$957,MATCH('Tab2'!E107&amp;$I$10&amp;'Tab2'!$H$12,'BD2'!$F$15:$F$957&amp;'BD2'!$M$15:$M$957&amp;'BD2'!$N$15:$N$957,0)),"")</f>
        <v/>
      </c>
    </row>
    <row r="108" spans="6:10" x14ac:dyDescent="0.25">
      <c r="G108" s="160" t="str">
        <f t="array" ref="G108">IFERROR(INDEX('BD2'!$Q$15:$Q$957,MATCH('Tab2'!E108&amp;$I$10&amp;$G$12,'BD2'!$F$15:$F$957&amp;'BD2'!$M$15:$M$957&amp;'BD2'!$N$15:$N$957,0)),"")</f>
        <v/>
      </c>
      <c r="H108" s="160" t="str">
        <f t="array" ref="H108">IFERROR(INDEX('BD2'!$Q$15:$Q$957,MATCH('Tab2'!E108&amp;$I$10&amp;'Tab2'!$H$12,'BD2'!$F$15:$F$957&amp;'BD2'!$M$15:$M$957&amp;'BD2'!$N$15:$N$957,0)),"")</f>
        <v/>
      </c>
    </row>
    <row r="109" spans="6:10" x14ac:dyDescent="0.25">
      <c r="G109" s="160" t="str">
        <f t="array" ref="G109">IFERROR(INDEX('BD2'!$Q$15:$Q$957,MATCH('Tab2'!E109&amp;$I$10&amp;$G$12,'BD2'!$F$15:$F$957&amp;'BD2'!$M$15:$M$957&amp;'BD2'!$N$15:$N$957,0)),"")</f>
        <v/>
      </c>
      <c r="H109" s="160" t="str">
        <f t="array" ref="H109">IFERROR(INDEX('BD2'!$Q$15:$Q$957,MATCH('Tab2'!E109&amp;$I$10&amp;'Tab2'!$H$12,'BD2'!$F$15:$F$957&amp;'BD2'!$M$15:$M$957&amp;'BD2'!$N$15:$N$957,0)),"")</f>
        <v/>
      </c>
    </row>
    <row r="110" spans="6:10" x14ac:dyDescent="0.25">
      <c r="G110" s="160" t="str">
        <f t="array" ref="G110">IFERROR(INDEX('BD2'!$Q$15:$Q$957,MATCH('Tab2'!E110&amp;$I$10&amp;$G$12,'BD2'!$F$15:$F$957&amp;'BD2'!$M$15:$M$957&amp;'BD2'!$N$15:$N$957,0)),"")</f>
        <v/>
      </c>
      <c r="H110" s="160" t="str">
        <f t="array" ref="H110">IFERROR(INDEX('BD2'!$Q$15:$Q$957,MATCH('Tab2'!E110&amp;$I$10&amp;'Tab2'!$H$12,'BD2'!$F$15:$F$957&amp;'BD2'!$M$15:$M$957&amp;'BD2'!$N$15:$N$957,0)),"")</f>
        <v/>
      </c>
    </row>
    <row r="111" spans="6:10" x14ac:dyDescent="0.25">
      <c r="G111" s="160" t="str">
        <f t="array" ref="G111">IFERROR(INDEX('BD2'!$Q$15:$Q$957,MATCH('Tab2'!E111&amp;$I$10&amp;$G$12,'BD2'!$F$15:$F$957&amp;'BD2'!$M$15:$M$957&amp;'BD2'!$N$15:$N$957,0)),"")</f>
        <v/>
      </c>
      <c r="H111" s="160" t="str">
        <f t="array" ref="H111">IFERROR(INDEX('BD2'!$Q$15:$Q$957,MATCH('Tab2'!E111&amp;$I$10&amp;'Tab2'!$H$12,'BD2'!$F$15:$F$957&amp;'BD2'!$M$15:$M$957&amp;'BD2'!$N$15:$N$957,0)),"")</f>
        <v/>
      </c>
    </row>
    <row r="112" spans="6:10" x14ac:dyDescent="0.25">
      <c r="G112" s="160" t="str">
        <f t="array" ref="G112">IFERROR(INDEX('BD2'!$Q$15:$Q$957,MATCH('Tab2'!E112&amp;$I$10&amp;$G$12,'BD2'!$F$15:$F$957&amp;'BD2'!$M$15:$M$957&amp;'BD2'!$N$15:$N$957,0)),"")</f>
        <v/>
      </c>
      <c r="H112" s="160" t="str">
        <f t="array" ref="H112">IFERROR(INDEX('BD2'!$Q$15:$Q$957,MATCH('Tab2'!E112&amp;$I$10&amp;'Tab2'!$H$12,'BD2'!$F$15:$F$957&amp;'BD2'!$M$15:$M$957&amp;'BD2'!$N$15:$N$957,0)),"")</f>
        <v/>
      </c>
    </row>
    <row r="113" spans="7:8" x14ac:dyDescent="0.25">
      <c r="G113" s="160" t="str">
        <f t="array" ref="G113">IFERROR(INDEX('BD2'!$Q$15:$Q$957,MATCH('Tab2'!E113&amp;$I$10&amp;$G$12,'BD2'!$F$15:$F$957&amp;'BD2'!$M$15:$M$957&amp;'BD2'!$N$15:$N$957,0)),"")</f>
        <v/>
      </c>
      <c r="H113" s="160" t="str">
        <f t="array" ref="H113">IFERROR(INDEX('BD2'!$Q$15:$Q$957,MATCH('Tab2'!E113&amp;$I$10&amp;'Tab2'!$H$12,'BD2'!$F$15:$F$957&amp;'BD2'!$M$15:$M$957&amp;'BD2'!$N$15:$N$957,0)),"")</f>
        <v/>
      </c>
    </row>
    <row r="114" spans="7:8" x14ac:dyDescent="0.25">
      <c r="G114" s="160" t="str">
        <f t="array" ref="G114">IFERROR(INDEX('BD2'!$Q$15:$Q$957,MATCH('Tab2'!E114&amp;$I$10&amp;$G$12,'BD2'!$F$15:$F$957&amp;'BD2'!$M$15:$M$957&amp;'BD2'!$N$15:$N$957,0)),"")</f>
        <v/>
      </c>
      <c r="H114" s="160" t="str">
        <f t="array" ref="H114">IFERROR(INDEX('BD2'!$Q$15:$Q$957,MATCH('Tab2'!E114&amp;$I$10&amp;'Tab2'!$H$12,'BD2'!$F$15:$F$957&amp;'BD2'!$M$15:$M$957&amp;'BD2'!$N$15:$N$957,0)),"")</f>
        <v/>
      </c>
    </row>
    <row r="115" spans="7:8" x14ac:dyDescent="0.25">
      <c r="G115" s="160" t="str">
        <f t="array" ref="G115">IFERROR(INDEX('BD2'!$Q$15:$Q$957,MATCH('Tab2'!E115&amp;$I$10&amp;$G$12,'BD2'!$F$15:$F$957&amp;'BD2'!$M$15:$M$957&amp;'BD2'!$N$15:$N$957,0)),"")</f>
        <v/>
      </c>
      <c r="H115" s="160" t="str">
        <f t="array" ref="H115">IFERROR(INDEX('BD2'!$Q$15:$Q$957,MATCH('Tab2'!E115&amp;$I$10&amp;'Tab2'!$H$12,'BD2'!$F$15:$F$957&amp;'BD2'!$M$15:$M$957&amp;'BD2'!$N$15:$N$957,0)),"")</f>
        <v/>
      </c>
    </row>
    <row r="116" spans="7:8" x14ac:dyDescent="0.25">
      <c r="G116" s="160" t="str">
        <f t="array" ref="G116">IFERROR(INDEX('BD2'!$Q$15:$Q$957,MATCH('Tab2'!E116&amp;$I$10&amp;$G$12,'BD2'!$F$15:$F$957&amp;'BD2'!$M$15:$M$957&amp;'BD2'!$N$15:$N$957,0)),"")</f>
        <v/>
      </c>
      <c r="H116" s="160" t="str">
        <f t="array" ref="H116">IFERROR(INDEX('BD2'!$Q$15:$Q$957,MATCH('Tab2'!E116&amp;$I$10&amp;'Tab2'!$H$12,'BD2'!$F$15:$F$957&amp;'BD2'!$M$15:$M$957&amp;'BD2'!$N$15:$N$957,0)),"")</f>
        <v/>
      </c>
    </row>
    <row r="117" spans="7:8" x14ac:dyDescent="0.25">
      <c r="G117" s="160" t="str">
        <f t="array" ref="G117">IFERROR(INDEX('BD2'!$Q$15:$Q$957,MATCH('Tab2'!E117&amp;$I$10&amp;$G$12,'BD2'!$F$15:$F$957&amp;'BD2'!$M$15:$M$957&amp;'BD2'!$N$15:$N$957,0)),"")</f>
        <v/>
      </c>
      <c r="H117" s="160" t="str">
        <f t="array" ref="H117">IFERROR(INDEX('BD2'!$Q$15:$Q$957,MATCH('Tab2'!E117&amp;$I$10&amp;'Tab2'!$H$12,'BD2'!$F$15:$F$957&amp;'BD2'!$M$15:$M$957&amp;'BD2'!$N$15:$N$957,0)),"")</f>
        <v/>
      </c>
    </row>
    <row r="118" spans="7:8" x14ac:dyDescent="0.25">
      <c r="G118" s="160" t="str">
        <f t="array" ref="G118">IFERROR(INDEX('BD2'!$Q$15:$Q$957,MATCH('Tab2'!E118&amp;$I$10&amp;$G$12,'BD2'!$F$15:$F$957&amp;'BD2'!$M$15:$M$957&amp;'BD2'!$N$15:$N$957,0)),"")</f>
        <v/>
      </c>
      <c r="H118" s="160" t="str">
        <f t="array" ref="H118">IFERROR(INDEX('BD2'!$Q$15:$Q$957,MATCH('Tab2'!E118&amp;$I$10&amp;'Tab2'!$H$12,'BD2'!$F$15:$F$957&amp;'BD2'!$M$15:$M$957&amp;'BD2'!$N$15:$N$957,0)),"")</f>
        <v/>
      </c>
    </row>
    <row r="119" spans="7:8" x14ac:dyDescent="0.25">
      <c r="G119" s="160" t="str">
        <f t="array" ref="G119">IFERROR(INDEX('BD2'!$Q$15:$Q$957,MATCH('Tab2'!E119&amp;$I$10&amp;$G$12,'BD2'!$F$15:$F$957&amp;'BD2'!$M$15:$M$957&amp;'BD2'!$N$15:$N$957,0)),"")</f>
        <v/>
      </c>
      <c r="H119" s="160" t="str">
        <f t="array" ref="H119">IFERROR(INDEX('BD2'!$Q$15:$Q$957,MATCH('Tab2'!E119&amp;$I$10&amp;'Tab2'!$H$12,'BD2'!$F$15:$F$957&amp;'BD2'!$M$15:$M$957&amp;'BD2'!$N$15:$N$957,0)),"")</f>
        <v/>
      </c>
    </row>
    <row r="120" spans="7:8" x14ac:dyDescent="0.25">
      <c r="G120" s="160" t="str">
        <f t="array" ref="G120">IFERROR(INDEX('BD2'!$Q$15:$Q$957,MATCH('Tab2'!E120&amp;$I$10&amp;$G$12,'BD2'!$F$15:$F$957&amp;'BD2'!$M$15:$M$957&amp;'BD2'!$N$15:$N$957,0)),"")</f>
        <v/>
      </c>
      <c r="H120" s="160" t="str">
        <f t="array" ref="H120">IFERROR(INDEX('BD2'!$Q$15:$Q$957,MATCH('Tab2'!E120&amp;$I$10&amp;'Tab2'!$H$12,'BD2'!$F$15:$F$957&amp;'BD2'!$M$15:$M$957&amp;'BD2'!$N$15:$N$957,0)),"")</f>
        <v/>
      </c>
    </row>
    <row r="121" spans="7:8" x14ac:dyDescent="0.25">
      <c r="G121" s="160" t="str">
        <f t="array" ref="G121">IFERROR(INDEX('BD2'!$Q$15:$Q$957,MATCH('Tab2'!E121&amp;$I$10&amp;$G$12,'BD2'!$F$15:$F$957&amp;'BD2'!$M$15:$M$957&amp;'BD2'!$N$15:$N$957,0)),"")</f>
        <v/>
      </c>
      <c r="H121" s="160" t="str">
        <f t="array" ref="H121">IFERROR(INDEX('BD2'!$Q$15:$Q$957,MATCH('Tab2'!E121&amp;$I$10&amp;'Tab2'!$H$12,'BD2'!$F$15:$F$957&amp;'BD2'!$M$15:$M$957&amp;'BD2'!$N$15:$N$957,0)),"")</f>
        <v/>
      </c>
    </row>
    <row r="122" spans="7:8" x14ac:dyDescent="0.25">
      <c r="G122" s="160" t="str">
        <f t="array" ref="G122">IFERROR(INDEX('BD2'!$Q$15:$Q$957,MATCH('Tab2'!E122&amp;$I$10&amp;$G$12,'BD2'!$F$15:$F$957&amp;'BD2'!$M$15:$M$957&amp;'BD2'!$N$15:$N$957,0)),"")</f>
        <v/>
      </c>
      <c r="H122" s="160" t="str">
        <f t="array" ref="H122">IFERROR(INDEX('BD2'!$Q$15:$Q$957,MATCH('Tab2'!E122&amp;$I$10&amp;'Tab2'!$H$12,'BD2'!$F$15:$F$957&amp;'BD2'!$M$15:$M$957&amp;'BD2'!$N$15:$N$957,0)),"")</f>
        <v/>
      </c>
    </row>
    <row r="123" spans="7:8" x14ac:dyDescent="0.25">
      <c r="G123" s="160" t="str">
        <f t="array" ref="G123">IFERROR(INDEX('BD2'!$Q$15:$Q$957,MATCH('Tab2'!E123&amp;$I$10&amp;$G$12,'BD2'!$F$15:$F$957&amp;'BD2'!$M$15:$M$957&amp;'BD2'!$N$15:$N$957,0)),"")</f>
        <v/>
      </c>
      <c r="H123" s="160" t="str">
        <f t="array" ref="H123">IFERROR(INDEX('BD2'!$Q$15:$Q$957,MATCH('Tab2'!E123&amp;$I$10&amp;'Tab2'!$H$12,'BD2'!$F$15:$F$957&amp;'BD2'!$M$15:$M$957&amp;'BD2'!$N$15:$N$957,0)),"")</f>
        <v/>
      </c>
    </row>
    <row r="124" spans="7:8" x14ac:dyDescent="0.25">
      <c r="G124" s="160" t="str">
        <f t="array" ref="G124">IFERROR(INDEX('BD2'!$Q$15:$Q$957,MATCH('Tab2'!E124&amp;$I$10&amp;$G$12,'BD2'!$F$15:$F$957&amp;'BD2'!$M$15:$M$957&amp;'BD2'!$N$15:$N$957,0)),"")</f>
        <v/>
      </c>
      <c r="H124" s="160" t="str">
        <f t="array" ref="H124">IFERROR(INDEX('BD2'!$Q$15:$Q$957,MATCH('Tab2'!E124&amp;$I$10&amp;'Tab2'!$H$12,'BD2'!$F$15:$F$957&amp;'BD2'!$M$15:$M$957&amp;'BD2'!$N$15:$N$957,0)),"")</f>
        <v/>
      </c>
    </row>
    <row r="125" spans="7:8" x14ac:dyDescent="0.25">
      <c r="G125" s="160" t="str">
        <f t="array" ref="G125">IFERROR(INDEX('BD2'!$Q$15:$Q$957,MATCH('Tab2'!E125&amp;$I$10&amp;$G$12,'BD2'!$F$15:$F$957&amp;'BD2'!$M$15:$M$957&amp;'BD2'!$N$15:$N$957,0)),"")</f>
        <v/>
      </c>
      <c r="H125" s="160" t="str">
        <f t="array" ref="H125">IFERROR(INDEX('BD2'!$Q$15:$Q$957,MATCH('Tab2'!E125&amp;$I$10&amp;'Tab2'!$H$12,'BD2'!$F$15:$F$957&amp;'BD2'!$M$15:$M$957&amp;'BD2'!$N$15:$N$957,0)),"")</f>
        <v/>
      </c>
    </row>
    <row r="126" spans="7:8" x14ac:dyDescent="0.25">
      <c r="G126" s="160" t="str">
        <f t="array" ref="G126">IFERROR(INDEX('BD2'!$Q$15:$Q$957,MATCH('Tab2'!E126&amp;$I$10&amp;$G$12,'BD2'!$F$15:$F$957&amp;'BD2'!$M$15:$M$957&amp;'BD2'!$N$15:$N$957,0)),"")</f>
        <v/>
      </c>
      <c r="H126" s="160" t="str">
        <f t="array" ref="H126">IFERROR(INDEX('BD2'!$Q$15:$Q$957,MATCH('Tab2'!E126&amp;$I$10&amp;'Tab2'!$H$12,'BD2'!$F$15:$F$957&amp;'BD2'!$M$15:$M$957&amp;'BD2'!$N$15:$N$957,0)),"")</f>
        <v/>
      </c>
    </row>
    <row r="127" spans="7:8" x14ac:dyDescent="0.25">
      <c r="G127" s="160" t="str">
        <f t="array" ref="G127">IFERROR(INDEX('BD2'!$Q$15:$Q$957,MATCH('Tab2'!E127&amp;$I$10&amp;$G$12,'BD2'!$F$15:$F$957&amp;'BD2'!$M$15:$M$957&amp;'BD2'!$N$15:$N$957,0)),"")</f>
        <v/>
      </c>
      <c r="H127" s="160" t="str">
        <f t="array" ref="H127">IFERROR(INDEX('BD2'!$Q$15:$Q$957,MATCH('Tab2'!E127&amp;$I$10&amp;'Tab2'!$H$12,'BD2'!$F$15:$F$957&amp;'BD2'!$M$15:$M$957&amp;'BD2'!$N$15:$N$957,0)),"")</f>
        <v/>
      </c>
    </row>
    <row r="128" spans="7:8" x14ac:dyDescent="0.25">
      <c r="G128" s="160" t="str">
        <f t="array" ref="G128">IFERROR(INDEX('BD2'!$Q$15:$Q$957,MATCH('Tab2'!E128&amp;$I$10&amp;$G$12,'BD2'!$F$15:$F$957&amp;'BD2'!$M$15:$M$957&amp;'BD2'!$N$15:$N$957,0)),"")</f>
        <v/>
      </c>
      <c r="H128" s="160" t="str">
        <f t="array" ref="H128">IFERROR(INDEX('BD2'!$Q$15:$Q$957,MATCH('Tab2'!E128&amp;$I$10&amp;'Tab2'!$H$12,'BD2'!$F$15:$F$957&amp;'BD2'!$M$15:$M$957&amp;'BD2'!$N$15:$N$957,0)),"")</f>
        <v/>
      </c>
    </row>
    <row r="129" spans="7:8" x14ac:dyDescent="0.25">
      <c r="G129" s="160" t="str">
        <f t="array" ref="G129">IFERROR(INDEX('BD2'!$Q$15:$Q$957,MATCH('Tab2'!E129&amp;$I$10&amp;$G$12,'BD2'!$F$15:$F$957&amp;'BD2'!$M$15:$M$957&amp;'BD2'!$N$15:$N$957,0)),"")</f>
        <v/>
      </c>
      <c r="H129" s="160" t="str">
        <f t="array" ref="H129">IFERROR(INDEX('BD2'!$Q$15:$Q$957,MATCH('Tab2'!E129&amp;$I$10&amp;'Tab2'!$H$12,'BD2'!$F$15:$F$957&amp;'BD2'!$M$15:$M$957&amp;'BD2'!$N$15:$N$957,0)),"")</f>
        <v/>
      </c>
    </row>
    <row r="130" spans="7:8" x14ac:dyDescent="0.25">
      <c r="G130" s="160" t="str">
        <f t="array" ref="G130">IFERROR(INDEX('BD2'!$Q$15:$Q$957,MATCH('Tab2'!E130&amp;$I$10&amp;$G$12,'BD2'!$F$15:$F$957&amp;'BD2'!$M$15:$M$957&amp;'BD2'!$N$15:$N$957,0)),"")</f>
        <v/>
      </c>
      <c r="H130" s="160" t="str">
        <f t="array" ref="H130">IFERROR(INDEX('BD2'!$Q$15:$Q$957,MATCH('Tab2'!E130&amp;$I$10&amp;'Tab2'!$H$12,'BD2'!$F$15:$F$957&amp;'BD2'!$M$15:$M$957&amp;'BD2'!$N$15:$N$957,0)),"")</f>
        <v/>
      </c>
    </row>
    <row r="131" spans="7:8" x14ac:dyDescent="0.25">
      <c r="G131" s="160" t="str">
        <f t="array" ref="G131">IFERROR(INDEX('BD2'!$Q$15:$Q$957,MATCH('Tab2'!E131&amp;$I$10&amp;$G$12,'BD2'!$F$15:$F$957&amp;'BD2'!$M$15:$M$957&amp;'BD2'!$N$15:$N$957,0)),"")</f>
        <v/>
      </c>
      <c r="H131" s="160" t="str">
        <f t="array" ref="H131">IFERROR(INDEX('BD2'!$Q$15:$Q$957,MATCH('Tab2'!E131&amp;$I$10&amp;'Tab2'!$H$12,'BD2'!$F$15:$F$957&amp;'BD2'!$M$15:$M$957&amp;'BD2'!$N$15:$N$957,0)),"")</f>
        <v/>
      </c>
    </row>
    <row r="132" spans="7:8" x14ac:dyDescent="0.25">
      <c r="G132" s="160" t="str">
        <f t="array" ref="G132">IFERROR(INDEX('BD2'!$Q$15:$Q$957,MATCH('Tab2'!E132&amp;$I$10&amp;$G$12,'BD2'!$F$15:$F$957&amp;'BD2'!$M$15:$M$957&amp;'BD2'!$N$15:$N$957,0)),"")</f>
        <v/>
      </c>
      <c r="H132" s="160" t="str">
        <f t="array" ref="H132">IFERROR(INDEX('BD2'!$Q$15:$Q$957,MATCH('Tab2'!E132&amp;$I$10&amp;'Tab2'!$H$12,'BD2'!$F$15:$F$957&amp;'BD2'!$M$15:$M$957&amp;'BD2'!$N$15:$N$957,0)),"")</f>
        <v/>
      </c>
    </row>
    <row r="133" spans="7:8" x14ac:dyDescent="0.25">
      <c r="G133" s="160" t="str">
        <f t="array" ref="G133">IFERROR(INDEX('BD2'!$Q$15:$Q$957,MATCH('Tab2'!E133&amp;$I$10&amp;$G$12,'BD2'!$F$15:$F$957&amp;'BD2'!$M$15:$M$957&amp;'BD2'!$N$15:$N$957,0)),"")</f>
        <v/>
      </c>
      <c r="H133" s="160" t="str">
        <f t="array" ref="H133">IFERROR(INDEX('BD2'!$Q$15:$Q$957,MATCH('Tab2'!E133&amp;$I$10&amp;'Tab2'!$H$12,'BD2'!$F$15:$F$957&amp;'BD2'!$M$15:$M$957&amp;'BD2'!$N$15:$N$957,0)),"")</f>
        <v/>
      </c>
    </row>
    <row r="134" spans="7:8" x14ac:dyDescent="0.25">
      <c r="G134" s="160" t="str">
        <f t="array" ref="G134">IFERROR(INDEX('BD2'!$Q$15:$Q$957,MATCH('Tab2'!E134&amp;$I$10&amp;$G$12,'BD2'!$F$15:$F$957&amp;'BD2'!$M$15:$M$957&amp;'BD2'!$N$15:$N$957,0)),"")</f>
        <v/>
      </c>
      <c r="H134" s="160" t="str">
        <f t="array" ref="H134">IFERROR(INDEX('BD2'!$Q$15:$Q$957,MATCH('Tab2'!E134&amp;$I$10&amp;'Tab2'!$H$12,'BD2'!$F$15:$F$957&amp;'BD2'!$M$15:$M$957&amp;'BD2'!$N$15:$N$957,0)),"")</f>
        <v/>
      </c>
    </row>
    <row r="135" spans="7:8" x14ac:dyDescent="0.25">
      <c r="G135" s="160" t="str">
        <f t="array" ref="G135">IFERROR(INDEX('BD2'!$Q$15:$Q$957,MATCH('Tab2'!E135&amp;$I$10&amp;$G$12,'BD2'!$F$15:$F$957&amp;'BD2'!$M$15:$M$957&amp;'BD2'!$N$15:$N$957,0)),"")</f>
        <v/>
      </c>
      <c r="H135" s="160" t="str">
        <f t="array" ref="H135">IFERROR(INDEX('BD2'!$Q$15:$Q$957,MATCH('Tab2'!E135&amp;$I$10&amp;'Tab2'!$H$12,'BD2'!$F$15:$F$957&amp;'BD2'!$M$15:$M$957&amp;'BD2'!$N$15:$N$957,0)),"")</f>
        <v/>
      </c>
    </row>
    <row r="136" spans="7:8" x14ac:dyDescent="0.25">
      <c r="G136" s="160" t="str">
        <f t="array" ref="G136">IFERROR(INDEX('BD2'!$Q$15:$Q$957,MATCH('Tab2'!E136&amp;$I$10&amp;$G$12,'BD2'!$F$15:$F$957&amp;'BD2'!$M$15:$M$957&amp;'BD2'!$N$15:$N$957,0)),"")</f>
        <v/>
      </c>
      <c r="H136" s="160" t="str">
        <f t="array" ref="H136">IFERROR(INDEX('BD2'!$Q$15:$Q$957,MATCH('Tab2'!E136&amp;$I$10&amp;'Tab2'!$H$12,'BD2'!$F$15:$F$957&amp;'BD2'!$M$15:$M$957&amp;'BD2'!$N$15:$N$957,0)),"")</f>
        <v/>
      </c>
    </row>
    <row r="137" spans="7:8" x14ac:dyDescent="0.25">
      <c r="G137" s="160" t="str">
        <f t="array" ref="G137">IFERROR(INDEX('BD2'!$Q$15:$Q$957,MATCH('Tab2'!E137&amp;$I$10&amp;$G$12,'BD2'!$F$15:$F$957&amp;'BD2'!$M$15:$M$957&amp;'BD2'!$N$15:$N$957,0)),"")</f>
        <v/>
      </c>
      <c r="H137" s="160" t="str">
        <f t="array" ref="H137">IFERROR(INDEX('BD2'!$Q$15:$Q$957,MATCH('Tab2'!E137&amp;$I$10&amp;'Tab2'!$H$12,'BD2'!$F$15:$F$957&amp;'BD2'!$M$15:$M$957&amp;'BD2'!$N$15:$N$957,0)),"")</f>
        <v/>
      </c>
    </row>
    <row r="138" spans="7:8" x14ac:dyDescent="0.25">
      <c r="G138" s="160" t="str">
        <f t="array" ref="G138">IFERROR(INDEX('BD2'!$Q$15:$Q$957,MATCH('Tab2'!E138&amp;$I$10&amp;$G$12,'BD2'!$F$15:$F$957&amp;'BD2'!$M$15:$M$957&amp;'BD2'!$N$15:$N$957,0)),"")</f>
        <v/>
      </c>
      <c r="H138" s="160" t="str">
        <f t="array" ref="H138">IFERROR(INDEX('BD2'!$Q$15:$Q$957,MATCH('Tab2'!E138&amp;$I$10&amp;'Tab2'!$H$12,'BD2'!$F$15:$F$957&amp;'BD2'!$M$15:$M$957&amp;'BD2'!$N$15:$N$957,0)),"")</f>
        <v/>
      </c>
    </row>
    <row r="139" spans="7:8" x14ac:dyDescent="0.25">
      <c r="G139" s="160" t="str">
        <f t="array" ref="G139">IFERROR(INDEX('BD2'!$Q$15:$Q$957,MATCH('Tab2'!E139&amp;$I$10&amp;$G$12,'BD2'!$F$15:$F$957&amp;'BD2'!$M$15:$M$957&amp;'BD2'!$N$15:$N$957,0)),"")</f>
        <v/>
      </c>
      <c r="H139" s="160" t="str">
        <f t="array" ref="H139">IFERROR(INDEX('BD2'!$Q$15:$Q$957,MATCH('Tab2'!E139&amp;$I$10&amp;'Tab2'!$H$12,'BD2'!$F$15:$F$957&amp;'BD2'!$M$15:$M$957&amp;'BD2'!$N$15:$N$957,0)),"")</f>
        <v/>
      </c>
    </row>
    <row r="140" spans="7:8" x14ac:dyDescent="0.25">
      <c r="G140" s="160" t="str">
        <f t="array" ref="G140">IFERROR(INDEX('BD2'!$Q$15:$Q$957,MATCH('Tab2'!E140&amp;$I$10&amp;$G$12,'BD2'!$F$15:$F$957&amp;'BD2'!$M$15:$M$957&amp;'BD2'!$N$15:$N$957,0)),"")</f>
        <v/>
      </c>
      <c r="H140" s="160" t="str">
        <f t="array" ref="H140">IFERROR(INDEX('BD2'!$Q$15:$Q$957,MATCH('Tab2'!E140&amp;$I$10&amp;'Tab2'!$H$12,'BD2'!$F$15:$F$957&amp;'BD2'!$M$15:$M$957&amp;'BD2'!$N$15:$N$957,0)),"")</f>
        <v/>
      </c>
    </row>
    <row r="141" spans="7:8" x14ac:dyDescent="0.25">
      <c r="G141" s="160" t="str">
        <f t="array" ref="G141">IFERROR(INDEX('BD2'!$Q$15:$Q$957,MATCH('Tab2'!E141&amp;$I$10&amp;$G$12,'BD2'!$F$15:$F$957&amp;'BD2'!$M$15:$M$957&amp;'BD2'!$N$15:$N$957,0)),"")</f>
        <v/>
      </c>
      <c r="H141" s="160" t="str">
        <f t="array" ref="H141">IFERROR(INDEX('BD2'!$Q$15:$Q$957,MATCH('Tab2'!E141&amp;$I$10&amp;'Tab2'!$H$12,'BD2'!$F$15:$F$957&amp;'BD2'!$M$15:$M$957&amp;'BD2'!$N$15:$N$957,0)),"")</f>
        <v/>
      </c>
    </row>
    <row r="142" spans="7:8" x14ac:dyDescent="0.25">
      <c r="G142" s="160" t="str">
        <f t="array" ref="G142">IFERROR(INDEX('BD2'!$Q$15:$Q$957,MATCH('Tab2'!E142&amp;$I$10&amp;$G$12,'BD2'!$F$15:$F$957&amp;'BD2'!$M$15:$M$957&amp;'BD2'!$N$15:$N$957,0)),"")</f>
        <v/>
      </c>
      <c r="H142" s="160" t="str">
        <f t="array" ref="H142">IFERROR(INDEX('BD2'!$Q$15:$Q$957,MATCH('Tab2'!E142&amp;$I$10&amp;'Tab2'!$H$12,'BD2'!$F$15:$F$957&amp;'BD2'!$M$15:$M$957&amp;'BD2'!$N$15:$N$957,0)),"")</f>
        <v/>
      </c>
    </row>
    <row r="143" spans="7:8" x14ac:dyDescent="0.25">
      <c r="G143" s="160" t="str">
        <f t="array" ref="G143">IFERROR(INDEX('BD2'!$Q$15:$Q$957,MATCH('Tab2'!E143&amp;$I$10&amp;$G$12,'BD2'!$F$15:$F$957&amp;'BD2'!$M$15:$M$957&amp;'BD2'!$N$15:$N$957,0)),"")</f>
        <v/>
      </c>
      <c r="H143" s="160" t="str">
        <f t="array" ref="H143">IFERROR(INDEX('BD2'!$Q$15:$Q$957,MATCH('Tab2'!E143&amp;$I$10&amp;'Tab2'!$H$12,'BD2'!$F$15:$F$957&amp;'BD2'!$M$15:$M$957&amp;'BD2'!$N$15:$N$957,0)),"")</f>
        <v/>
      </c>
    </row>
    <row r="144" spans="7:8" x14ac:dyDescent="0.25">
      <c r="G144" s="160" t="str">
        <f t="array" ref="G144">IFERROR(INDEX('BD2'!$Q$15:$Q$957,MATCH('Tab2'!E144&amp;$I$10&amp;$G$12,'BD2'!$F$15:$F$957&amp;'BD2'!$M$15:$M$957&amp;'BD2'!$N$15:$N$957,0)),"")</f>
        <v/>
      </c>
      <c r="H144" s="160" t="str">
        <f t="array" ref="H144">IFERROR(INDEX('BD2'!$Q$15:$Q$957,MATCH('Tab2'!E144&amp;$I$10&amp;'Tab2'!$H$12,'BD2'!$F$15:$F$957&amp;'BD2'!$M$15:$M$957&amp;'BD2'!$N$15:$N$957,0)),"")</f>
        <v/>
      </c>
    </row>
    <row r="145" spans="7:8" x14ac:dyDescent="0.25">
      <c r="G145" s="160" t="str">
        <f t="array" ref="G145">IFERROR(INDEX('BD2'!$Q$15:$Q$957,MATCH('Tab2'!E145&amp;$I$10&amp;$G$12,'BD2'!$F$15:$F$957&amp;'BD2'!$M$15:$M$957&amp;'BD2'!$N$15:$N$957,0)),"")</f>
        <v/>
      </c>
      <c r="H145" s="160" t="str">
        <f t="array" ref="H145">IFERROR(INDEX('BD2'!$Q$15:$Q$957,MATCH('Tab2'!E145&amp;$I$10&amp;'Tab2'!$H$12,'BD2'!$F$15:$F$957&amp;'BD2'!$M$15:$M$957&amp;'BD2'!$N$15:$N$957,0)),"")</f>
        <v/>
      </c>
    </row>
    <row r="146" spans="7:8" x14ac:dyDescent="0.25">
      <c r="G146" s="160" t="str">
        <f t="array" ref="G146">IFERROR(INDEX('BD2'!$Q$15:$Q$957,MATCH('Tab2'!E146&amp;$I$10&amp;$G$12,'BD2'!$F$15:$F$957&amp;'BD2'!$M$15:$M$957&amp;'BD2'!$N$15:$N$957,0)),"")</f>
        <v/>
      </c>
      <c r="H146" s="160" t="str">
        <f t="array" ref="H146">IFERROR(INDEX('BD2'!$Q$15:$Q$957,MATCH('Tab2'!E146&amp;$I$10&amp;'Tab2'!$H$12,'BD2'!$F$15:$F$957&amp;'BD2'!$M$15:$M$957&amp;'BD2'!$N$15:$N$957,0)),"")</f>
        <v/>
      </c>
    </row>
    <row r="147" spans="7:8" x14ac:dyDescent="0.25">
      <c r="G147" s="160" t="str">
        <f t="array" ref="G147">IFERROR(INDEX('BD2'!$Q$15:$Q$957,MATCH('Tab2'!E147&amp;$I$10&amp;$G$12,'BD2'!$F$15:$F$957&amp;'BD2'!$M$15:$M$957&amp;'BD2'!$N$15:$N$957,0)),"")</f>
        <v/>
      </c>
      <c r="H147" s="160" t="str">
        <f t="array" ref="H147">IFERROR(INDEX('BD2'!$Q$15:$Q$957,MATCH('Tab2'!E147&amp;$I$10&amp;'Tab2'!$H$12,'BD2'!$F$15:$F$957&amp;'BD2'!$M$15:$M$957&amp;'BD2'!$N$15:$N$957,0)),"")</f>
        <v/>
      </c>
    </row>
    <row r="148" spans="7:8" x14ac:dyDescent="0.25">
      <c r="G148" s="160" t="str">
        <f t="array" ref="G148">IFERROR(INDEX('BD2'!$Q$15:$Q$957,MATCH('Tab2'!E148&amp;$I$10&amp;$G$12,'BD2'!$F$15:$F$957&amp;'BD2'!$M$15:$M$957&amp;'BD2'!$N$15:$N$957,0)),"")</f>
        <v/>
      </c>
      <c r="H148" s="160" t="str">
        <f t="array" ref="H148">IFERROR(INDEX('BD2'!$Q$15:$Q$957,MATCH('Tab2'!E148&amp;$I$10&amp;'Tab2'!$H$12,'BD2'!$F$15:$F$957&amp;'BD2'!$M$15:$M$957&amp;'BD2'!$N$15:$N$957,0)),"")</f>
        <v/>
      </c>
    </row>
    <row r="149" spans="7:8" x14ac:dyDescent="0.25">
      <c r="G149" s="160" t="str">
        <f t="array" ref="G149">IFERROR(INDEX('BD2'!$Q$15:$Q$957,MATCH('Tab2'!E149&amp;$I$10&amp;$G$12,'BD2'!$F$15:$F$957&amp;'BD2'!$M$15:$M$957&amp;'BD2'!$N$15:$N$957,0)),"")</f>
        <v/>
      </c>
      <c r="H149" s="160" t="str">
        <f t="array" ref="H149">IFERROR(INDEX('BD2'!$Q$15:$Q$957,MATCH('Tab2'!E149&amp;$I$10&amp;'Tab2'!$H$12,'BD2'!$F$15:$F$957&amp;'BD2'!$M$15:$M$957&amp;'BD2'!$N$15:$N$957,0)),"")</f>
        <v/>
      </c>
    </row>
    <row r="150" spans="7:8" x14ac:dyDescent="0.25">
      <c r="G150" s="160" t="str">
        <f t="array" ref="G150">IFERROR(INDEX('BD2'!$Q$15:$Q$957,MATCH('Tab2'!E150&amp;$I$10&amp;$G$12,'BD2'!$F$15:$F$957&amp;'BD2'!$M$15:$M$957&amp;'BD2'!$N$15:$N$957,0)),"")</f>
        <v/>
      </c>
      <c r="H150" s="160" t="str">
        <f t="array" ref="H150">IFERROR(INDEX('BD2'!$Q$15:$Q$957,MATCH('Tab2'!E150&amp;$I$10&amp;'Tab2'!$H$12,'BD2'!$F$15:$F$957&amp;'BD2'!$M$15:$M$957&amp;'BD2'!$N$15:$N$957,0)),"")</f>
        <v/>
      </c>
    </row>
    <row r="151" spans="7:8" x14ac:dyDescent="0.25">
      <c r="G151" s="160" t="str">
        <f t="array" ref="G151">IFERROR(INDEX('BD2'!$Q$15:$Q$957,MATCH('Tab2'!E151&amp;$I$10&amp;$G$12,'BD2'!$F$15:$F$957&amp;'BD2'!$M$15:$M$957&amp;'BD2'!$N$15:$N$957,0)),"")</f>
        <v/>
      </c>
      <c r="H151" s="160" t="str">
        <f t="array" ref="H151">IFERROR(INDEX('BD2'!$Q$15:$Q$957,MATCH('Tab2'!E151&amp;$I$10&amp;'Tab2'!$H$12,'BD2'!$F$15:$F$957&amp;'BD2'!$M$15:$M$957&amp;'BD2'!$N$15:$N$957,0)),"")</f>
        <v/>
      </c>
    </row>
    <row r="152" spans="7:8" x14ac:dyDescent="0.25">
      <c r="G152" s="160" t="str">
        <f t="array" ref="G152">IFERROR(INDEX('BD2'!$Q$15:$Q$957,MATCH('Tab2'!E152&amp;$I$10&amp;$G$12,'BD2'!$F$15:$F$957&amp;'BD2'!$M$15:$M$957&amp;'BD2'!$N$15:$N$957,0)),"")</f>
        <v/>
      </c>
      <c r="H152" s="160" t="str">
        <f t="array" ref="H152">IFERROR(INDEX('BD2'!$Q$15:$Q$957,MATCH('Tab2'!E152&amp;$I$10&amp;'Tab2'!$H$12,'BD2'!$F$15:$F$957&amp;'BD2'!$M$15:$M$957&amp;'BD2'!$N$15:$N$957,0)),"")</f>
        <v/>
      </c>
    </row>
    <row r="153" spans="7:8" x14ac:dyDescent="0.25">
      <c r="G153" s="160" t="str">
        <f t="array" ref="G153">IFERROR(INDEX('BD2'!$Q$15:$Q$957,MATCH('Tab2'!E153&amp;$I$10&amp;$G$12,'BD2'!$F$15:$F$957&amp;'BD2'!$M$15:$M$957&amp;'BD2'!$N$15:$N$957,0)),"")</f>
        <v/>
      </c>
      <c r="H153" s="160" t="str">
        <f t="array" ref="H153">IFERROR(INDEX('BD2'!$Q$15:$Q$957,MATCH('Tab2'!E153&amp;$I$10&amp;'Tab2'!$H$12,'BD2'!$F$15:$F$957&amp;'BD2'!$M$15:$M$957&amp;'BD2'!$N$15:$N$957,0)),"")</f>
        <v/>
      </c>
    </row>
    <row r="154" spans="7:8" x14ac:dyDescent="0.25">
      <c r="G154" s="160" t="str">
        <f t="array" ref="G154">IFERROR(INDEX('BD2'!$Q$15:$Q$957,MATCH('Tab2'!E154&amp;$I$10&amp;$G$12,'BD2'!$F$15:$F$957&amp;'BD2'!$M$15:$M$957&amp;'BD2'!$N$15:$N$957,0)),"")</f>
        <v/>
      </c>
      <c r="H154" s="160" t="str">
        <f t="array" ref="H154">IFERROR(INDEX('BD2'!$Q$15:$Q$957,MATCH('Tab2'!E154&amp;$I$10&amp;'Tab2'!$H$12,'BD2'!$F$15:$F$957&amp;'BD2'!$M$15:$M$957&amp;'BD2'!$N$15:$N$957,0)),"")</f>
        <v/>
      </c>
    </row>
    <row r="155" spans="7:8" x14ac:dyDescent="0.25">
      <c r="G155" s="160" t="str">
        <f t="array" ref="G155">IFERROR(INDEX('BD2'!$Q$15:$Q$957,MATCH('Tab2'!E155&amp;$I$10&amp;$G$12,'BD2'!$F$15:$F$957&amp;'BD2'!$M$15:$M$957&amp;'BD2'!$N$15:$N$957,0)),"")</f>
        <v/>
      </c>
      <c r="H155" s="160" t="str">
        <f t="array" ref="H155">IFERROR(INDEX('BD2'!$Q$15:$Q$957,MATCH('Tab2'!E155&amp;$I$10&amp;'Tab2'!$H$12,'BD2'!$F$15:$F$957&amp;'BD2'!$M$15:$M$957&amp;'BD2'!$N$15:$N$957,0)),"")</f>
        <v/>
      </c>
    </row>
    <row r="156" spans="7:8" x14ac:dyDescent="0.25">
      <c r="G156" s="160" t="str">
        <f t="array" ref="G156">IFERROR(INDEX('BD2'!$Q$15:$Q$957,MATCH('Tab2'!E156&amp;$I$10&amp;$G$12,'BD2'!$F$15:$F$957&amp;'BD2'!$M$15:$M$957&amp;'BD2'!$N$15:$N$957,0)),"")</f>
        <v/>
      </c>
      <c r="H156" s="160" t="str">
        <f t="array" ref="H156">IFERROR(INDEX('BD2'!$Q$15:$Q$957,MATCH('Tab2'!E156&amp;$I$10&amp;'Tab2'!$H$12,'BD2'!$F$15:$F$957&amp;'BD2'!$M$15:$M$957&amp;'BD2'!$N$15:$N$957,0)),"")</f>
        <v/>
      </c>
    </row>
    <row r="157" spans="7:8" x14ac:dyDescent="0.25">
      <c r="G157" s="160" t="str">
        <f t="array" ref="G157">IFERROR(INDEX('BD2'!$Q$15:$Q$957,MATCH('Tab2'!E157&amp;$I$10&amp;$G$12,'BD2'!$F$15:$F$957&amp;'BD2'!$M$15:$M$957&amp;'BD2'!$N$15:$N$957,0)),"")</f>
        <v/>
      </c>
      <c r="H157" s="160" t="str">
        <f t="array" ref="H157">IFERROR(INDEX('BD2'!$Q$15:$Q$957,MATCH('Tab2'!E157&amp;$I$10&amp;'Tab2'!$H$12,'BD2'!$F$15:$F$957&amp;'BD2'!$M$15:$M$957&amp;'BD2'!$N$15:$N$957,0)),"")</f>
        <v/>
      </c>
    </row>
    <row r="158" spans="7:8" x14ac:dyDescent="0.25">
      <c r="G158" s="160" t="str">
        <f t="array" ref="G158">IFERROR(INDEX('BD2'!$Q$15:$Q$957,MATCH('Tab2'!E158&amp;$I$10&amp;$G$12,'BD2'!$F$15:$F$957&amp;'BD2'!$M$15:$M$957&amp;'BD2'!$N$15:$N$957,0)),"")</f>
        <v/>
      </c>
      <c r="H158" s="160" t="str">
        <f t="array" ref="H158">IFERROR(INDEX('BD2'!$Q$15:$Q$957,MATCH('Tab2'!E158&amp;$I$10&amp;'Tab2'!$H$12,'BD2'!$F$15:$F$957&amp;'BD2'!$M$15:$M$957&amp;'BD2'!$N$15:$N$957,0)),"")</f>
        <v/>
      </c>
    </row>
    <row r="159" spans="7:8" x14ac:dyDescent="0.25">
      <c r="G159" s="160" t="str">
        <f t="array" ref="G159">IFERROR(INDEX('BD2'!$Q$15:$Q$957,MATCH('Tab2'!E159&amp;$I$10&amp;$G$12,'BD2'!$F$15:$F$957&amp;'BD2'!$M$15:$M$957&amp;'BD2'!$N$15:$N$957,0)),"")</f>
        <v/>
      </c>
      <c r="H159" s="160" t="str">
        <f t="array" ref="H159">IFERROR(INDEX('BD2'!$Q$15:$Q$957,MATCH('Tab2'!E159&amp;$I$10&amp;'Tab2'!$H$12,'BD2'!$F$15:$F$957&amp;'BD2'!$M$15:$M$957&amp;'BD2'!$N$15:$N$957,0)),"")</f>
        <v/>
      </c>
    </row>
    <row r="160" spans="7:8" x14ac:dyDescent="0.25">
      <c r="G160" s="160" t="str">
        <f t="array" ref="G160">IFERROR(INDEX('BD2'!$Q$15:$Q$957,MATCH('Tab2'!E160&amp;$I$10&amp;$G$12,'BD2'!$F$15:$F$957&amp;'BD2'!$M$15:$M$957&amp;'BD2'!$N$15:$N$957,0)),"")</f>
        <v/>
      </c>
      <c r="H160" s="160" t="str">
        <f t="array" ref="H160">IFERROR(INDEX('BD2'!$Q$15:$Q$957,MATCH('Tab2'!E160&amp;$I$10&amp;'Tab2'!$H$12,'BD2'!$F$15:$F$957&amp;'BD2'!$M$15:$M$957&amp;'BD2'!$N$15:$N$957,0)),"")</f>
        <v/>
      </c>
    </row>
    <row r="161" spans="7:8" x14ac:dyDescent="0.25">
      <c r="G161" s="160" t="str">
        <f t="array" ref="G161">IFERROR(INDEX('BD2'!$Q$15:$Q$957,MATCH('Tab2'!E161&amp;$I$10&amp;$G$12,'BD2'!$F$15:$F$957&amp;'BD2'!$M$15:$M$957&amp;'BD2'!$N$15:$N$957,0)),"")</f>
        <v/>
      </c>
      <c r="H161" s="160" t="str">
        <f t="array" ref="H161">IFERROR(INDEX('BD2'!$Q$15:$Q$957,MATCH('Tab2'!E161&amp;$I$10&amp;'Tab2'!$H$12,'BD2'!$F$15:$F$957&amp;'BD2'!$M$15:$M$957&amp;'BD2'!$N$15:$N$957,0)),"")</f>
        <v/>
      </c>
    </row>
    <row r="162" spans="7:8" x14ac:dyDescent="0.25">
      <c r="G162" s="160" t="str">
        <f t="array" ref="G162">IFERROR(INDEX('BD2'!$Q$15:$Q$957,MATCH('Tab2'!E162&amp;$I$10&amp;$G$12,'BD2'!$F$15:$F$957&amp;'BD2'!$M$15:$M$957&amp;'BD2'!$N$15:$N$957,0)),"")</f>
        <v/>
      </c>
      <c r="H162" s="160" t="str">
        <f t="array" ref="H162">IFERROR(INDEX('BD2'!$Q$15:$Q$957,MATCH('Tab2'!E162&amp;$I$10&amp;'Tab2'!$H$12,'BD2'!$F$15:$F$957&amp;'BD2'!$M$15:$M$957&amp;'BD2'!$N$15:$N$957,0)),"")</f>
        <v/>
      </c>
    </row>
    <row r="163" spans="7:8" x14ac:dyDescent="0.25">
      <c r="G163" s="160" t="str">
        <f t="array" ref="G163">IFERROR(INDEX('BD2'!$Q$15:$Q$957,MATCH('Tab2'!E163&amp;$I$10&amp;$G$12,'BD2'!$F$15:$F$957&amp;'BD2'!$M$15:$M$957&amp;'BD2'!$N$15:$N$957,0)),"")</f>
        <v/>
      </c>
      <c r="H163" s="160" t="str">
        <f t="array" ref="H163">IFERROR(INDEX('BD2'!$Q$15:$Q$957,MATCH('Tab2'!E163&amp;$I$10&amp;'Tab2'!$H$12,'BD2'!$F$15:$F$957&amp;'BD2'!$M$15:$M$957&amp;'BD2'!$N$15:$N$957,0)),"")</f>
        <v/>
      </c>
    </row>
    <row r="164" spans="7:8" x14ac:dyDescent="0.25">
      <c r="G164" s="160" t="str">
        <f t="array" ref="G164">IFERROR(INDEX('BD2'!$Q$15:$Q$957,MATCH('Tab2'!E164&amp;$I$10&amp;$G$12,'BD2'!$F$15:$F$957&amp;'BD2'!$M$15:$M$957&amp;'BD2'!$N$15:$N$957,0)),"")</f>
        <v/>
      </c>
      <c r="H164" s="160" t="str">
        <f t="array" ref="H164">IFERROR(INDEX('BD2'!$Q$15:$Q$957,MATCH('Tab2'!E164&amp;$I$10&amp;'Tab2'!$H$12,'BD2'!$F$15:$F$957&amp;'BD2'!$M$15:$M$957&amp;'BD2'!$N$15:$N$957,0)),"")</f>
        <v/>
      </c>
    </row>
    <row r="165" spans="7:8" x14ac:dyDescent="0.25">
      <c r="G165" s="160" t="str">
        <f t="array" ref="G165">IFERROR(INDEX('BD2'!$Q$15:$Q$957,MATCH('Tab2'!E165&amp;$I$10&amp;$G$12,'BD2'!$F$15:$F$957&amp;'BD2'!$M$15:$M$957&amp;'BD2'!$N$15:$N$957,0)),"")</f>
        <v/>
      </c>
      <c r="H165" s="160" t="str">
        <f t="array" ref="H165">IFERROR(INDEX('BD2'!$Q$15:$Q$957,MATCH('Tab2'!E165&amp;$I$10&amp;'Tab2'!$H$12,'BD2'!$F$15:$F$957&amp;'BD2'!$M$15:$M$957&amp;'BD2'!$N$15:$N$957,0)),"")</f>
        <v/>
      </c>
    </row>
    <row r="166" spans="7:8" x14ac:dyDescent="0.25">
      <c r="G166" s="160" t="str">
        <f t="array" ref="G166">IFERROR(INDEX('BD2'!$Q$15:$Q$957,MATCH('Tab2'!E166&amp;$I$10&amp;$G$12,'BD2'!$F$15:$F$957&amp;'BD2'!$M$15:$M$957&amp;'BD2'!$N$15:$N$957,0)),"")</f>
        <v/>
      </c>
      <c r="H166" s="160" t="str">
        <f t="array" ref="H166">IFERROR(INDEX('BD2'!$Q$15:$Q$957,MATCH('Tab2'!E166&amp;$I$10&amp;'Tab2'!$H$12,'BD2'!$F$15:$F$957&amp;'BD2'!$M$15:$M$957&amp;'BD2'!$N$15:$N$957,0)),"")</f>
        <v/>
      </c>
    </row>
    <row r="167" spans="7:8" x14ac:dyDescent="0.25">
      <c r="G167" s="160" t="str">
        <f t="array" ref="G167">IFERROR(INDEX('BD2'!$Q$15:$Q$957,MATCH('Tab2'!E167&amp;$I$10&amp;$G$12,'BD2'!$F$15:$F$957&amp;'BD2'!$M$15:$M$957&amp;'BD2'!$N$15:$N$957,0)),"")</f>
        <v/>
      </c>
      <c r="H167" s="160" t="str">
        <f t="array" ref="H167">IFERROR(INDEX('BD2'!$Q$15:$Q$957,MATCH('Tab2'!E167&amp;$I$10&amp;'Tab2'!$H$12,'BD2'!$F$15:$F$957&amp;'BD2'!$M$15:$M$957&amp;'BD2'!$N$15:$N$957,0)),"")</f>
        <v/>
      </c>
    </row>
    <row r="168" spans="7:8" x14ac:dyDescent="0.25">
      <c r="G168" s="160" t="str">
        <f t="array" ref="G168">IFERROR(INDEX('BD2'!$Q$15:$Q$957,MATCH('Tab2'!E168&amp;$I$10&amp;$G$12,'BD2'!$F$15:$F$957&amp;'BD2'!$M$15:$M$957&amp;'BD2'!$N$15:$N$957,0)),"")</f>
        <v/>
      </c>
      <c r="H168" s="160" t="str">
        <f t="array" ref="H168">IFERROR(INDEX('BD2'!$Q$15:$Q$957,MATCH('Tab2'!E168&amp;$I$10&amp;'Tab2'!$H$12,'BD2'!$F$15:$F$957&amp;'BD2'!$M$15:$M$957&amp;'BD2'!$N$15:$N$957,0)),"")</f>
        <v/>
      </c>
    </row>
    <row r="169" spans="7:8" x14ac:dyDescent="0.25">
      <c r="G169" s="160" t="str">
        <f t="array" ref="G169">IFERROR(INDEX('BD2'!$Q$15:$Q$957,MATCH('Tab2'!E169&amp;$I$10&amp;$G$12,'BD2'!$F$15:$F$957&amp;'BD2'!$M$15:$M$957&amp;'BD2'!$N$15:$N$957,0)),"")</f>
        <v/>
      </c>
      <c r="H169" s="160" t="str">
        <f t="array" ref="H169">IFERROR(INDEX('BD2'!$Q$15:$Q$957,MATCH('Tab2'!E169&amp;$I$10&amp;'Tab2'!$H$12,'BD2'!$F$15:$F$957&amp;'BD2'!$M$15:$M$957&amp;'BD2'!$N$15:$N$957,0)),"")</f>
        <v/>
      </c>
    </row>
    <row r="170" spans="7:8" x14ac:dyDescent="0.25">
      <c r="G170" s="160" t="str">
        <f t="array" ref="G170">IFERROR(INDEX('BD2'!$Q$15:$Q$957,MATCH('Tab2'!E170&amp;$I$10&amp;$G$12,'BD2'!$F$15:$F$957&amp;'BD2'!$M$15:$M$957&amp;'BD2'!$N$15:$N$957,0)),"")</f>
        <v/>
      </c>
      <c r="H170" s="160" t="str">
        <f t="array" ref="H170">IFERROR(INDEX('BD2'!$Q$15:$Q$957,MATCH('Tab2'!E170&amp;$I$10&amp;'Tab2'!$H$12,'BD2'!$F$15:$F$957&amp;'BD2'!$M$15:$M$957&amp;'BD2'!$N$15:$N$957,0)),"")</f>
        <v/>
      </c>
    </row>
    <row r="171" spans="7:8" x14ac:dyDescent="0.25">
      <c r="G171" s="160" t="str">
        <f t="array" ref="G171">IFERROR(INDEX('BD2'!$Q$15:$Q$957,MATCH('Tab2'!E171&amp;$I$10&amp;$G$12,'BD2'!$F$15:$F$957&amp;'BD2'!$M$15:$M$957&amp;'BD2'!$N$15:$N$957,0)),"")</f>
        <v/>
      </c>
      <c r="H171" s="160" t="str">
        <f t="array" ref="H171">IFERROR(INDEX('BD2'!$Q$15:$Q$957,MATCH('Tab2'!E171&amp;$I$10&amp;'Tab2'!$H$12,'BD2'!$F$15:$F$957&amp;'BD2'!$M$15:$M$957&amp;'BD2'!$N$15:$N$957,0)),"")</f>
        <v/>
      </c>
    </row>
    <row r="172" spans="7:8" x14ac:dyDescent="0.25">
      <c r="G172" s="160" t="str">
        <f t="array" ref="G172">IFERROR(INDEX('BD2'!$Q$15:$Q$957,MATCH('Tab2'!E172&amp;$I$10&amp;$G$12,'BD2'!$F$15:$F$957&amp;'BD2'!$M$15:$M$957&amp;'BD2'!$N$15:$N$957,0)),"")</f>
        <v/>
      </c>
      <c r="H172" s="160" t="str">
        <f t="array" ref="H172">IFERROR(INDEX('BD2'!$Q$15:$Q$957,MATCH('Tab2'!E172&amp;$I$10&amp;'Tab2'!$H$12,'BD2'!$F$15:$F$957&amp;'BD2'!$M$15:$M$957&amp;'BD2'!$N$15:$N$957,0)),"")</f>
        <v/>
      </c>
    </row>
    <row r="173" spans="7:8" x14ac:dyDescent="0.25">
      <c r="G173" s="160" t="str">
        <f t="array" ref="G173">IFERROR(INDEX('BD2'!$Q$15:$Q$957,MATCH('Tab2'!E173&amp;$I$10&amp;$G$12,'BD2'!$F$15:$F$957&amp;'BD2'!$M$15:$M$957&amp;'BD2'!$N$15:$N$957,0)),"")</f>
        <v/>
      </c>
      <c r="H173" s="160" t="str">
        <f t="array" ref="H173">IFERROR(INDEX('BD2'!$Q$15:$Q$957,MATCH('Tab2'!E173&amp;$I$10&amp;'Tab2'!$H$12,'BD2'!$F$15:$F$957&amp;'BD2'!$M$15:$M$957&amp;'BD2'!$N$15:$N$957,0)),"")</f>
        <v/>
      </c>
    </row>
    <row r="174" spans="7:8" x14ac:dyDescent="0.25">
      <c r="G174" s="160" t="str">
        <f t="array" ref="G174">IFERROR(INDEX('BD2'!$Q$15:$Q$957,MATCH('Tab2'!E174&amp;$I$10&amp;$G$12,'BD2'!$F$15:$F$957&amp;'BD2'!$M$15:$M$957&amp;'BD2'!$N$15:$N$957,0)),"")</f>
        <v/>
      </c>
      <c r="H174" s="160" t="str">
        <f t="array" ref="H174">IFERROR(INDEX('BD2'!$Q$15:$Q$957,MATCH('Tab2'!E174&amp;$I$10&amp;'Tab2'!$H$12,'BD2'!$F$15:$F$957&amp;'BD2'!$M$15:$M$957&amp;'BD2'!$N$15:$N$957,0)),"")</f>
        <v/>
      </c>
    </row>
    <row r="175" spans="7:8" x14ac:dyDescent="0.25">
      <c r="G175" s="160" t="str">
        <f t="array" ref="G175">IFERROR(INDEX('BD2'!$Q$15:$Q$957,MATCH('Tab2'!E175&amp;$I$10&amp;$G$12,'BD2'!$F$15:$F$957&amp;'BD2'!$M$15:$M$957&amp;'BD2'!$N$15:$N$957,0)),"")</f>
        <v/>
      </c>
      <c r="H175" s="160" t="str">
        <f t="array" ref="H175">IFERROR(INDEX('BD2'!$Q$15:$Q$957,MATCH('Tab2'!E175&amp;$I$10&amp;'Tab2'!$H$12,'BD2'!$F$15:$F$957&amp;'BD2'!$M$15:$M$957&amp;'BD2'!$N$15:$N$957,0)),"")</f>
        <v/>
      </c>
    </row>
    <row r="176" spans="7:8" x14ac:dyDescent="0.25">
      <c r="G176" s="160" t="str">
        <f t="array" ref="G176">IFERROR(INDEX('BD2'!$Q$15:$Q$957,MATCH('Tab2'!E176&amp;$I$10&amp;$G$12,'BD2'!$F$15:$F$957&amp;'BD2'!$M$15:$M$957&amp;'BD2'!$N$15:$N$957,0)),"")</f>
        <v/>
      </c>
      <c r="H176" s="160" t="str">
        <f t="array" ref="H176">IFERROR(INDEX('BD2'!$Q$15:$Q$957,MATCH('Tab2'!E176&amp;$I$10&amp;'Tab2'!$H$12,'BD2'!$F$15:$F$957&amp;'BD2'!$M$15:$M$957&amp;'BD2'!$N$15:$N$957,0)),"")</f>
        <v/>
      </c>
    </row>
    <row r="177" spans="7:8" x14ac:dyDescent="0.25">
      <c r="G177" s="160" t="str">
        <f t="array" ref="G177">IFERROR(INDEX('BD2'!$Q$15:$Q$957,MATCH('Tab2'!E177&amp;$I$10&amp;$G$12,'BD2'!$F$15:$F$957&amp;'BD2'!$M$15:$M$957&amp;'BD2'!$N$15:$N$957,0)),"")</f>
        <v/>
      </c>
      <c r="H177" s="160" t="str">
        <f t="array" ref="H177">IFERROR(INDEX('BD2'!$Q$15:$Q$957,MATCH('Tab2'!E177&amp;$I$10&amp;'Tab2'!$H$12,'BD2'!$F$15:$F$957&amp;'BD2'!$M$15:$M$957&amp;'BD2'!$N$15:$N$957,0)),"")</f>
        <v/>
      </c>
    </row>
    <row r="178" spans="7:8" x14ac:dyDescent="0.25">
      <c r="G178" s="160" t="str">
        <f t="array" ref="G178">IFERROR(INDEX('BD2'!$Q$15:$Q$957,MATCH('Tab2'!E178&amp;$I$10&amp;$G$12,'BD2'!$F$15:$F$957&amp;'BD2'!$M$15:$M$957&amp;'BD2'!$N$15:$N$957,0)),"")</f>
        <v/>
      </c>
      <c r="H178" s="160" t="str">
        <f t="array" ref="H178">IFERROR(INDEX('BD2'!$Q$15:$Q$957,MATCH('Tab2'!E178&amp;$I$10&amp;'Tab2'!$H$12,'BD2'!$F$15:$F$957&amp;'BD2'!$M$15:$M$957&amp;'BD2'!$N$15:$N$957,0)),"")</f>
        <v/>
      </c>
    </row>
    <row r="179" spans="7:8" x14ac:dyDescent="0.25">
      <c r="G179" s="160" t="str">
        <f t="array" ref="G179">IFERROR(INDEX('BD2'!$Q$15:$Q$957,MATCH('Tab2'!E179&amp;$I$10&amp;$G$12,'BD2'!$F$15:$F$957&amp;'BD2'!$M$15:$M$957&amp;'BD2'!$N$15:$N$957,0)),"")</f>
        <v/>
      </c>
      <c r="H179" s="160" t="str">
        <f t="array" ref="H179">IFERROR(INDEX('BD2'!$Q$15:$Q$957,MATCH('Tab2'!E179&amp;$I$10&amp;'Tab2'!$H$12,'BD2'!$F$15:$F$957&amp;'BD2'!$M$15:$M$957&amp;'BD2'!$N$15:$N$957,0)),"")</f>
        <v/>
      </c>
    </row>
    <row r="180" spans="7:8" x14ac:dyDescent="0.25">
      <c r="G180" s="160" t="str">
        <f t="array" ref="G180">IFERROR(INDEX('BD2'!$Q$15:$Q$957,MATCH('Tab2'!E180&amp;$I$10&amp;$G$12,'BD2'!$F$15:$F$957&amp;'BD2'!$M$15:$M$957&amp;'BD2'!$N$15:$N$957,0)),"")</f>
        <v/>
      </c>
      <c r="H180" s="160" t="str">
        <f t="array" ref="H180">IFERROR(INDEX('BD2'!$Q$15:$Q$957,MATCH('Tab2'!E180&amp;$I$10&amp;'Tab2'!$H$12,'BD2'!$F$15:$F$957&amp;'BD2'!$M$15:$M$957&amp;'BD2'!$N$15:$N$957,0)),"")</f>
        <v/>
      </c>
    </row>
    <row r="181" spans="7:8" x14ac:dyDescent="0.25">
      <c r="G181" s="160" t="str">
        <f t="array" ref="G181">IFERROR(INDEX('BD2'!$Q$15:$Q$957,MATCH('Tab2'!E181&amp;$I$10&amp;$G$12,'BD2'!$F$15:$F$957&amp;'BD2'!$M$15:$M$957&amp;'BD2'!$N$15:$N$957,0)),"")</f>
        <v/>
      </c>
      <c r="H181" s="160" t="str">
        <f t="array" ref="H181">IFERROR(INDEX('BD2'!$Q$15:$Q$957,MATCH('Tab2'!E181&amp;$I$10&amp;'Tab2'!$H$12,'BD2'!$F$15:$F$957&amp;'BD2'!$M$15:$M$957&amp;'BD2'!$N$15:$N$957,0)),"")</f>
        <v/>
      </c>
    </row>
    <row r="182" spans="7:8" x14ac:dyDescent="0.25">
      <c r="G182" s="160" t="str">
        <f t="array" ref="G182">IFERROR(INDEX('BD2'!$Q$15:$Q$957,MATCH('Tab2'!E182&amp;$I$10&amp;$G$12,'BD2'!$F$15:$F$957&amp;'BD2'!$M$15:$M$957&amp;'BD2'!$N$15:$N$957,0)),"")</f>
        <v/>
      </c>
      <c r="H182" s="160" t="str">
        <f t="array" ref="H182">IFERROR(INDEX('BD2'!$Q$15:$Q$957,MATCH('Tab2'!E182&amp;$I$10&amp;'Tab2'!$H$12,'BD2'!$F$15:$F$957&amp;'BD2'!$M$15:$M$957&amp;'BD2'!$N$15:$N$957,0)),"")</f>
        <v/>
      </c>
    </row>
    <row r="183" spans="7:8" x14ac:dyDescent="0.25">
      <c r="G183" s="160" t="str">
        <f t="array" ref="G183">IFERROR(INDEX('BD2'!$Q$15:$Q$957,MATCH('Tab2'!E183&amp;$I$10&amp;$G$12,'BD2'!$F$15:$F$957&amp;'BD2'!$M$15:$M$957&amp;'BD2'!$N$15:$N$957,0)),"")</f>
        <v/>
      </c>
      <c r="H183" s="160" t="str">
        <f t="array" ref="H183">IFERROR(INDEX('BD2'!$Q$15:$Q$957,MATCH('Tab2'!E183&amp;$I$10&amp;'Tab2'!$H$12,'BD2'!$F$15:$F$957&amp;'BD2'!$M$15:$M$957&amp;'BD2'!$N$15:$N$957,0)),"")</f>
        <v/>
      </c>
    </row>
    <row r="184" spans="7:8" x14ac:dyDescent="0.25">
      <c r="G184" s="160" t="str">
        <f t="array" ref="G184">IFERROR(INDEX('BD2'!$Q$15:$Q$957,MATCH('Tab2'!E184&amp;$I$10&amp;$G$12,'BD2'!$F$15:$F$957&amp;'BD2'!$M$15:$M$957&amp;'BD2'!$N$15:$N$957,0)),"")</f>
        <v/>
      </c>
      <c r="H184" s="160" t="str">
        <f t="array" ref="H184">IFERROR(INDEX('BD2'!$Q$15:$Q$957,MATCH('Tab2'!E184&amp;$I$10&amp;'Tab2'!$H$12,'BD2'!$F$15:$F$957&amp;'BD2'!$M$15:$M$957&amp;'BD2'!$N$15:$N$957,0)),"")</f>
        <v/>
      </c>
    </row>
    <row r="185" spans="7:8" x14ac:dyDescent="0.25">
      <c r="G185" s="160" t="str">
        <f t="array" ref="G185">IFERROR(INDEX('BD2'!$Q$15:$Q$957,MATCH('Tab2'!E185&amp;$I$10&amp;$G$12,'BD2'!$F$15:$F$957&amp;'BD2'!$M$15:$M$957&amp;'BD2'!$N$15:$N$957,0)),"")</f>
        <v/>
      </c>
      <c r="H185" s="160" t="str">
        <f t="array" ref="H185">IFERROR(INDEX('BD2'!$Q$15:$Q$957,MATCH('Tab2'!E185&amp;$I$10&amp;'Tab2'!$H$12,'BD2'!$F$15:$F$957&amp;'BD2'!$M$15:$M$957&amp;'BD2'!$N$15:$N$957,0)),"")</f>
        <v/>
      </c>
    </row>
    <row r="186" spans="7:8" x14ac:dyDescent="0.25">
      <c r="H186" s="160"/>
    </row>
  </sheetData>
  <mergeCells count="5">
    <mergeCell ref="E11:E12"/>
    <mergeCell ref="F10:H10"/>
    <mergeCell ref="B50:B53"/>
    <mergeCell ref="F11:H11"/>
    <mergeCell ref="I11:J11"/>
  </mergeCells>
  <conditionalFormatting sqref="F13:J13 G14:G185 I14:J101 F14:F101 H14:H186">
    <cfRule type="cellIs" dxfId="4" priority="2" operator="equal">
      <formula>0</formula>
    </cfRule>
  </conditionalFormatting>
  <conditionalFormatting sqref="E14:E79 E13:J13 G14:G185 I14:J101 F14:F101 H14:H186">
    <cfRule type="expression" dxfId="3" priority="1">
      <formula>$E13&lt;&gt;""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imprimir3">
                <anchor moveWithCells="1" sizeWithCells="1">
                  <from>
                    <xdr:col>3</xdr:col>
                    <xdr:colOff>590550</xdr:colOff>
                    <xdr:row>8</xdr:row>
                    <xdr:rowOff>0</xdr:rowOff>
                  </from>
                  <to>
                    <xdr:col>4</xdr:col>
                    <xdr:colOff>1362075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4"/>
  <dimension ref="A1:L101"/>
  <sheetViews>
    <sheetView showGridLines="0" showRowColHeaders="0" zoomScale="85" zoomScaleNormal="85" workbookViewId="0"/>
  </sheetViews>
  <sheetFormatPr defaultRowHeight="15" x14ac:dyDescent="0.25"/>
  <cols>
    <col min="1" max="2" width="20.7109375" style="9" customWidth="1"/>
    <col min="4" max="4" width="9.140625" customWidth="1"/>
    <col min="5" max="5" width="36.85546875" customWidth="1"/>
    <col min="6" max="6" width="17.5703125" customWidth="1"/>
    <col min="8" max="8" width="33.85546875" bestFit="1" customWidth="1"/>
    <col min="9" max="9" width="34.28515625" customWidth="1"/>
  </cols>
  <sheetData>
    <row r="1" spans="1:12" ht="21" x14ac:dyDescent="0.25">
      <c r="A1" s="29"/>
      <c r="B1" s="29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ht="21" x14ac:dyDescent="0.25">
      <c r="A2" s="29"/>
      <c r="B2" s="29"/>
      <c r="C2" s="30"/>
      <c r="D2" s="30"/>
      <c r="E2" s="30"/>
      <c r="F2" s="30"/>
      <c r="G2" s="30"/>
      <c r="H2" s="30"/>
      <c r="I2" s="30"/>
      <c r="J2" s="30"/>
      <c r="K2" s="30"/>
      <c r="L2" s="30"/>
    </row>
    <row r="3" spans="1:12" ht="21" x14ac:dyDescent="0.25">
      <c r="A3" s="29"/>
      <c r="B3" s="29"/>
      <c r="C3" s="30"/>
      <c r="D3" s="30"/>
      <c r="E3" s="30"/>
      <c r="F3" s="30"/>
      <c r="G3" s="30"/>
      <c r="H3" s="30"/>
      <c r="I3" s="30"/>
      <c r="J3" s="30"/>
      <c r="K3" s="30"/>
      <c r="L3" s="30"/>
    </row>
    <row r="4" spans="1:12" ht="21" x14ac:dyDescent="0.25">
      <c r="A4" s="29"/>
      <c r="B4" s="29"/>
      <c r="C4" s="30"/>
      <c r="D4" s="30"/>
      <c r="E4" s="30"/>
      <c r="F4" s="30"/>
      <c r="G4" s="30"/>
      <c r="H4" s="30"/>
      <c r="I4" s="30"/>
      <c r="J4" s="30"/>
      <c r="K4" s="30"/>
      <c r="L4" s="30"/>
    </row>
    <row r="5" spans="1:12" ht="21" x14ac:dyDescent="0.25">
      <c r="A5" s="29"/>
      <c r="B5" s="29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2" ht="21" x14ac:dyDescent="0.25">
      <c r="A6" s="29"/>
      <c r="B6" s="29"/>
      <c r="C6" s="30"/>
      <c r="D6" s="30"/>
      <c r="E6" s="30"/>
      <c r="F6" s="30"/>
      <c r="G6" s="30"/>
      <c r="H6" s="30"/>
      <c r="I6" s="30"/>
      <c r="J6" s="30"/>
      <c r="K6" s="30"/>
      <c r="L6" s="30"/>
    </row>
    <row r="7" spans="1:12" ht="21" x14ac:dyDescent="0.25">
      <c r="A7" s="31"/>
      <c r="B7" s="31"/>
      <c r="C7" s="30"/>
      <c r="D7" s="30"/>
      <c r="E7" s="32" t="s">
        <v>138</v>
      </c>
      <c r="F7" s="30"/>
      <c r="G7" s="30"/>
      <c r="H7" s="30"/>
      <c r="I7" s="30"/>
      <c r="J7" s="30"/>
      <c r="K7" s="30"/>
      <c r="L7" s="30"/>
    </row>
    <row r="8" spans="1:12" ht="21" x14ac:dyDescent="0.25">
      <c r="A8" s="31"/>
      <c r="B8" s="31"/>
      <c r="C8" s="30"/>
      <c r="D8" s="30"/>
      <c r="E8" s="30"/>
      <c r="F8" s="30"/>
      <c r="G8" s="30"/>
      <c r="H8" s="30"/>
      <c r="I8" s="30"/>
      <c r="J8" s="30"/>
      <c r="K8" s="30"/>
      <c r="L8" s="30"/>
    </row>
    <row r="9" spans="1:12" ht="21" x14ac:dyDescent="0.25">
      <c r="A9" s="31"/>
      <c r="B9" s="31"/>
      <c r="C9" s="30"/>
      <c r="D9" s="30"/>
      <c r="E9" s="30"/>
      <c r="F9" s="30"/>
      <c r="G9" s="30"/>
      <c r="H9" s="30"/>
      <c r="I9" s="30"/>
      <c r="J9" s="30"/>
      <c r="K9" s="30"/>
      <c r="L9" s="30"/>
    </row>
    <row r="10" spans="1:12" ht="21.75" thickBot="1" x14ac:dyDescent="0.3">
      <c r="A10" s="31"/>
      <c r="B10" s="31"/>
      <c r="C10" s="30"/>
      <c r="D10" s="30"/>
      <c r="E10" s="30"/>
      <c r="F10" s="180"/>
      <c r="G10" s="30"/>
      <c r="H10" s="30"/>
      <c r="I10" s="30"/>
      <c r="J10" s="30"/>
      <c r="K10" s="30"/>
      <c r="L10" s="30"/>
    </row>
    <row r="11" spans="1:12" ht="21" x14ac:dyDescent="0.25">
      <c r="A11" s="31"/>
      <c r="B11" s="31"/>
      <c r="C11" s="30"/>
      <c r="D11" s="30"/>
      <c r="E11" s="274" t="s">
        <v>119</v>
      </c>
      <c r="F11" s="281" t="s">
        <v>56</v>
      </c>
      <c r="G11" s="30"/>
      <c r="H11" s="30"/>
      <c r="I11" s="30"/>
      <c r="J11" s="30"/>
      <c r="K11" s="30"/>
      <c r="L11" s="30"/>
    </row>
    <row r="12" spans="1:12" ht="21.75" thickBot="1" x14ac:dyDescent="0.3">
      <c r="A12" s="31"/>
      <c r="B12" s="31"/>
      <c r="C12" s="30"/>
      <c r="D12" s="30"/>
      <c r="E12" s="280"/>
      <c r="F12" s="282"/>
      <c r="G12" s="30"/>
      <c r="H12" s="30"/>
      <c r="I12" s="30"/>
      <c r="J12" s="30"/>
      <c r="K12" s="30"/>
      <c r="L12" s="30"/>
    </row>
    <row r="13" spans="1:12" ht="21" x14ac:dyDescent="0.25">
      <c r="A13" s="31"/>
      <c r="B13" s="31"/>
      <c r="C13" s="128" t="str">
        <f>'Cad1'!F14</f>
        <v>Creme Chantty - LITRO</v>
      </c>
      <c r="D13" s="30"/>
      <c r="E13" s="30" t="str">
        <f>IF(C13=0,"",C13)</f>
        <v>Creme Chantty - LITRO</v>
      </c>
      <c r="F13" s="160">
        <f>IFERROR(ROUNDUP(VLOOKUP(E13,'Tab1'!$E$13:$Q$150,11,0),0),"")</f>
        <v>0</v>
      </c>
      <c r="G13" s="30"/>
      <c r="H13" s="30"/>
      <c r="I13" s="30"/>
      <c r="J13" s="30"/>
      <c r="K13" s="30"/>
      <c r="L13" s="30"/>
    </row>
    <row r="14" spans="1:12" ht="21" x14ac:dyDescent="0.25">
      <c r="A14" s="31"/>
      <c r="B14" s="31"/>
      <c r="C14" s="128" t="str">
        <f>'Cad1'!F15</f>
        <v>Creme Chantty - MINI</v>
      </c>
      <c r="D14" s="30"/>
      <c r="E14" s="30" t="str">
        <f t="shared" ref="E14:E77" si="0">IF(C14=0,"",C14)</f>
        <v>Creme Chantty - MINI</v>
      </c>
      <c r="F14" s="160">
        <f>IFERROR(ROUNDUP(VLOOKUP(E14,'Tab1'!$E$13:$Q$150,11,0),0),"")</f>
        <v>0</v>
      </c>
      <c r="G14" s="30"/>
      <c r="H14" s="30"/>
      <c r="I14" s="30"/>
      <c r="J14" s="30"/>
      <c r="K14" s="30"/>
      <c r="L14" s="30"/>
    </row>
    <row r="15" spans="1:12" ht="16.5" x14ac:dyDescent="0.25">
      <c r="A15" s="41"/>
      <c r="B15" s="141"/>
      <c r="C15" s="128" t="str">
        <f>'Cad1'!F16</f>
        <v>Creme Molho - LITRO</v>
      </c>
      <c r="D15" s="30"/>
      <c r="E15" s="30" t="str">
        <f t="shared" si="0"/>
        <v>Creme Molho - LITRO</v>
      </c>
      <c r="F15" s="160">
        <f>IFERROR(ROUNDUP(VLOOKUP(E15,'Tab1'!$E$13:$Q$150,11,0),0),"")</f>
        <v>0</v>
      </c>
      <c r="G15" s="30"/>
      <c r="H15" s="30"/>
      <c r="I15" s="30"/>
      <c r="J15" s="30"/>
      <c r="K15" s="30"/>
      <c r="L15" s="30"/>
    </row>
    <row r="16" spans="1:12" x14ac:dyDescent="0.25">
      <c r="A16" s="41"/>
      <c r="B16" s="41"/>
      <c r="C16" s="128" t="str">
        <f>'Cad1'!F17</f>
        <v>Creme Chantty - LITRO (Simples Nacional)</v>
      </c>
      <c r="D16" s="30"/>
      <c r="E16" s="30" t="str">
        <f t="shared" si="0"/>
        <v>Creme Chantty - LITRO (Simples Nacional)</v>
      </c>
      <c r="F16" s="160">
        <f>IFERROR(ROUNDUP(VLOOKUP(E16,'Tab1'!$E$13:$Q$150,11,0),0),"")</f>
        <v>0</v>
      </c>
      <c r="G16" s="30"/>
      <c r="H16" s="30"/>
      <c r="I16" s="30"/>
      <c r="J16" s="30"/>
      <c r="K16" s="30"/>
      <c r="L16" s="30"/>
    </row>
    <row r="17" spans="1:12" x14ac:dyDescent="0.25">
      <c r="A17" s="41"/>
      <c r="B17" s="41"/>
      <c r="C17" s="128" t="str">
        <f>'Cad1'!F18</f>
        <v>Creme Chantty - MINI (Simples Nacional)</v>
      </c>
      <c r="D17" s="30"/>
      <c r="E17" s="30" t="str">
        <f t="shared" si="0"/>
        <v>Creme Chantty - MINI (Simples Nacional)</v>
      </c>
      <c r="F17" s="160">
        <f>IFERROR(ROUNDUP(VLOOKUP(E17,'Tab1'!$E$13:$Q$150,11,0),0),"")</f>
        <v>0</v>
      </c>
      <c r="G17" s="30"/>
      <c r="I17" s="30"/>
      <c r="J17" s="30"/>
      <c r="K17" s="30"/>
      <c r="L17" s="30"/>
    </row>
    <row r="18" spans="1:12" x14ac:dyDescent="0.25">
      <c r="A18" s="41"/>
      <c r="B18" s="41"/>
      <c r="C18" s="128" t="str">
        <f>'Cad1'!F19</f>
        <v>Creme Molho - LITRO (Simples Nacional)</v>
      </c>
      <c r="D18" s="30"/>
      <c r="E18" s="30" t="str">
        <f t="shared" si="0"/>
        <v>Creme Molho - LITRO (Simples Nacional)</v>
      </c>
      <c r="F18" s="160">
        <f>IFERROR(ROUNDUP(VLOOKUP(E18,'Tab1'!$E$13:$Q$150,11,0),0),"")</f>
        <v>0</v>
      </c>
      <c r="G18" s="30"/>
      <c r="H18" s="30"/>
      <c r="I18" s="30"/>
      <c r="J18" s="30"/>
      <c r="K18" s="30"/>
      <c r="L18" s="30"/>
    </row>
    <row r="19" spans="1:12" x14ac:dyDescent="0.25">
      <c r="A19" s="41"/>
      <c r="B19" s="41"/>
      <c r="C19" s="128" t="str">
        <f>'Cad1'!F20</f>
        <v>Chantilly TP Jundiai - 1L</v>
      </c>
      <c r="D19" s="30"/>
      <c r="E19" s="30" t="str">
        <f t="shared" si="0"/>
        <v>Chantilly TP Jundiai - 1L</v>
      </c>
      <c r="F19" s="160">
        <v>14</v>
      </c>
      <c r="G19" s="30"/>
      <c r="H19" s="30"/>
      <c r="I19" s="30"/>
      <c r="J19" s="30"/>
      <c r="K19" s="30"/>
      <c r="L19" s="30"/>
    </row>
    <row r="20" spans="1:12" x14ac:dyDescent="0.25">
      <c r="A20" s="41"/>
      <c r="B20" s="41"/>
      <c r="C20" s="128" t="str">
        <f>'Cad1'!F21</f>
        <v>Creme Culinário TP Jundiai - 1L</v>
      </c>
      <c r="D20" s="30"/>
      <c r="E20" s="30" t="str">
        <f t="shared" si="0"/>
        <v>Creme Culinário TP Jundiai - 1L</v>
      </c>
      <c r="F20" s="160">
        <v>11</v>
      </c>
      <c r="G20" s="30"/>
      <c r="H20" s="30"/>
      <c r="I20" s="30"/>
      <c r="J20" s="30"/>
      <c r="K20" s="30"/>
      <c r="L20" s="30"/>
    </row>
    <row r="21" spans="1:12" x14ac:dyDescent="0.25">
      <c r="A21" s="41"/>
      <c r="B21" s="41"/>
      <c r="C21" s="128" t="str">
        <f>'Cad1'!F22</f>
        <v>Chantilly TP Jundiai - 1L (Simples Nacional)</v>
      </c>
      <c r="D21" s="30"/>
      <c r="E21" s="30" t="str">
        <f t="shared" si="0"/>
        <v>Chantilly TP Jundiai - 1L (Simples Nacional)</v>
      </c>
      <c r="F21" s="160">
        <f>IFERROR(ROUNDUP(VLOOKUP(E21,'Tab1'!$E$13:$Q$150,11,0),0),"")</f>
        <v>0</v>
      </c>
      <c r="G21" s="30"/>
      <c r="H21" s="30"/>
      <c r="I21" s="30"/>
      <c r="J21" s="30"/>
      <c r="K21" s="30"/>
      <c r="L21" s="30"/>
    </row>
    <row r="22" spans="1:12" x14ac:dyDescent="0.25">
      <c r="A22" s="41"/>
      <c r="B22" s="41"/>
      <c r="C22" s="128" t="str">
        <f>'Cad1'!F23</f>
        <v>Creme Culinário TP Jundiai - 1L (Simples Nacional)</v>
      </c>
      <c r="D22" s="30"/>
      <c r="E22" s="30" t="str">
        <f t="shared" si="0"/>
        <v>Creme Culinário TP Jundiai - 1L (Simples Nacional)</v>
      </c>
      <c r="F22" s="160">
        <f>IFERROR(ROUNDUP(VLOOKUP(E22,'Tab1'!$E$13:$Q$150,11,0),0),"")</f>
        <v>0</v>
      </c>
      <c r="G22" s="30"/>
      <c r="H22" s="30"/>
      <c r="I22" s="30"/>
      <c r="J22" s="30"/>
      <c r="K22" s="30"/>
      <c r="L22" s="30"/>
    </row>
    <row r="23" spans="1:12" x14ac:dyDescent="0.25">
      <c r="A23" s="41"/>
      <c r="B23" s="41"/>
      <c r="C23" s="128" t="str">
        <f>'Cad1'!F24</f>
        <v>Chantilly TP BRAVO - 1L</v>
      </c>
      <c r="D23" s="30"/>
      <c r="E23" s="30" t="str">
        <f t="shared" si="0"/>
        <v>Chantilly TP BRAVO - 1L</v>
      </c>
      <c r="F23" s="160">
        <f>IFERROR(ROUNDUP(VLOOKUP(E23,'Tab1'!$E$13:$Q$150,11,0),0),"")</f>
        <v>0</v>
      </c>
      <c r="G23" s="30"/>
      <c r="H23" s="30"/>
      <c r="I23" s="30"/>
      <c r="J23" s="30"/>
      <c r="K23" s="30"/>
      <c r="L23" s="30"/>
    </row>
    <row r="24" spans="1:12" x14ac:dyDescent="0.25">
      <c r="A24" s="41"/>
      <c r="B24" s="41"/>
      <c r="C24" s="128" t="str">
        <f>'Cad1'!F25</f>
        <v>Creme Culinário TP BRAVO - 1L</v>
      </c>
      <c r="D24" s="30"/>
      <c r="E24" s="30" t="str">
        <f t="shared" si="0"/>
        <v>Creme Culinário TP BRAVO - 1L</v>
      </c>
      <c r="F24" s="160">
        <f>IFERROR(ROUNDUP(VLOOKUP(E24,'Tab1'!$E$13:$Q$150,11,0),0),"")</f>
        <v>0</v>
      </c>
      <c r="G24" s="30"/>
      <c r="H24" s="30"/>
      <c r="I24" s="30"/>
      <c r="J24" s="30"/>
      <c r="K24" s="30"/>
      <c r="L24" s="30"/>
    </row>
    <row r="25" spans="1:12" ht="15" customHeight="1" x14ac:dyDescent="0.25">
      <c r="A25" s="41"/>
      <c r="B25" s="60"/>
      <c r="C25" s="128" t="str">
        <f>'Cad1'!F26</f>
        <v>Chantilly TP BRAVO - 1L (Simples)</v>
      </c>
      <c r="D25" s="30"/>
      <c r="E25" s="30" t="str">
        <f t="shared" si="0"/>
        <v>Chantilly TP BRAVO - 1L (Simples)</v>
      </c>
      <c r="F25" s="160">
        <f>IFERROR(ROUNDUP(VLOOKUP(E25,'Tab1'!$E$13:$Q$150,13,0),0),"")</f>
        <v>0</v>
      </c>
      <c r="G25" s="30"/>
      <c r="H25" s="30"/>
      <c r="I25" s="30"/>
      <c r="J25" s="30"/>
      <c r="K25" s="30"/>
      <c r="L25" s="30"/>
    </row>
    <row r="26" spans="1:12" ht="16.5" x14ac:dyDescent="0.25">
      <c r="A26" s="41"/>
      <c r="B26" s="60"/>
      <c r="C26" s="128" t="str">
        <f>'Cad1'!F27</f>
        <v>Creme Culinário TP BRAVO - 1L (Simples)</v>
      </c>
      <c r="D26" s="30"/>
      <c r="E26" s="30" t="str">
        <f t="shared" si="0"/>
        <v>Creme Culinário TP BRAVO - 1L (Simples)</v>
      </c>
      <c r="F26" s="160">
        <f>IFERROR(ROUNDUP(VLOOKUP(E26,'Tab1'!$E$13:$Q$150,13,0),0),"")</f>
        <v>0</v>
      </c>
      <c r="G26" s="30"/>
      <c r="H26" s="30"/>
      <c r="I26" s="30"/>
      <c r="J26" s="30"/>
      <c r="K26" s="30"/>
      <c r="L26" s="30"/>
    </row>
    <row r="27" spans="1:12" ht="16.5" x14ac:dyDescent="0.25">
      <c r="A27" s="41"/>
      <c r="B27" s="141"/>
      <c r="C27" s="128" t="str">
        <f>'Cad1'!F28</f>
        <v>Marshmallow 500g</v>
      </c>
      <c r="D27" s="30"/>
      <c r="E27" s="30" t="str">
        <f t="shared" si="0"/>
        <v>Marshmallow 500g</v>
      </c>
      <c r="F27" s="160">
        <f>IFERROR(ROUNDUP(VLOOKUP(E27,'Tab1'!$E$13:$Q$150,13,0),0),"")</f>
        <v>0</v>
      </c>
      <c r="G27" s="30"/>
      <c r="H27" s="30"/>
      <c r="I27" s="30"/>
      <c r="J27" s="30"/>
      <c r="K27" s="30"/>
      <c r="L27" s="30"/>
    </row>
    <row r="28" spans="1:12" ht="15" customHeight="1" x14ac:dyDescent="0.25">
      <c r="A28" s="41"/>
      <c r="B28" s="148"/>
      <c r="C28" s="128" t="str">
        <f>'Cad1'!F29</f>
        <v>Marshmallow 1kg</v>
      </c>
      <c r="D28" s="30"/>
      <c r="E28" s="30" t="str">
        <f t="shared" si="0"/>
        <v>Marshmallow 1kg</v>
      </c>
      <c r="F28" s="160">
        <f>IFERROR(ROUNDUP(VLOOKUP(E28,'Tab1'!$E$13:$Q$150,13,0),0),"")</f>
        <v>0</v>
      </c>
      <c r="G28" s="30"/>
      <c r="H28" s="30"/>
      <c r="I28" s="30"/>
      <c r="J28" s="30"/>
      <c r="K28" s="30"/>
      <c r="L28" s="30"/>
    </row>
    <row r="29" spans="1:12" x14ac:dyDescent="0.25">
      <c r="A29" s="41"/>
      <c r="B29" s="62"/>
      <c r="C29" s="128" t="str">
        <f>'Cad1'!F31</f>
        <v>Coco Fresco 250g</v>
      </c>
      <c r="D29" s="30"/>
      <c r="E29" s="30" t="str">
        <f t="shared" si="0"/>
        <v>Coco Fresco 250g</v>
      </c>
      <c r="F29" s="160">
        <f>IFERROR(ROUNDUP(VLOOKUP(E29,'Tab1'!$E$13:$Q$150,11,0),0),"")</f>
        <v>0</v>
      </c>
      <c r="G29" s="30"/>
      <c r="H29" s="30"/>
      <c r="I29" s="30"/>
      <c r="J29" s="30"/>
      <c r="K29" s="30"/>
      <c r="L29" s="30"/>
    </row>
    <row r="30" spans="1:12" x14ac:dyDescent="0.25">
      <c r="A30" s="41"/>
      <c r="B30" s="41"/>
      <c r="C30" s="128" t="str">
        <f>'Cad1'!F32</f>
        <v>Coco Fresco 500g</v>
      </c>
      <c r="D30" s="30"/>
      <c r="E30" s="30" t="str">
        <f t="shared" si="0"/>
        <v>Coco Fresco 500g</v>
      </c>
      <c r="F30" s="160">
        <f>IFERROR(ROUNDUP(VLOOKUP(E30,'Tab1'!$E$13:$Q$150,11,0),0),"")</f>
        <v>0</v>
      </c>
      <c r="G30" s="30"/>
      <c r="H30" s="30"/>
      <c r="I30" s="30"/>
      <c r="J30" s="30"/>
      <c r="K30" s="30"/>
      <c r="L30" s="30"/>
    </row>
    <row r="31" spans="1:12" x14ac:dyDescent="0.25">
      <c r="A31" s="41"/>
      <c r="B31" s="41"/>
      <c r="C31" s="128" t="str">
        <f>'Cad1'!F33</f>
        <v>Coco Fresco 1kg</v>
      </c>
      <c r="D31" s="30"/>
      <c r="E31" s="30" t="str">
        <f t="shared" si="0"/>
        <v>Coco Fresco 1kg</v>
      </c>
      <c r="F31" s="160">
        <f>IFERROR(ROUNDUP(VLOOKUP(E31,'Tab1'!$E$13:$Q$150,13,0),0),"")</f>
        <v>0</v>
      </c>
      <c r="G31" s="30"/>
      <c r="H31" s="30"/>
      <c r="I31" s="30"/>
      <c r="J31" s="30"/>
      <c r="K31" s="30"/>
      <c r="L31" s="30"/>
    </row>
    <row r="32" spans="1:12" x14ac:dyDescent="0.25">
      <c r="A32" s="41"/>
      <c r="B32" s="41"/>
      <c r="C32" s="128" t="str">
        <f>'Cad1'!F34</f>
        <v>Coco Fresco FITA 1kg</v>
      </c>
      <c r="D32" s="30"/>
      <c r="E32" s="30" t="str">
        <f t="shared" si="0"/>
        <v>Coco Fresco FITA 1kg</v>
      </c>
      <c r="F32" s="160">
        <f>IFERROR(ROUNDUP(VLOOKUP(E32,'Tab1'!$E$13:$Q$150,13,0),0),"")</f>
        <v>0</v>
      </c>
      <c r="G32" s="30"/>
      <c r="H32" s="30"/>
      <c r="I32" s="30"/>
      <c r="J32" s="30"/>
      <c r="K32" s="30"/>
      <c r="L32" s="30"/>
    </row>
    <row r="33" spans="1:12" x14ac:dyDescent="0.25">
      <c r="A33" s="41"/>
      <c r="B33" s="41"/>
      <c r="C33" s="128" t="str">
        <f>'Cad1'!F35</f>
        <v>Coco Seco Fino 500g</v>
      </c>
      <c r="D33" s="30"/>
      <c r="E33" s="30" t="str">
        <f t="shared" si="0"/>
        <v>Coco Seco Fino 500g</v>
      </c>
      <c r="F33" s="160">
        <f>IFERROR(ROUNDUP(VLOOKUP(E33,'Tab1'!$E$13:$Q$150,13,0),0),"")</f>
        <v>0</v>
      </c>
      <c r="G33" s="30"/>
      <c r="H33" s="30"/>
      <c r="I33" s="30"/>
      <c r="J33" s="30"/>
      <c r="K33" s="30"/>
      <c r="L33" s="30"/>
    </row>
    <row r="34" spans="1:12" x14ac:dyDescent="0.25">
      <c r="A34" s="41"/>
      <c r="B34" s="41"/>
      <c r="C34" s="128" t="str">
        <f>'Cad1'!F36</f>
        <v>Coco Seco Flocos 500g</v>
      </c>
      <c r="D34" s="30"/>
      <c r="E34" s="30" t="str">
        <f t="shared" si="0"/>
        <v>Coco Seco Flocos 500g</v>
      </c>
      <c r="F34" s="160">
        <f>IFERROR(ROUNDUP(VLOOKUP(E34,'Tab1'!$E$13:$Q$150,13,0),0),"")</f>
        <v>0</v>
      </c>
      <c r="G34" s="30"/>
      <c r="H34" s="30"/>
      <c r="I34" s="30"/>
      <c r="J34" s="30"/>
      <c r="K34" s="30"/>
      <c r="L34" s="30"/>
    </row>
    <row r="35" spans="1:12" x14ac:dyDescent="0.25">
      <c r="A35" s="41"/>
      <c r="B35" s="41"/>
      <c r="C35" s="128" t="str">
        <f>'Cad1'!F37</f>
        <v>Coco Seco Flocos 5kg</v>
      </c>
      <c r="D35" s="30"/>
      <c r="E35" s="30" t="str">
        <f t="shared" si="0"/>
        <v>Coco Seco Flocos 5kg</v>
      </c>
      <c r="F35" s="160">
        <f>IFERROR(ROUNDUP(VLOOKUP(E35,'Tab1'!$E$13:$Q$150,13,0),0),"")</f>
        <v>0</v>
      </c>
      <c r="G35" s="30"/>
      <c r="H35" s="30"/>
      <c r="I35" s="30"/>
      <c r="J35" s="30"/>
      <c r="K35" s="30"/>
      <c r="L35" s="30"/>
    </row>
    <row r="36" spans="1:12" x14ac:dyDescent="0.25">
      <c r="A36" s="41"/>
      <c r="B36" s="41"/>
      <c r="C36" s="128" t="str">
        <f>'Cad1'!F38</f>
        <v>Saco Confeitar P (50 Unid)</v>
      </c>
      <c r="D36" s="30"/>
      <c r="E36" s="30" t="str">
        <f t="shared" si="0"/>
        <v>Saco Confeitar P (50 Unid)</v>
      </c>
      <c r="F36" s="160">
        <f>IFERROR(ROUNDUP(VLOOKUP(E36,'Tab1'!$E$13:$Q$150,11,0),0),"")</f>
        <v>0</v>
      </c>
      <c r="G36" s="30"/>
      <c r="H36" s="30"/>
      <c r="I36" s="30"/>
      <c r="J36" s="30"/>
      <c r="K36" s="30"/>
      <c r="L36" s="30"/>
    </row>
    <row r="37" spans="1:12" x14ac:dyDescent="0.25">
      <c r="A37" s="41"/>
      <c r="B37" s="41"/>
      <c r="C37" s="128" t="str">
        <f>'Cad1'!F39</f>
        <v>Saco Confeitar M (50 Unid)</v>
      </c>
      <c r="D37" s="30"/>
      <c r="E37" s="30" t="str">
        <f t="shared" si="0"/>
        <v>Saco Confeitar M (50 Unid)</v>
      </c>
      <c r="F37" s="160">
        <f>IFERROR(ROUNDUP(VLOOKUP(E37,'Tab1'!$E$13:$Q$150,11,0),0),"")</f>
        <v>0</v>
      </c>
      <c r="G37" s="30"/>
      <c r="H37" s="30"/>
      <c r="I37" s="30"/>
      <c r="J37" s="30"/>
      <c r="K37" s="30"/>
      <c r="L37" s="30"/>
    </row>
    <row r="38" spans="1:12" x14ac:dyDescent="0.25">
      <c r="A38" s="41"/>
      <c r="B38" s="41"/>
      <c r="C38" s="128" t="str">
        <f>'Cad1'!F40</f>
        <v>Saco Confeitar G (50 Unid)</v>
      </c>
      <c r="D38" s="30"/>
      <c r="E38" s="30" t="str">
        <f t="shared" si="0"/>
        <v>Saco Confeitar G (50 Unid)</v>
      </c>
      <c r="F38" s="160">
        <f>IFERROR(ROUNDUP(VLOOKUP(E38,'Tab1'!$E$13:$Q$150,13,0),0),"")</f>
        <v>0</v>
      </c>
      <c r="G38" s="30"/>
      <c r="H38" s="30"/>
      <c r="I38" s="30"/>
      <c r="J38" s="30"/>
      <c r="K38" s="30"/>
      <c r="L38" s="30"/>
    </row>
    <row r="39" spans="1:12" x14ac:dyDescent="0.25">
      <c r="A39" s="41"/>
      <c r="B39" s="41"/>
      <c r="C39" s="128" t="str">
        <f>'Cad1'!F41</f>
        <v>Massa folhada 500g</v>
      </c>
      <c r="D39" s="30"/>
      <c r="E39" s="30" t="str">
        <f t="shared" si="0"/>
        <v>Massa folhada 500g</v>
      </c>
      <c r="F39" s="160">
        <f>IFERROR(ROUNDUP(VLOOKUP(E39,'Tab1'!$E$13:$Q$150,13,0),0),"")</f>
        <v>0</v>
      </c>
      <c r="G39" s="30"/>
      <c r="H39" s="30"/>
      <c r="I39" s="30"/>
      <c r="J39" s="30"/>
      <c r="K39" s="30"/>
      <c r="L39" s="30"/>
    </row>
    <row r="40" spans="1:12" x14ac:dyDescent="0.25">
      <c r="A40" s="41"/>
      <c r="B40" s="41"/>
      <c r="C40" s="128" t="str">
        <f>'Cad1'!F42</f>
        <v>Massa folhada 1kg</v>
      </c>
      <c r="D40" s="30"/>
      <c r="E40" s="30" t="str">
        <f>IF(C40=0,"",C40)</f>
        <v>Massa folhada 1kg</v>
      </c>
      <c r="F40" s="238">
        <f>IFERROR(ROUNDUP(VLOOKUP(E40,'Tab1'!$E$13:$Q$150,13,0),0),"")</f>
        <v>0</v>
      </c>
      <c r="G40" s="30"/>
      <c r="H40" s="30"/>
      <c r="I40" s="30"/>
      <c r="J40" s="30"/>
      <c r="K40" s="30"/>
      <c r="L40" s="30"/>
    </row>
    <row r="41" spans="1:12" x14ac:dyDescent="0.25">
      <c r="A41" s="41"/>
      <c r="B41" s="41"/>
      <c r="C41" s="128" t="str">
        <f>'Cad1'!F43</f>
        <v>Massa folhada 2.2kg</v>
      </c>
      <c r="D41" s="30"/>
      <c r="E41" s="30" t="str">
        <f t="shared" si="0"/>
        <v>Massa folhada 2.2kg</v>
      </c>
      <c r="F41" s="160">
        <f>IFERROR(ROUNDUP(VLOOKUP(E41,'Tab1'!$E$13:$Q$150,13,0),0),"")</f>
        <v>0</v>
      </c>
      <c r="G41" s="30"/>
      <c r="H41" s="30"/>
      <c r="I41" s="30"/>
      <c r="J41" s="30"/>
      <c r="K41" s="30"/>
      <c r="L41" s="30"/>
    </row>
    <row r="42" spans="1:12" x14ac:dyDescent="0.25">
      <c r="A42" s="41"/>
      <c r="B42" s="41"/>
      <c r="C42" s="128" t="str">
        <f>'Cad1'!F44</f>
        <v>Massa Semi folhada 2kg</v>
      </c>
      <c r="D42" s="30"/>
      <c r="E42" s="30" t="str">
        <f t="shared" si="0"/>
        <v>Massa Semi folhada 2kg</v>
      </c>
      <c r="F42" s="160">
        <f>IFERROR(ROUNDUP(VLOOKUP(E42,'Tab1'!$E$13:$Q$150,13,0),0),"")</f>
        <v>0</v>
      </c>
      <c r="G42" s="30"/>
      <c r="H42" s="30"/>
      <c r="I42" s="30"/>
      <c r="J42" s="30"/>
      <c r="K42" s="30"/>
      <c r="L42" s="30"/>
    </row>
    <row r="43" spans="1:12" ht="16.5" x14ac:dyDescent="0.25">
      <c r="A43" s="41"/>
      <c r="B43" s="60"/>
      <c r="C43" s="128" t="str">
        <f>'Cad1'!F45</f>
        <v>OVOS TP 1L</v>
      </c>
      <c r="D43" s="30"/>
      <c r="E43" s="30" t="str">
        <f t="shared" si="0"/>
        <v>OVOS TP 1L</v>
      </c>
      <c r="F43" s="160">
        <f>IFERROR(ROUNDUP(VLOOKUP(E43,'Tab1'!$E$13:$Q$150,13,0),0),"")</f>
        <v>0</v>
      </c>
      <c r="G43" s="30"/>
      <c r="H43" s="30"/>
      <c r="I43" s="30"/>
      <c r="J43" s="30"/>
      <c r="K43" s="30"/>
      <c r="L43" s="30"/>
    </row>
    <row r="44" spans="1:12" ht="19.5" x14ac:dyDescent="0.25">
      <c r="A44" s="41"/>
      <c r="B44" s="61"/>
      <c r="C44" s="128" t="str">
        <f>'Cad1'!F46</f>
        <v>GEMA TP 1L</v>
      </c>
      <c r="D44" s="30"/>
      <c r="E44" s="30" t="str">
        <f t="shared" si="0"/>
        <v>GEMA TP 1L</v>
      </c>
      <c r="F44" s="160">
        <f>IFERROR(ROUNDUP(VLOOKUP(E44,'Tab1'!$E$13:$Q$150,13,0),0),"")</f>
        <v>0</v>
      </c>
      <c r="G44" s="30"/>
      <c r="H44" s="30"/>
      <c r="I44" s="30"/>
      <c r="J44" s="30"/>
      <c r="K44" s="30"/>
      <c r="L44" s="30"/>
    </row>
    <row r="45" spans="1:12" ht="19.5" x14ac:dyDescent="0.25">
      <c r="A45" s="41"/>
      <c r="B45" s="61"/>
      <c r="C45" s="128" t="str">
        <f>'Cad1'!F47</f>
        <v>CLARA TP 1L</v>
      </c>
      <c r="D45" s="30"/>
      <c r="E45" s="30" t="str">
        <f t="shared" si="0"/>
        <v>CLARA TP 1L</v>
      </c>
      <c r="F45" s="160">
        <f>IFERROR(ROUNDUP(VLOOKUP(E45,'Tab1'!$E$13:$Q$150,13,0),0),"")</f>
        <v>0</v>
      </c>
      <c r="G45" s="30"/>
      <c r="H45" s="30"/>
      <c r="I45" s="30"/>
      <c r="J45" s="30"/>
      <c r="K45" s="30"/>
      <c r="L45" s="30"/>
    </row>
    <row r="46" spans="1:12" x14ac:dyDescent="0.25">
      <c r="A46" s="41"/>
      <c r="B46" s="62"/>
      <c r="C46" s="128" t="str">
        <f>'Cad1'!F48</f>
        <v>Pão de queijo Tradicional</v>
      </c>
      <c r="D46" s="30"/>
      <c r="E46" s="30" t="str">
        <f t="shared" si="0"/>
        <v>Pão de queijo Tradicional</v>
      </c>
      <c r="F46" s="160">
        <f>IFERROR(ROUNDUP(VLOOKUP(E46,'Tab1'!$E$13:$Q$150,13,0),0),"")</f>
        <v>0</v>
      </c>
      <c r="G46" s="30"/>
      <c r="H46" s="30"/>
      <c r="I46" s="30"/>
      <c r="J46" s="30"/>
      <c r="K46" s="30"/>
      <c r="L46" s="30"/>
    </row>
    <row r="47" spans="1:12" x14ac:dyDescent="0.25">
      <c r="A47" s="41"/>
      <c r="B47" s="41"/>
      <c r="C47" s="128" t="str">
        <f>'Cad1'!F49</f>
        <v>Pão de queijo Recheado</v>
      </c>
      <c r="D47" s="30"/>
      <c r="E47" s="30" t="str">
        <f t="shared" si="0"/>
        <v>Pão de queijo Recheado</v>
      </c>
      <c r="F47" s="160">
        <f>IFERROR(ROUNDUP(VLOOKUP(E47,'Tab1'!$E$13:$Q$150,11,0),0),"")</f>
        <v>0</v>
      </c>
      <c r="G47" s="30"/>
      <c r="H47" s="30"/>
      <c r="I47" s="30"/>
      <c r="J47" s="30"/>
      <c r="K47" s="30"/>
      <c r="L47" s="30"/>
    </row>
    <row r="48" spans="1:12" x14ac:dyDescent="0.25">
      <c r="A48" s="41"/>
      <c r="B48" s="41"/>
      <c r="C48" s="128" t="str">
        <f>'Cad1'!F50</f>
        <v>Abacaxi Congelado 500g</v>
      </c>
      <c r="D48" s="30"/>
      <c r="E48" s="30" t="str">
        <f t="shared" si="0"/>
        <v>Abacaxi Congelado 500g</v>
      </c>
      <c r="F48" s="160">
        <f>IFERROR(ROUNDUP(VLOOKUP(E48,'Tab1'!$E$13:$Q$150,11,0),0),"")</f>
        <v>0</v>
      </c>
      <c r="G48" s="30"/>
      <c r="H48" s="30"/>
      <c r="I48" s="30"/>
      <c r="J48" s="30"/>
      <c r="K48" s="30"/>
      <c r="L48" s="30"/>
    </row>
    <row r="49" spans="1:12" x14ac:dyDescent="0.25">
      <c r="A49" s="41"/>
      <c r="B49" s="41"/>
      <c r="C49" s="128" t="str">
        <f>'Cad1'!F51</f>
        <v>Morango Congelado 500g</v>
      </c>
      <c r="D49" s="30"/>
      <c r="E49" s="30" t="str">
        <f t="shared" si="0"/>
        <v>Morango Congelado 500g</v>
      </c>
      <c r="F49" s="160">
        <f>IFERROR(ROUNDUP(VLOOKUP(E49,'Tab1'!$E$13:$Q$150,11,0),0),"")</f>
        <v>0</v>
      </c>
      <c r="G49" s="30"/>
      <c r="H49" s="30"/>
      <c r="I49" s="30"/>
      <c r="J49" s="30"/>
      <c r="K49" s="30"/>
      <c r="L49" s="30"/>
    </row>
    <row r="50" spans="1:12" x14ac:dyDescent="0.25">
      <c r="A50" s="41"/>
      <c r="B50" s="252"/>
      <c r="C50" s="128">
        <f>'Cad1'!F52</f>
        <v>0</v>
      </c>
      <c r="D50" s="30"/>
      <c r="E50" s="30" t="str">
        <f t="shared" si="0"/>
        <v/>
      </c>
      <c r="F50" s="160">
        <f>IFERROR(ROUNDUP(VLOOKUP(E50,'Tab1'!$E$13:$Q$150,11,0),0),"")</f>
        <v>0</v>
      </c>
      <c r="G50" s="30"/>
      <c r="H50" s="30"/>
      <c r="I50" s="30"/>
      <c r="J50" s="30"/>
      <c r="K50" s="30"/>
      <c r="L50" s="30"/>
    </row>
    <row r="51" spans="1:12" x14ac:dyDescent="0.25">
      <c r="A51" s="41"/>
      <c r="B51" s="252"/>
      <c r="C51" s="128">
        <f>'Cad1'!F53</f>
        <v>0</v>
      </c>
      <c r="D51" s="30"/>
      <c r="E51" s="30" t="str">
        <f t="shared" si="0"/>
        <v/>
      </c>
      <c r="F51" s="160">
        <f>IFERROR(ROUNDUP(VLOOKUP(E51,'Tab1'!$E$13:$Q$150,11,0),0),"")</f>
        <v>0</v>
      </c>
      <c r="G51" s="30"/>
      <c r="H51" s="30"/>
      <c r="I51" s="30"/>
      <c r="J51" s="30"/>
      <c r="K51" s="30"/>
      <c r="L51" s="30"/>
    </row>
    <row r="52" spans="1:12" x14ac:dyDescent="0.25">
      <c r="A52" s="41"/>
      <c r="B52" s="252"/>
      <c r="C52" s="128">
        <f>'Cad1'!F54</f>
        <v>0</v>
      </c>
      <c r="D52" s="30"/>
      <c r="E52" s="30" t="str">
        <f t="shared" si="0"/>
        <v/>
      </c>
      <c r="F52" s="160">
        <f>IFERROR(ROUNDUP(VLOOKUP(E52,'Tab1'!$E$13:$Q$150,11,0),0),"")</f>
        <v>0</v>
      </c>
      <c r="G52" s="30"/>
      <c r="H52" s="30"/>
      <c r="I52" s="30"/>
      <c r="J52" s="30"/>
      <c r="K52" s="30"/>
      <c r="L52" s="30"/>
    </row>
    <row r="53" spans="1:12" x14ac:dyDescent="0.25">
      <c r="A53" s="41"/>
      <c r="B53" s="252"/>
      <c r="C53" s="128">
        <f>'Cad1'!F55</f>
        <v>0</v>
      </c>
      <c r="D53" s="30"/>
      <c r="E53" s="30" t="str">
        <f t="shared" si="0"/>
        <v/>
      </c>
      <c r="F53" s="160">
        <f>IFERROR(ROUNDUP(VLOOKUP(E53,'Tab1'!$E$13:$Q$150,11,0),0),"")</f>
        <v>0</v>
      </c>
      <c r="G53" s="30"/>
      <c r="H53" s="30"/>
      <c r="I53" s="30"/>
      <c r="J53" s="30"/>
      <c r="K53" s="30"/>
      <c r="L53" s="30"/>
    </row>
    <row r="54" spans="1:12" x14ac:dyDescent="0.25">
      <c r="A54" s="41"/>
      <c r="B54" s="41"/>
      <c r="C54" s="128">
        <f>'Cad1'!F56</f>
        <v>0</v>
      </c>
      <c r="D54" s="30"/>
      <c r="E54" s="30" t="str">
        <f t="shared" si="0"/>
        <v/>
      </c>
      <c r="F54" s="160">
        <f>IFERROR(ROUNDUP(VLOOKUP(E54,'Tab1'!$E$13:$Q$150,11,0),0),"")</f>
        <v>0</v>
      </c>
      <c r="G54" s="30"/>
      <c r="H54" s="30"/>
      <c r="I54" s="30"/>
      <c r="J54" s="30"/>
      <c r="K54" s="30"/>
      <c r="L54" s="30"/>
    </row>
    <row r="55" spans="1:12" x14ac:dyDescent="0.25">
      <c r="A55" s="41"/>
      <c r="B55" s="41"/>
      <c r="C55" s="128">
        <f>'Cad1'!F57</f>
        <v>0</v>
      </c>
      <c r="D55" s="30"/>
      <c r="E55" s="30" t="str">
        <f t="shared" si="0"/>
        <v/>
      </c>
      <c r="F55" s="160">
        <f>IFERROR(ROUNDUP(VLOOKUP(E55,'Tab1'!$E$13:$Q$150,11,0),0),"")</f>
        <v>0</v>
      </c>
      <c r="G55" s="30"/>
      <c r="H55" s="30"/>
      <c r="I55" s="30"/>
      <c r="J55" s="30"/>
      <c r="K55" s="30"/>
      <c r="L55" s="30"/>
    </row>
    <row r="56" spans="1:12" x14ac:dyDescent="0.25">
      <c r="A56" s="41"/>
      <c r="B56" s="41"/>
      <c r="C56" s="128">
        <f>'Cad1'!F58</f>
        <v>0</v>
      </c>
      <c r="D56" s="30"/>
      <c r="E56" s="30" t="str">
        <f t="shared" si="0"/>
        <v/>
      </c>
      <c r="F56" s="160">
        <f>IFERROR(ROUNDUP(VLOOKUP(E56,'Tab1'!$E$13:$Q$150,11,0),0),"")</f>
        <v>0</v>
      </c>
      <c r="G56" s="30"/>
      <c r="H56" s="30"/>
      <c r="I56" s="30"/>
      <c r="J56" s="30"/>
      <c r="K56" s="30"/>
      <c r="L56" s="30"/>
    </row>
    <row r="57" spans="1:12" x14ac:dyDescent="0.25">
      <c r="A57" s="41"/>
      <c r="B57" s="41"/>
      <c r="C57" s="128">
        <f>'Cad1'!F59</f>
        <v>0</v>
      </c>
      <c r="D57" s="30"/>
      <c r="E57" s="30" t="str">
        <f t="shared" si="0"/>
        <v/>
      </c>
      <c r="F57" s="160">
        <f>IFERROR(ROUNDUP(VLOOKUP(E57,'Tab1'!$E$13:$Q$150,11,0),0),"")</f>
        <v>0</v>
      </c>
      <c r="G57" s="30"/>
      <c r="H57" s="30"/>
      <c r="I57" s="30"/>
      <c r="J57" s="30"/>
      <c r="K57" s="30"/>
      <c r="L57" s="30"/>
    </row>
    <row r="58" spans="1:12" x14ac:dyDescent="0.25">
      <c r="A58" s="41"/>
      <c r="B58" s="41"/>
      <c r="C58" s="128">
        <f>'Cad1'!F60</f>
        <v>0</v>
      </c>
      <c r="D58" s="30"/>
      <c r="E58" s="30" t="str">
        <f t="shared" si="0"/>
        <v/>
      </c>
      <c r="F58" s="160">
        <f>IFERROR(ROUNDUP(VLOOKUP(E58,'Tab1'!$E$13:$Q$150,11,0),0),"")</f>
        <v>0</v>
      </c>
      <c r="G58" s="30"/>
      <c r="H58" s="30"/>
      <c r="I58" s="30"/>
      <c r="J58" s="30"/>
      <c r="K58" s="30"/>
      <c r="L58" s="30"/>
    </row>
    <row r="59" spans="1:12" x14ac:dyDescent="0.25">
      <c r="A59" s="41"/>
      <c r="B59" s="41"/>
      <c r="C59" s="128">
        <f>'Cad1'!F61</f>
        <v>0</v>
      </c>
      <c r="D59" s="30"/>
      <c r="E59" s="30" t="str">
        <f t="shared" si="0"/>
        <v/>
      </c>
      <c r="F59" s="160">
        <f>IFERROR(ROUNDUP(VLOOKUP(E59,'Tab1'!$E$13:$Q$150,11,0),0),"")</f>
        <v>0</v>
      </c>
      <c r="G59" s="30"/>
      <c r="H59" s="30"/>
      <c r="I59" s="30"/>
      <c r="J59" s="30"/>
      <c r="K59" s="30"/>
      <c r="L59" s="30"/>
    </row>
    <row r="60" spans="1:12" x14ac:dyDescent="0.25">
      <c r="A60" s="41"/>
      <c r="B60" s="41"/>
      <c r="C60" s="128">
        <f>'Cad1'!F62</f>
        <v>0</v>
      </c>
      <c r="D60" s="30"/>
      <c r="E60" s="30" t="str">
        <f t="shared" si="0"/>
        <v/>
      </c>
      <c r="F60" s="160">
        <f>IFERROR(ROUNDUP(VLOOKUP(E60,'Tab1'!$E$13:$Q$150,11,0),0),"")</f>
        <v>0</v>
      </c>
      <c r="G60" s="30"/>
      <c r="H60" s="30"/>
      <c r="I60" s="30"/>
      <c r="J60" s="30"/>
      <c r="K60" s="30"/>
      <c r="L60" s="30"/>
    </row>
    <row r="61" spans="1:12" x14ac:dyDescent="0.25">
      <c r="A61" s="41"/>
      <c r="B61" s="41"/>
      <c r="C61" s="128">
        <f>'Cad1'!F63</f>
        <v>0</v>
      </c>
      <c r="D61" s="30"/>
      <c r="E61" s="30" t="str">
        <f t="shared" si="0"/>
        <v/>
      </c>
      <c r="F61" s="160">
        <f>IFERROR(ROUNDUP(VLOOKUP(E61,'Tab1'!$E$13:$Q$150,11,0),0),"")</f>
        <v>0</v>
      </c>
      <c r="G61" s="30"/>
      <c r="H61" s="30"/>
      <c r="I61" s="30"/>
      <c r="J61" s="30"/>
      <c r="K61" s="30"/>
      <c r="L61" s="30"/>
    </row>
    <row r="62" spans="1:12" x14ac:dyDescent="0.25">
      <c r="A62" s="2"/>
      <c r="B62" s="2"/>
      <c r="C62" s="18">
        <f>'Cad1'!F64</f>
        <v>0</v>
      </c>
      <c r="E62" s="30" t="str">
        <f t="shared" si="0"/>
        <v/>
      </c>
      <c r="F62" s="160">
        <f>IFERROR(ROUNDUP(VLOOKUP(E62,'Tab1'!$E$13:$Q$150,11,0),0),"")</f>
        <v>0</v>
      </c>
    </row>
    <row r="63" spans="1:12" x14ac:dyDescent="0.25">
      <c r="A63" s="2"/>
      <c r="B63" s="2"/>
      <c r="C63" s="18">
        <f>'Cad1'!F65</f>
        <v>0</v>
      </c>
      <c r="E63" s="30" t="str">
        <f t="shared" si="0"/>
        <v/>
      </c>
      <c r="F63" s="160">
        <f>IFERROR(ROUNDUP(VLOOKUP(E63,'Tab1'!$E$13:$Q$150,11,0),0),"")</f>
        <v>0</v>
      </c>
    </row>
    <row r="64" spans="1:12" x14ac:dyDescent="0.25">
      <c r="A64" s="2"/>
      <c r="B64" s="2"/>
      <c r="C64" s="18">
        <f>'Cad1'!F66</f>
        <v>0</v>
      </c>
      <c r="E64" s="30" t="str">
        <f t="shared" si="0"/>
        <v/>
      </c>
      <c r="F64" s="160">
        <f>IFERROR(ROUNDUP(VLOOKUP(E64,'Tab1'!$E$13:$Q$150,11,0),0),"")</f>
        <v>0</v>
      </c>
    </row>
    <row r="65" spans="2:6" x14ac:dyDescent="0.25">
      <c r="B65" s="2"/>
      <c r="C65" s="18">
        <f>'Cad1'!F67</f>
        <v>0</v>
      </c>
      <c r="E65" s="30" t="str">
        <f t="shared" si="0"/>
        <v/>
      </c>
      <c r="F65" s="160">
        <f>IFERROR(ROUNDUP(VLOOKUP(E65,'Tab1'!$E$13:$Q$150,11,0),0),"")</f>
        <v>0</v>
      </c>
    </row>
    <row r="66" spans="2:6" x14ac:dyDescent="0.25">
      <c r="B66" s="2"/>
      <c r="C66" s="18">
        <f>'Cad1'!F68</f>
        <v>0</v>
      </c>
      <c r="E66" s="30" t="str">
        <f t="shared" si="0"/>
        <v/>
      </c>
      <c r="F66" s="160">
        <f>IFERROR(ROUNDUP(VLOOKUP(E66,'Tab1'!$E$13:$Q$150,11,0),0),"")</f>
        <v>0</v>
      </c>
    </row>
    <row r="67" spans="2:6" x14ac:dyDescent="0.25">
      <c r="B67" s="2"/>
      <c r="C67" s="18">
        <f>'Cad1'!F69</f>
        <v>0</v>
      </c>
      <c r="E67" s="30" t="str">
        <f t="shared" si="0"/>
        <v/>
      </c>
      <c r="F67" s="160">
        <f>IFERROR(ROUNDUP(VLOOKUP(E67,'Tab1'!$E$13:$Q$150,11,0),0),"")</f>
        <v>0</v>
      </c>
    </row>
    <row r="68" spans="2:6" x14ac:dyDescent="0.25">
      <c r="B68" s="2"/>
      <c r="C68" s="18">
        <f>'Cad1'!F70</f>
        <v>0</v>
      </c>
      <c r="E68" s="30" t="str">
        <f t="shared" si="0"/>
        <v/>
      </c>
      <c r="F68" s="160">
        <f>IFERROR(ROUNDUP(VLOOKUP(E68,'Tab1'!$E$13:$Q$150,11,0),0),"")</f>
        <v>0</v>
      </c>
    </row>
    <row r="69" spans="2:6" x14ac:dyDescent="0.25">
      <c r="B69" s="2"/>
      <c r="C69" s="18">
        <f>'Cad1'!F71</f>
        <v>0</v>
      </c>
      <c r="E69" s="30" t="str">
        <f t="shared" si="0"/>
        <v/>
      </c>
      <c r="F69" s="160">
        <f>IFERROR(ROUNDUP(VLOOKUP(E69,'Tab1'!$E$13:$Q$150,11,0),0),"")</f>
        <v>0</v>
      </c>
    </row>
    <row r="70" spans="2:6" x14ac:dyDescent="0.25">
      <c r="B70" s="2"/>
      <c r="C70" s="18">
        <f>'Cad1'!F72</f>
        <v>0</v>
      </c>
      <c r="E70" s="30" t="str">
        <f t="shared" si="0"/>
        <v/>
      </c>
      <c r="F70" s="160">
        <f>IFERROR(ROUNDUP(VLOOKUP(E70,'Tab1'!$E$13:$Q$150,11,0),0),"")</f>
        <v>0</v>
      </c>
    </row>
    <row r="71" spans="2:6" x14ac:dyDescent="0.25">
      <c r="B71" s="2"/>
      <c r="C71" s="18">
        <f>'Cad1'!F73</f>
        <v>0</v>
      </c>
      <c r="E71" s="30" t="str">
        <f t="shared" si="0"/>
        <v/>
      </c>
      <c r="F71" s="160">
        <f>IFERROR(ROUNDUP(VLOOKUP(E71,'Tab1'!$E$13:$Q$150,11,0),0),"")</f>
        <v>0</v>
      </c>
    </row>
    <row r="72" spans="2:6" x14ac:dyDescent="0.25">
      <c r="B72" s="2"/>
      <c r="C72" s="18">
        <f>'Cad1'!F74</f>
        <v>0</v>
      </c>
      <c r="E72" s="30" t="str">
        <f t="shared" si="0"/>
        <v/>
      </c>
      <c r="F72" s="160">
        <f>IFERROR(ROUNDUP(VLOOKUP(E72,'Tab1'!$E$13:$Q$150,11,0),0),"")</f>
        <v>0</v>
      </c>
    </row>
    <row r="73" spans="2:6" x14ac:dyDescent="0.25">
      <c r="B73" s="2"/>
      <c r="C73" s="18">
        <f>'Cad1'!F75</f>
        <v>0</v>
      </c>
      <c r="E73" s="30" t="str">
        <f t="shared" si="0"/>
        <v/>
      </c>
      <c r="F73" s="160">
        <f>IFERROR(ROUNDUP(VLOOKUP(E73,'Tab1'!$E$13:$Q$150,11,0),0),"")</f>
        <v>0</v>
      </c>
    </row>
    <row r="74" spans="2:6" x14ac:dyDescent="0.25">
      <c r="B74" s="2"/>
      <c r="C74" s="18">
        <f>'Cad1'!F76</f>
        <v>0</v>
      </c>
      <c r="E74" s="30" t="str">
        <f t="shared" si="0"/>
        <v/>
      </c>
      <c r="F74" s="160">
        <f>IFERROR(ROUNDUP(VLOOKUP(E74,'Tab1'!$E$13:$Q$150,11,0),0),"")</f>
        <v>0</v>
      </c>
    </row>
    <row r="75" spans="2:6" x14ac:dyDescent="0.25">
      <c r="B75" s="2"/>
      <c r="C75" s="18">
        <f>'Cad1'!F77</f>
        <v>0</v>
      </c>
      <c r="E75" s="30" t="str">
        <f t="shared" si="0"/>
        <v/>
      </c>
      <c r="F75" s="160">
        <f>IFERROR(ROUNDUP(VLOOKUP(E75,'Tab1'!$E$13:$Q$150,11,0),0),"")</f>
        <v>0</v>
      </c>
    </row>
    <row r="76" spans="2:6" x14ac:dyDescent="0.25">
      <c r="B76" s="2"/>
      <c r="C76" s="18">
        <f>'Cad1'!F78</f>
        <v>0</v>
      </c>
      <c r="E76" s="30" t="str">
        <f t="shared" si="0"/>
        <v/>
      </c>
      <c r="F76" s="160">
        <f>IFERROR(ROUNDUP(VLOOKUP(E76,'Tab1'!$E$13:$Q$150,11,0),0),"")</f>
        <v>0</v>
      </c>
    </row>
    <row r="77" spans="2:6" x14ac:dyDescent="0.25">
      <c r="B77" s="2"/>
      <c r="C77" s="18">
        <f>'Cad1'!F79</f>
        <v>0</v>
      </c>
      <c r="E77" s="30" t="str">
        <f t="shared" si="0"/>
        <v/>
      </c>
      <c r="F77" s="160">
        <f>IFERROR(ROUNDUP(VLOOKUP(E77,'Tab1'!$E$13:$Q$150,11,0),0),"")</f>
        <v>0</v>
      </c>
    </row>
    <row r="78" spans="2:6" x14ac:dyDescent="0.25">
      <c r="B78" s="2"/>
      <c r="C78" s="18">
        <f>'Cad1'!F80</f>
        <v>0</v>
      </c>
      <c r="E78" s="30" t="str">
        <f t="shared" ref="E78:E79" si="1">IF(C78=0,"",C78)</f>
        <v/>
      </c>
      <c r="F78" s="160">
        <f>IFERROR(ROUNDUP(VLOOKUP(E78,'Tab1'!$E$13:$Q$150,11,0),0),"")</f>
        <v>0</v>
      </c>
    </row>
    <row r="79" spans="2:6" x14ac:dyDescent="0.25">
      <c r="B79" s="2"/>
      <c r="C79" s="18">
        <f>'Cad1'!F81</f>
        <v>0</v>
      </c>
      <c r="E79" s="30" t="str">
        <f t="shared" si="1"/>
        <v/>
      </c>
      <c r="F79" s="160">
        <f>IFERROR(ROUNDUP(VLOOKUP(E79,'Tab1'!$E$13:$Q$150,11,0),0),"")</f>
        <v>0</v>
      </c>
    </row>
    <row r="80" spans="2:6" x14ac:dyDescent="0.25">
      <c r="B80" s="2"/>
      <c r="F80" s="160" t="str">
        <f>IFERROR(ROUNDUP(VLOOKUP(E80,'Tab1'!$E$13:$Q$150,11,0),0),"")</f>
        <v/>
      </c>
    </row>
    <row r="81" spans="2:6" x14ac:dyDescent="0.25">
      <c r="B81" s="2"/>
      <c r="F81" s="160" t="str">
        <f>IFERROR(ROUNDUP(VLOOKUP(E81,'Tab1'!$E$13:$Q$150,11,0),0),"")</f>
        <v/>
      </c>
    </row>
    <row r="82" spans="2:6" x14ac:dyDescent="0.25">
      <c r="B82" s="2"/>
      <c r="F82" s="160" t="str">
        <f>IFERROR(ROUNDUP(VLOOKUP(E82,'Tab1'!$E$13:$Q$150,11,0),0),"")</f>
        <v/>
      </c>
    </row>
    <row r="83" spans="2:6" x14ac:dyDescent="0.25">
      <c r="B83" s="2"/>
      <c r="F83" s="160" t="str">
        <f>IFERROR(ROUNDUP(VLOOKUP(E83,'Tab1'!$E$13:$Q$150,11,0),0),"")</f>
        <v/>
      </c>
    </row>
    <row r="84" spans="2:6" x14ac:dyDescent="0.25">
      <c r="B84" s="2"/>
      <c r="F84" s="160" t="str">
        <f>IFERROR(ROUNDUP(VLOOKUP(E84,'Tab1'!$E$13:$Q$150,11,0),0),"")</f>
        <v/>
      </c>
    </row>
    <row r="85" spans="2:6" x14ac:dyDescent="0.25">
      <c r="B85" s="2"/>
      <c r="F85" s="160" t="str">
        <f>IFERROR(ROUNDUP(VLOOKUP(E85,'Tab1'!$E$13:$Q$150,11,0),0),"")</f>
        <v/>
      </c>
    </row>
    <row r="86" spans="2:6" x14ac:dyDescent="0.25">
      <c r="B86" s="2"/>
      <c r="F86" s="160" t="str">
        <f>IFERROR(ROUNDUP(VLOOKUP(E86,'Tab1'!$E$13:$Q$150,11,0),0),"")</f>
        <v/>
      </c>
    </row>
    <row r="87" spans="2:6" x14ac:dyDescent="0.25">
      <c r="B87" s="2"/>
      <c r="F87" s="160" t="str">
        <f>IFERROR(ROUNDUP(VLOOKUP(E87,'Tab1'!$E$13:$Q$150,11,0),0),"")</f>
        <v/>
      </c>
    </row>
    <row r="88" spans="2:6" x14ac:dyDescent="0.25">
      <c r="B88" s="2"/>
      <c r="F88" s="160" t="str">
        <f>IFERROR(ROUNDUP(VLOOKUP(E88,'Tab1'!$E$13:$Q$150,11,0),0),"")</f>
        <v/>
      </c>
    </row>
    <row r="89" spans="2:6" ht="24" x14ac:dyDescent="0.25">
      <c r="B89" s="10"/>
      <c r="F89" s="160" t="str">
        <f>IFERROR(ROUNDUP(VLOOKUP(E89,'Tab1'!$E$13:$Q$150,11,0),0),"")</f>
        <v/>
      </c>
    </row>
    <row r="90" spans="2:6" ht="24" x14ac:dyDescent="0.25">
      <c r="B90" s="10"/>
      <c r="F90" s="160" t="str">
        <f>IFERROR(ROUNDUP(VLOOKUP(E90,'Tab1'!$E$13:$Q$150,11,0),0),"")</f>
        <v/>
      </c>
    </row>
    <row r="91" spans="2:6" ht="24" x14ac:dyDescent="0.25">
      <c r="B91" s="10"/>
      <c r="F91" s="160" t="str">
        <f>IFERROR(ROUNDUP(VLOOKUP(E91,'Tab1'!$E$13:$Q$150,11,0),0),"")</f>
        <v/>
      </c>
    </row>
    <row r="92" spans="2:6" x14ac:dyDescent="0.25">
      <c r="B92" s="2"/>
      <c r="F92" s="160" t="str">
        <f>IFERROR(ROUNDUP(VLOOKUP(E92,'Tab1'!$E$13:$Q$150,11,0),0),"")</f>
        <v/>
      </c>
    </row>
    <row r="93" spans="2:6" x14ac:dyDescent="0.25">
      <c r="F93" s="160" t="str">
        <f>IFERROR(ROUNDUP(VLOOKUP(E93,'Tab1'!$E$13:$Q$150,11,0),0),"")</f>
        <v/>
      </c>
    </row>
    <row r="94" spans="2:6" x14ac:dyDescent="0.25">
      <c r="F94" s="160" t="str">
        <f>IFERROR(ROUNDUP(VLOOKUP(E94,'Tab1'!$E$13:$Q$150,11,0),0),"")</f>
        <v/>
      </c>
    </row>
    <row r="95" spans="2:6" x14ac:dyDescent="0.25">
      <c r="F95" s="160" t="str">
        <f>IFERROR(ROUNDUP(VLOOKUP(E95,'Tab1'!$E$13:$Q$150,11,0),0),"")</f>
        <v/>
      </c>
    </row>
    <row r="96" spans="2:6" x14ac:dyDescent="0.25">
      <c r="F96" s="160" t="str">
        <f>IFERROR(ROUNDUP(VLOOKUP(E96,'Tab1'!$E$13:$Q$150,13,0),0),"")</f>
        <v/>
      </c>
    </row>
    <row r="97" spans="6:6" x14ac:dyDescent="0.25">
      <c r="F97" s="160" t="str">
        <f>IFERROR(ROUNDUP(VLOOKUP(E97,'Tab1'!$E$13:$Q$150,13,0),0),"")</f>
        <v/>
      </c>
    </row>
    <row r="98" spans="6:6" x14ac:dyDescent="0.25">
      <c r="F98" s="160" t="str">
        <f>IFERROR(ROUNDUP(VLOOKUP(E98,'Tab1'!$E$13:$Q$150,13,0),0),"")</f>
        <v/>
      </c>
    </row>
    <row r="99" spans="6:6" x14ac:dyDescent="0.25">
      <c r="F99" s="160" t="str">
        <f>IFERROR(ROUNDUP(VLOOKUP(E99,'Tab1'!$E$13:$Q$150,13,0),0),"")</f>
        <v/>
      </c>
    </row>
    <row r="100" spans="6:6" x14ac:dyDescent="0.25">
      <c r="F100" s="160" t="str">
        <f>IFERROR(ROUNDUP(VLOOKUP(E100,'Tab1'!$E$13:$Q$150,13,0),0),"")</f>
        <v/>
      </c>
    </row>
    <row r="101" spans="6:6" x14ac:dyDescent="0.25">
      <c r="F101" s="160" t="str">
        <f>IFERROR(ROUNDUP(VLOOKUP(E101,'Tab1'!$E$13:$Q$150,13,0),0),"")</f>
        <v/>
      </c>
    </row>
  </sheetData>
  <mergeCells count="3">
    <mergeCell ref="E11:E12"/>
    <mergeCell ref="B50:B53"/>
    <mergeCell ref="F11:F12"/>
  </mergeCells>
  <conditionalFormatting sqref="F13:F101">
    <cfRule type="cellIs" dxfId="2" priority="2" operator="equal">
      <formula>0</formula>
    </cfRule>
  </conditionalFormatting>
  <conditionalFormatting sqref="E14:E79 E13:F13 F14:F101">
    <cfRule type="expression" dxfId="1" priority="1">
      <formula>$E13&lt;&gt;""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imprimir4">
                <anchor moveWithCells="1" sizeWithCells="1">
                  <from>
                    <xdr:col>3</xdr:col>
                    <xdr:colOff>600075</xdr:colOff>
                    <xdr:row>7</xdr:row>
                    <xdr:rowOff>257175</xdr:rowOff>
                  </from>
                  <to>
                    <xdr:col>4</xdr:col>
                    <xdr:colOff>1381125</xdr:colOff>
                    <xdr:row>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5"/>
  <dimension ref="A1:D73"/>
  <sheetViews>
    <sheetView topLeftCell="A56" workbookViewId="0">
      <selection activeCell="D74" sqref="A1:D74"/>
    </sheetView>
  </sheetViews>
  <sheetFormatPr defaultRowHeight="15" x14ac:dyDescent="0.25"/>
  <cols>
    <col min="1" max="1" width="29.140625" bestFit="1" customWidth="1"/>
    <col min="2" max="4" width="20.140625" style="185" customWidth="1"/>
  </cols>
  <sheetData>
    <row r="1" spans="1:4" x14ac:dyDescent="0.25">
      <c r="B1" s="186"/>
      <c r="C1" s="186"/>
      <c r="D1" s="186"/>
    </row>
    <row r="3" spans="1:4" x14ac:dyDescent="0.25">
      <c r="B3" s="185" t="s">
        <v>118</v>
      </c>
    </row>
    <row r="5" spans="1:4" x14ac:dyDescent="0.25">
      <c r="A5" s="283" t="s">
        <v>52</v>
      </c>
      <c r="B5" s="285"/>
      <c r="C5" s="285"/>
      <c r="D5" s="285"/>
    </row>
    <row r="6" spans="1:4" x14ac:dyDescent="0.25">
      <c r="A6" s="284"/>
      <c r="B6" s="251" t="s">
        <v>115</v>
      </c>
      <c r="C6" s="251" t="s">
        <v>116</v>
      </c>
      <c r="D6" s="251" t="s">
        <v>117</v>
      </c>
    </row>
    <row r="7" spans="1:4" x14ac:dyDescent="0.25">
      <c r="A7" s="250" t="s">
        <v>86</v>
      </c>
      <c r="B7" s="251">
        <v>13.5</v>
      </c>
      <c r="C7" s="251" t="s">
        <v>142</v>
      </c>
      <c r="D7" s="251">
        <v>15.5</v>
      </c>
    </row>
    <row r="8" spans="1:4" x14ac:dyDescent="0.25">
      <c r="A8" s="250" t="s">
        <v>87</v>
      </c>
      <c r="B8" s="251">
        <v>7.5</v>
      </c>
      <c r="C8" s="251" t="s">
        <v>142</v>
      </c>
      <c r="D8" s="251">
        <v>8.5</v>
      </c>
    </row>
    <row r="9" spans="1:4" x14ac:dyDescent="0.25">
      <c r="A9" s="250" t="s">
        <v>88</v>
      </c>
      <c r="B9" s="251">
        <v>12.5</v>
      </c>
      <c r="C9" s="251" t="s">
        <v>142</v>
      </c>
      <c r="D9" s="251">
        <v>14.5</v>
      </c>
    </row>
    <row r="10" spans="1:4" x14ac:dyDescent="0.25">
      <c r="A10" s="250" t="s">
        <v>184</v>
      </c>
      <c r="B10" s="251" t="s">
        <v>142</v>
      </c>
      <c r="C10" s="251" t="s">
        <v>142</v>
      </c>
      <c r="D10" s="251">
        <v>17.5</v>
      </c>
    </row>
    <row r="11" spans="1:4" x14ac:dyDescent="0.25">
      <c r="A11" s="250" t="s">
        <v>185</v>
      </c>
      <c r="B11" s="251" t="s">
        <v>142</v>
      </c>
      <c r="C11" s="251" t="s">
        <v>142</v>
      </c>
      <c r="D11" s="251">
        <v>9.5</v>
      </c>
    </row>
    <row r="12" spans="1:4" x14ac:dyDescent="0.25">
      <c r="A12" s="250" t="s">
        <v>186</v>
      </c>
      <c r="B12" s="251" t="s">
        <v>142</v>
      </c>
      <c r="C12" s="251" t="s">
        <v>142</v>
      </c>
      <c r="D12" s="251">
        <v>16.5</v>
      </c>
    </row>
    <row r="13" spans="1:4" x14ac:dyDescent="0.25">
      <c r="A13" s="250" t="s">
        <v>191</v>
      </c>
      <c r="B13" s="251" t="s">
        <v>142</v>
      </c>
      <c r="C13" s="251" t="s">
        <v>142</v>
      </c>
      <c r="D13" s="251">
        <v>14.9</v>
      </c>
    </row>
    <row r="14" spans="1:4" x14ac:dyDescent="0.25">
      <c r="A14" s="250" t="s">
        <v>192</v>
      </c>
      <c r="B14" s="251" t="s">
        <v>142</v>
      </c>
      <c r="C14" s="251" t="s">
        <v>142</v>
      </c>
      <c r="D14" s="251">
        <v>11.9</v>
      </c>
    </row>
    <row r="15" spans="1:4" x14ac:dyDescent="0.25">
      <c r="A15" s="250" t="s">
        <v>219</v>
      </c>
      <c r="B15" s="251" t="s">
        <v>142</v>
      </c>
      <c r="C15" s="251" t="s">
        <v>142</v>
      </c>
      <c r="D15" s="251">
        <v>16.899999999999999</v>
      </c>
    </row>
    <row r="16" spans="1:4" x14ac:dyDescent="0.25">
      <c r="A16" s="250" t="s">
        <v>218</v>
      </c>
      <c r="B16" s="251" t="s">
        <v>142</v>
      </c>
      <c r="C16" s="251" t="s">
        <v>142</v>
      </c>
      <c r="D16" s="251">
        <v>12.9</v>
      </c>
    </row>
    <row r="17" spans="1:4" x14ac:dyDescent="0.25">
      <c r="A17" s="250" t="s">
        <v>193</v>
      </c>
      <c r="B17" s="251" t="s">
        <v>142</v>
      </c>
      <c r="C17" s="251" t="s">
        <v>142</v>
      </c>
      <c r="D17" s="251">
        <v>15.9</v>
      </c>
    </row>
    <row r="18" spans="1:4" x14ac:dyDescent="0.25">
      <c r="A18" s="250" t="s">
        <v>194</v>
      </c>
      <c r="B18" s="251" t="s">
        <v>142</v>
      </c>
      <c r="C18" s="251">
        <v>12.9</v>
      </c>
      <c r="D18" s="251">
        <v>13.9</v>
      </c>
    </row>
    <row r="19" spans="1:4" x14ac:dyDescent="0.25">
      <c r="A19" s="250" t="s">
        <v>195</v>
      </c>
      <c r="B19" s="251"/>
      <c r="C19" s="251" t="s">
        <v>142</v>
      </c>
      <c r="D19" s="251">
        <v>17.899999999999999</v>
      </c>
    </row>
    <row r="20" spans="1:4" x14ac:dyDescent="0.25">
      <c r="A20" s="250" t="s">
        <v>196</v>
      </c>
      <c r="B20" s="251"/>
      <c r="C20" s="251" t="s">
        <v>142</v>
      </c>
      <c r="D20" s="251">
        <v>14</v>
      </c>
    </row>
    <row r="21" spans="1:4" x14ac:dyDescent="0.25">
      <c r="A21" s="250" t="s">
        <v>92</v>
      </c>
      <c r="B21" s="251">
        <v>10.9</v>
      </c>
      <c r="C21" s="251">
        <v>11.9</v>
      </c>
      <c r="D21" s="251">
        <v>14.5</v>
      </c>
    </row>
    <row r="22" spans="1:4" x14ac:dyDescent="0.25">
      <c r="A22" s="250" t="s">
        <v>202</v>
      </c>
      <c r="B22" s="251">
        <v>19.5</v>
      </c>
      <c r="C22" s="251">
        <v>21.5</v>
      </c>
      <c r="D22" s="251">
        <v>24.5</v>
      </c>
    </row>
    <row r="23" spans="1:4" x14ac:dyDescent="0.25">
      <c r="A23" s="250" t="s">
        <v>94</v>
      </c>
      <c r="B23" s="251">
        <v>4.9000000000000004</v>
      </c>
      <c r="C23" s="251">
        <v>5.0999999999999996</v>
      </c>
      <c r="D23" s="251">
        <v>5.7</v>
      </c>
    </row>
    <row r="24" spans="1:4" x14ac:dyDescent="0.25">
      <c r="A24" s="250" t="s">
        <v>95</v>
      </c>
      <c r="B24" s="251">
        <v>9</v>
      </c>
      <c r="C24" s="251">
        <v>9.5</v>
      </c>
      <c r="D24" s="251">
        <v>10.5</v>
      </c>
    </row>
    <row r="25" spans="1:4" x14ac:dyDescent="0.25">
      <c r="A25" s="250" t="s">
        <v>203</v>
      </c>
      <c r="B25" s="251">
        <v>17</v>
      </c>
      <c r="C25" s="251">
        <v>18</v>
      </c>
      <c r="D25" s="251">
        <v>20</v>
      </c>
    </row>
    <row r="26" spans="1:4" x14ac:dyDescent="0.25">
      <c r="A26" s="250" t="s">
        <v>220</v>
      </c>
      <c r="B26" s="251" t="s">
        <v>142</v>
      </c>
      <c r="C26" s="251" t="s">
        <v>142</v>
      </c>
      <c r="D26" s="251" t="s">
        <v>142</v>
      </c>
    </row>
    <row r="27" spans="1:4" x14ac:dyDescent="0.25">
      <c r="A27" s="250" t="s">
        <v>137</v>
      </c>
      <c r="B27" s="251">
        <v>9.5</v>
      </c>
      <c r="C27" s="251" t="s">
        <v>142</v>
      </c>
      <c r="D27" s="251">
        <v>10.5</v>
      </c>
    </row>
    <row r="28" spans="1:4" x14ac:dyDescent="0.25">
      <c r="A28" s="250" t="s">
        <v>136</v>
      </c>
      <c r="B28" s="251">
        <v>14</v>
      </c>
      <c r="C28" s="251" t="s">
        <v>142</v>
      </c>
      <c r="D28" s="251">
        <v>15.496025264074921</v>
      </c>
    </row>
    <row r="29" spans="1:4" x14ac:dyDescent="0.25">
      <c r="A29" s="250" t="s">
        <v>134</v>
      </c>
      <c r="B29" s="251" t="s">
        <v>142</v>
      </c>
      <c r="C29" s="251" t="s">
        <v>142</v>
      </c>
      <c r="D29" s="251" t="s">
        <v>142</v>
      </c>
    </row>
    <row r="30" spans="1:4" x14ac:dyDescent="0.25">
      <c r="A30" s="250" t="s">
        <v>179</v>
      </c>
      <c r="B30" s="251" t="s">
        <v>142</v>
      </c>
      <c r="C30" s="251" t="s">
        <v>142</v>
      </c>
      <c r="D30" s="251" t="s">
        <v>142</v>
      </c>
    </row>
    <row r="31" spans="1:4" x14ac:dyDescent="0.25">
      <c r="A31" s="250" t="s">
        <v>178</v>
      </c>
      <c r="B31" s="251" t="s">
        <v>142</v>
      </c>
      <c r="C31" s="251" t="s">
        <v>142</v>
      </c>
      <c r="D31" s="251" t="s">
        <v>142</v>
      </c>
    </row>
    <row r="32" spans="1:4" x14ac:dyDescent="0.25">
      <c r="A32" s="250" t="s">
        <v>197</v>
      </c>
      <c r="B32" s="251" t="s">
        <v>142</v>
      </c>
      <c r="C32" s="251" t="s">
        <v>142</v>
      </c>
      <c r="D32" s="251" t="s">
        <v>142</v>
      </c>
    </row>
    <row r="33" spans="1:4" x14ac:dyDescent="0.25">
      <c r="A33" s="250" t="s">
        <v>198</v>
      </c>
      <c r="B33" s="251" t="s">
        <v>142</v>
      </c>
      <c r="C33" s="251" t="s">
        <v>142</v>
      </c>
      <c r="D33" s="251" t="s">
        <v>142</v>
      </c>
    </row>
    <row r="34" spans="1:4" x14ac:dyDescent="0.25">
      <c r="A34" s="250" t="s">
        <v>201</v>
      </c>
      <c r="B34" s="251">
        <v>23.5</v>
      </c>
      <c r="C34" s="251">
        <v>26.5</v>
      </c>
      <c r="D34" s="251">
        <v>28.5</v>
      </c>
    </row>
    <row r="35" spans="1:4" x14ac:dyDescent="0.25">
      <c r="A35" s="250" t="s">
        <v>200</v>
      </c>
      <c r="B35" s="251">
        <v>47</v>
      </c>
      <c r="C35" s="251">
        <v>52</v>
      </c>
      <c r="D35" s="251">
        <v>56</v>
      </c>
    </row>
    <row r="36" spans="1:4" x14ac:dyDescent="0.25">
      <c r="A36" s="250" t="s">
        <v>199</v>
      </c>
      <c r="B36" s="251">
        <v>44</v>
      </c>
      <c r="C36" s="251">
        <v>51</v>
      </c>
      <c r="D36" s="251">
        <v>54</v>
      </c>
    </row>
    <row r="37" spans="1:4" x14ac:dyDescent="0.25">
      <c r="A37" s="250" t="s">
        <v>101</v>
      </c>
      <c r="B37" s="251" t="s">
        <v>142</v>
      </c>
      <c r="C37" s="251" t="s">
        <v>142</v>
      </c>
      <c r="D37" s="251">
        <v>19.600000000000001</v>
      </c>
    </row>
    <row r="38" spans="1:4" x14ac:dyDescent="0.25">
      <c r="A38" s="250" t="s">
        <v>102</v>
      </c>
      <c r="B38" s="251" t="s">
        <v>142</v>
      </c>
      <c r="C38" s="251" t="s">
        <v>142</v>
      </c>
      <c r="D38" s="251">
        <v>34.9</v>
      </c>
    </row>
    <row r="39" spans="1:4" x14ac:dyDescent="0.25">
      <c r="A39" s="250" t="s">
        <v>103</v>
      </c>
      <c r="B39" s="251" t="s">
        <v>142</v>
      </c>
      <c r="C39" s="251" t="s">
        <v>142</v>
      </c>
      <c r="D39" s="251">
        <v>16</v>
      </c>
    </row>
    <row r="40" spans="1:4" x14ac:dyDescent="0.25">
      <c r="A40" s="250" t="s">
        <v>99</v>
      </c>
      <c r="B40" s="251">
        <v>17.5</v>
      </c>
      <c r="C40" s="251">
        <v>18.5</v>
      </c>
      <c r="D40" s="251">
        <v>22</v>
      </c>
    </row>
    <row r="41" spans="1:4" x14ac:dyDescent="0.25">
      <c r="A41" s="250" t="s">
        <v>100</v>
      </c>
      <c r="B41" s="251">
        <v>25</v>
      </c>
      <c r="C41" s="251">
        <v>27</v>
      </c>
      <c r="D41" s="251">
        <v>32</v>
      </c>
    </row>
    <row r="42" spans="1:4" x14ac:dyDescent="0.25">
      <c r="A42" s="250" t="s">
        <v>145</v>
      </c>
      <c r="B42" s="251">
        <v>5.6</v>
      </c>
      <c r="C42" s="251">
        <v>6</v>
      </c>
      <c r="D42" s="251">
        <v>6.8</v>
      </c>
    </row>
    <row r="43" spans="1:4" x14ac:dyDescent="0.25">
      <c r="A43" s="250" t="s">
        <v>144</v>
      </c>
      <c r="B43" s="251">
        <v>7.9</v>
      </c>
      <c r="C43" s="251">
        <v>8.4</v>
      </c>
      <c r="D43" s="251">
        <v>9.6</v>
      </c>
    </row>
    <row r="44" spans="1:4" x14ac:dyDescent="0.25">
      <c r="A44" t="s">
        <v>142</v>
      </c>
      <c r="B44" s="185" t="s">
        <v>142</v>
      </c>
      <c r="C44" s="185" t="s">
        <v>142</v>
      </c>
      <c r="D44" s="185" t="s">
        <v>142</v>
      </c>
    </row>
    <row r="45" spans="1:4" x14ac:dyDescent="0.25">
      <c r="A45" t="s">
        <v>142</v>
      </c>
      <c r="B45" s="185" t="s">
        <v>142</v>
      </c>
      <c r="C45" s="185" t="s">
        <v>142</v>
      </c>
      <c r="D45" s="185" t="s">
        <v>142</v>
      </c>
    </row>
    <row r="46" spans="1:4" x14ac:dyDescent="0.25">
      <c r="A46" t="s">
        <v>142</v>
      </c>
      <c r="B46" s="185" t="s">
        <v>142</v>
      </c>
      <c r="C46" s="185" t="s">
        <v>142</v>
      </c>
      <c r="D46" s="185" t="s">
        <v>142</v>
      </c>
    </row>
    <row r="47" spans="1:4" x14ac:dyDescent="0.25">
      <c r="A47" t="s">
        <v>142</v>
      </c>
      <c r="B47" s="185" t="s">
        <v>142</v>
      </c>
      <c r="C47" s="185" t="s">
        <v>142</v>
      </c>
      <c r="D47" s="185" t="s">
        <v>142</v>
      </c>
    </row>
    <row r="48" spans="1:4" x14ac:dyDescent="0.25">
      <c r="A48" t="s">
        <v>142</v>
      </c>
      <c r="B48" s="185" t="s">
        <v>142</v>
      </c>
      <c r="C48" s="185" t="s">
        <v>142</v>
      </c>
      <c r="D48" s="185" t="s">
        <v>142</v>
      </c>
    </row>
    <row r="49" spans="1:4" x14ac:dyDescent="0.25">
      <c r="A49" t="s">
        <v>142</v>
      </c>
      <c r="B49" s="185" t="s">
        <v>142</v>
      </c>
      <c r="C49" s="185" t="s">
        <v>142</v>
      </c>
      <c r="D49" s="185" t="s">
        <v>142</v>
      </c>
    </row>
    <row r="50" spans="1:4" x14ac:dyDescent="0.25">
      <c r="A50" t="s">
        <v>142</v>
      </c>
      <c r="B50" s="185" t="s">
        <v>142</v>
      </c>
      <c r="C50" s="185" t="s">
        <v>142</v>
      </c>
      <c r="D50" s="185" t="s">
        <v>142</v>
      </c>
    </row>
    <row r="51" spans="1:4" x14ac:dyDescent="0.25">
      <c r="A51" t="s">
        <v>142</v>
      </c>
      <c r="B51" s="185" t="s">
        <v>142</v>
      </c>
      <c r="C51" s="185" t="s">
        <v>142</v>
      </c>
      <c r="D51" s="185" t="s">
        <v>142</v>
      </c>
    </row>
    <row r="52" spans="1:4" x14ac:dyDescent="0.25">
      <c r="A52" t="s">
        <v>142</v>
      </c>
      <c r="B52" s="185" t="s">
        <v>142</v>
      </c>
      <c r="C52" s="185" t="s">
        <v>142</v>
      </c>
      <c r="D52" s="185" t="s">
        <v>142</v>
      </c>
    </row>
    <row r="53" spans="1:4" x14ac:dyDescent="0.25">
      <c r="A53" t="s">
        <v>142</v>
      </c>
      <c r="B53" s="185" t="s">
        <v>142</v>
      </c>
      <c r="C53" s="185" t="s">
        <v>142</v>
      </c>
      <c r="D53" s="185" t="s">
        <v>142</v>
      </c>
    </row>
    <row r="54" spans="1:4" x14ac:dyDescent="0.25">
      <c r="A54" t="s">
        <v>142</v>
      </c>
      <c r="B54" s="185" t="s">
        <v>142</v>
      </c>
      <c r="C54" s="185" t="s">
        <v>142</v>
      </c>
      <c r="D54" s="185" t="s">
        <v>142</v>
      </c>
    </row>
    <row r="55" spans="1:4" x14ac:dyDescent="0.25">
      <c r="A55" t="s">
        <v>142</v>
      </c>
      <c r="B55" s="185" t="s">
        <v>142</v>
      </c>
      <c r="C55" s="185" t="s">
        <v>142</v>
      </c>
      <c r="D55" s="185" t="s">
        <v>142</v>
      </c>
    </row>
    <row r="56" spans="1:4" x14ac:dyDescent="0.25">
      <c r="A56" t="s">
        <v>142</v>
      </c>
      <c r="B56" s="185" t="s">
        <v>142</v>
      </c>
      <c r="C56" s="185" t="s">
        <v>142</v>
      </c>
      <c r="D56" s="185" t="s">
        <v>142</v>
      </c>
    </row>
    <row r="57" spans="1:4" x14ac:dyDescent="0.25">
      <c r="A57" t="s">
        <v>142</v>
      </c>
      <c r="B57" s="185" t="s">
        <v>142</v>
      </c>
      <c r="C57" s="185" t="s">
        <v>142</v>
      </c>
      <c r="D57" s="185" t="s">
        <v>142</v>
      </c>
    </row>
    <row r="58" spans="1:4" x14ac:dyDescent="0.25">
      <c r="A58" t="s">
        <v>142</v>
      </c>
      <c r="B58" s="185" t="s">
        <v>142</v>
      </c>
      <c r="C58" s="185" t="s">
        <v>142</v>
      </c>
      <c r="D58" s="185" t="s">
        <v>142</v>
      </c>
    </row>
    <row r="59" spans="1:4" x14ac:dyDescent="0.25">
      <c r="A59" t="s">
        <v>142</v>
      </c>
      <c r="B59" s="185" t="s">
        <v>142</v>
      </c>
      <c r="C59" s="185" t="s">
        <v>142</v>
      </c>
      <c r="D59" s="185" t="s">
        <v>142</v>
      </c>
    </row>
    <row r="60" spans="1:4" x14ac:dyDescent="0.25">
      <c r="A60" t="s">
        <v>142</v>
      </c>
      <c r="B60" s="185" t="s">
        <v>142</v>
      </c>
      <c r="C60" s="185" t="s">
        <v>142</v>
      </c>
      <c r="D60" s="185" t="s">
        <v>142</v>
      </c>
    </row>
    <row r="61" spans="1:4" x14ac:dyDescent="0.25">
      <c r="A61" t="s">
        <v>142</v>
      </c>
      <c r="B61" s="185" t="s">
        <v>142</v>
      </c>
      <c r="C61" s="185" t="s">
        <v>142</v>
      </c>
      <c r="D61" s="185" t="s">
        <v>142</v>
      </c>
    </row>
    <row r="62" spans="1:4" x14ac:dyDescent="0.25">
      <c r="A62" t="s">
        <v>142</v>
      </c>
      <c r="B62" s="185" t="s">
        <v>142</v>
      </c>
      <c r="C62" s="185" t="s">
        <v>142</v>
      </c>
      <c r="D62" s="185" t="s">
        <v>142</v>
      </c>
    </row>
    <row r="63" spans="1:4" x14ac:dyDescent="0.25">
      <c r="A63" t="s">
        <v>142</v>
      </c>
      <c r="B63" s="185" t="s">
        <v>142</v>
      </c>
      <c r="C63" s="185" t="s">
        <v>142</v>
      </c>
      <c r="D63" s="185" t="s">
        <v>142</v>
      </c>
    </row>
    <row r="64" spans="1:4" x14ac:dyDescent="0.25">
      <c r="A64" t="s">
        <v>142</v>
      </c>
      <c r="B64" s="185" t="s">
        <v>142</v>
      </c>
      <c r="C64" s="185" t="s">
        <v>142</v>
      </c>
      <c r="D64" s="185" t="s">
        <v>142</v>
      </c>
    </row>
    <row r="65" spans="1:4" x14ac:dyDescent="0.25">
      <c r="A65" t="s">
        <v>142</v>
      </c>
      <c r="B65" s="185" t="s">
        <v>142</v>
      </c>
      <c r="C65" s="185" t="s">
        <v>142</v>
      </c>
      <c r="D65" s="185" t="s">
        <v>142</v>
      </c>
    </row>
    <row r="66" spans="1:4" x14ac:dyDescent="0.25">
      <c r="A66" t="s">
        <v>142</v>
      </c>
      <c r="B66" s="185" t="s">
        <v>142</v>
      </c>
      <c r="C66" s="185" t="s">
        <v>142</v>
      </c>
      <c r="D66" s="185" t="s">
        <v>142</v>
      </c>
    </row>
    <row r="67" spans="1:4" x14ac:dyDescent="0.25">
      <c r="A67" t="s">
        <v>142</v>
      </c>
      <c r="B67" s="185" t="s">
        <v>142</v>
      </c>
      <c r="C67" s="185" t="s">
        <v>142</v>
      </c>
      <c r="D67" s="185" t="s">
        <v>142</v>
      </c>
    </row>
    <row r="68" spans="1:4" x14ac:dyDescent="0.25">
      <c r="A68" t="s">
        <v>142</v>
      </c>
      <c r="B68" s="185" t="s">
        <v>142</v>
      </c>
      <c r="C68" s="185" t="s">
        <v>142</v>
      </c>
      <c r="D68" s="185" t="s">
        <v>142</v>
      </c>
    </row>
    <row r="69" spans="1:4" x14ac:dyDescent="0.25">
      <c r="A69" t="s">
        <v>142</v>
      </c>
      <c r="B69" s="185" t="s">
        <v>142</v>
      </c>
      <c r="C69" s="185" t="s">
        <v>142</v>
      </c>
      <c r="D69" s="185" t="s">
        <v>142</v>
      </c>
    </row>
    <row r="70" spans="1:4" x14ac:dyDescent="0.25">
      <c r="A70" t="s">
        <v>142</v>
      </c>
      <c r="B70" s="185" t="s">
        <v>142</v>
      </c>
      <c r="C70" s="185" t="s">
        <v>142</v>
      </c>
      <c r="D70" s="185" t="s">
        <v>142</v>
      </c>
    </row>
    <row r="71" spans="1:4" x14ac:dyDescent="0.25">
      <c r="A71" t="s">
        <v>142</v>
      </c>
      <c r="B71" s="185" t="s">
        <v>142</v>
      </c>
      <c r="C71" s="185" t="s">
        <v>142</v>
      </c>
      <c r="D71" s="185" t="s">
        <v>142</v>
      </c>
    </row>
    <row r="72" spans="1:4" x14ac:dyDescent="0.25">
      <c r="A72" t="s">
        <v>142</v>
      </c>
      <c r="B72" s="185" t="s">
        <v>142</v>
      </c>
      <c r="C72" s="185" t="s">
        <v>142</v>
      </c>
      <c r="D72" s="185" t="s">
        <v>142</v>
      </c>
    </row>
    <row r="73" spans="1:4" x14ac:dyDescent="0.25">
      <c r="A73" t="s">
        <v>142</v>
      </c>
      <c r="B73" s="185" t="s">
        <v>142</v>
      </c>
      <c r="C73" s="185" t="s">
        <v>142</v>
      </c>
      <c r="D73" s="185" t="s">
        <v>142</v>
      </c>
    </row>
  </sheetData>
  <mergeCells count="2">
    <mergeCell ref="A5:A6"/>
    <mergeCell ref="B5:D5"/>
  </mergeCells>
  <conditionalFormatting sqref="A7:D39 A5:B5 B6:D6">
    <cfRule type="expression" dxfId="0" priority="1">
      <formula>$A5&lt;&gt;""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0"/>
  <dimension ref="A1:P1781"/>
  <sheetViews>
    <sheetView showGridLines="0" zoomScale="70" zoomScaleNormal="70" workbookViewId="0">
      <selection activeCell="E16" sqref="E16:P16"/>
    </sheetView>
  </sheetViews>
  <sheetFormatPr defaultRowHeight="15" x14ac:dyDescent="0.25"/>
  <cols>
    <col min="1" max="2" width="20.7109375" style="9" customWidth="1"/>
    <col min="5" max="5" width="12.140625" style="19" bestFit="1" customWidth="1"/>
    <col min="6" max="6" width="50.7109375" bestFit="1" customWidth="1"/>
    <col min="7" max="7" width="12.7109375" style="12" bestFit="1" customWidth="1"/>
    <col min="8" max="8" width="19.140625" style="12" bestFit="1" customWidth="1"/>
    <col min="9" max="9" width="12.28515625" style="12" bestFit="1" customWidth="1"/>
    <col min="10" max="10" width="20" style="12" bestFit="1" customWidth="1"/>
    <col min="11" max="11" width="21.28515625" style="12" bestFit="1" customWidth="1"/>
    <col min="12" max="12" width="12.85546875" bestFit="1" customWidth="1"/>
    <col min="13" max="13" width="10.28515625" bestFit="1" customWidth="1"/>
    <col min="15" max="15" width="12.5703125" style="12" customWidth="1"/>
    <col min="16" max="16" width="11.7109375" style="12" bestFit="1" customWidth="1"/>
  </cols>
  <sheetData>
    <row r="1" spans="1:16" ht="21" x14ac:dyDescent="0.25">
      <c r="A1" s="1"/>
      <c r="B1" s="1"/>
    </row>
    <row r="2" spans="1:16" ht="21" x14ac:dyDescent="0.25">
      <c r="A2" s="1"/>
      <c r="B2" s="1"/>
    </row>
    <row r="3" spans="1:16" ht="21" x14ac:dyDescent="0.25">
      <c r="A3" s="1"/>
      <c r="B3" s="1"/>
    </row>
    <row r="4" spans="1:16" ht="21" x14ac:dyDescent="0.25">
      <c r="A4" s="1"/>
      <c r="B4" s="1"/>
    </row>
    <row r="5" spans="1:16" ht="21" x14ac:dyDescent="0.25">
      <c r="A5" s="1"/>
      <c r="B5" s="1"/>
    </row>
    <row r="6" spans="1:16" ht="21" x14ac:dyDescent="0.25">
      <c r="A6" s="1"/>
      <c r="B6" s="1"/>
    </row>
    <row r="7" spans="1:16" ht="21" x14ac:dyDescent="0.25">
      <c r="A7" s="3"/>
      <c r="B7" s="3"/>
    </row>
    <row r="8" spans="1:16" ht="21" x14ac:dyDescent="0.25">
      <c r="A8" s="3"/>
      <c r="B8" s="3"/>
    </row>
    <row r="9" spans="1:16" ht="21" x14ac:dyDescent="0.25">
      <c r="A9" s="3"/>
      <c r="B9" s="3"/>
    </row>
    <row r="10" spans="1:16" ht="21" x14ac:dyDescent="0.25">
      <c r="A10" s="3"/>
      <c r="B10" s="3"/>
    </row>
    <row r="11" spans="1:16" ht="21" x14ac:dyDescent="0.25">
      <c r="A11" s="3"/>
      <c r="B11" s="3"/>
      <c r="E11" s="23" t="s">
        <v>106</v>
      </c>
      <c r="F11" s="18" t="s">
        <v>105</v>
      </c>
      <c r="G11" s="24" t="s">
        <v>104</v>
      </c>
      <c r="H11" s="24" t="s">
        <v>108</v>
      </c>
      <c r="I11" s="24" t="s">
        <v>109</v>
      </c>
      <c r="J11" s="24" t="s">
        <v>110</v>
      </c>
      <c r="K11" s="24" t="s">
        <v>111</v>
      </c>
      <c r="L11" s="18" t="s">
        <v>114</v>
      </c>
      <c r="M11" s="18" t="s">
        <v>123</v>
      </c>
    </row>
    <row r="12" spans="1:16" ht="21" x14ac:dyDescent="0.25">
      <c r="A12" s="3"/>
      <c r="B12" s="3"/>
    </row>
    <row r="13" spans="1:16" ht="21" x14ac:dyDescent="0.25">
      <c r="A13" s="3"/>
      <c r="B13" s="3"/>
      <c r="C13" s="18" t="str">
        <f>'Cad1'!F14</f>
        <v>Creme Chantty - LITRO</v>
      </c>
    </row>
    <row r="14" spans="1:16" ht="21" x14ac:dyDescent="0.25">
      <c r="A14" s="3"/>
      <c r="B14" s="3"/>
      <c r="C14" s="18" t="str">
        <f>'Cad1'!F15</f>
        <v>Creme Chantty - MINI</v>
      </c>
    </row>
    <row r="15" spans="1:16" ht="16.5" x14ac:dyDescent="0.25">
      <c r="A15" s="2"/>
      <c r="B15" s="4"/>
      <c r="C15" s="18" t="str">
        <f>'Cad1'!F16</f>
        <v>Creme Molho - LITRO</v>
      </c>
      <c r="E15" s="20" t="s">
        <v>106</v>
      </c>
      <c r="F15" s="17" t="s">
        <v>105</v>
      </c>
      <c r="G15" s="21" t="s">
        <v>104</v>
      </c>
      <c r="H15" s="21" t="s">
        <v>107</v>
      </c>
      <c r="I15" s="25" t="s">
        <v>108</v>
      </c>
      <c r="J15" s="21" t="s">
        <v>109</v>
      </c>
      <c r="K15" s="21" t="s">
        <v>110</v>
      </c>
      <c r="L15" s="21" t="s">
        <v>111</v>
      </c>
      <c r="M15" s="17" t="s">
        <v>114</v>
      </c>
      <c r="N15" s="17" t="s">
        <v>123</v>
      </c>
      <c r="O15" s="21" t="s">
        <v>125</v>
      </c>
      <c r="P15" s="21" t="s">
        <v>126</v>
      </c>
    </row>
    <row r="16" spans="1:16" ht="16.5" x14ac:dyDescent="0.25">
      <c r="A16" s="2"/>
      <c r="B16" s="4"/>
      <c r="C16" s="18"/>
      <c r="E16" s="20">
        <v>46059</v>
      </c>
      <c r="F16" s="17" t="s">
        <v>100</v>
      </c>
      <c r="G16" s="21">
        <v>21.231249999999999</v>
      </c>
      <c r="H16" s="21">
        <v>39</v>
      </c>
      <c r="I16" s="25">
        <v>0.1263089743589744</v>
      </c>
      <c r="J16" s="21">
        <v>3.9000000000000004</v>
      </c>
      <c r="K16" s="21">
        <v>0.26874999999999999</v>
      </c>
      <c r="L16" s="21">
        <v>4.68</v>
      </c>
      <c r="M16" s="17" t="s">
        <v>121</v>
      </c>
      <c r="N16" s="17" t="s">
        <v>117</v>
      </c>
      <c r="O16" s="21">
        <v>1.9500000000000002</v>
      </c>
      <c r="P16" s="21">
        <v>6.992700000000001</v>
      </c>
    </row>
    <row r="17" spans="1:16" ht="16.5" x14ac:dyDescent="0.25">
      <c r="A17" s="2"/>
      <c r="B17" s="4"/>
      <c r="C17" s="18"/>
      <c r="E17" s="20">
        <v>46059</v>
      </c>
      <c r="F17" s="17" t="s">
        <v>100</v>
      </c>
      <c r="G17" s="21">
        <v>21.231249999999999</v>
      </c>
      <c r="H17" s="21">
        <v>38</v>
      </c>
      <c r="I17" s="25">
        <v>0.11198289473684206</v>
      </c>
      <c r="J17" s="21">
        <v>3.8000000000000003</v>
      </c>
      <c r="K17" s="21">
        <v>0.26874999999999999</v>
      </c>
      <c r="L17" s="21">
        <v>4.5599999999999996</v>
      </c>
      <c r="M17" s="17" t="s">
        <v>120</v>
      </c>
      <c r="N17" s="17" t="s">
        <v>117</v>
      </c>
      <c r="O17" s="21">
        <v>1.9000000000000001</v>
      </c>
      <c r="P17" s="21">
        <v>6.8134000000000006</v>
      </c>
    </row>
    <row r="18" spans="1:16" ht="16.5" x14ac:dyDescent="0.25">
      <c r="A18" s="2"/>
      <c r="B18" s="4"/>
      <c r="C18" s="18"/>
      <c r="E18" s="20">
        <v>46059</v>
      </c>
      <c r="F18" s="17" t="s">
        <v>100</v>
      </c>
      <c r="G18" s="21">
        <v>21.231249999999999</v>
      </c>
      <c r="H18" s="21">
        <v>37</v>
      </c>
      <c r="I18" s="25">
        <v>9.6882432432432455E-2</v>
      </c>
      <c r="J18" s="21">
        <v>3.7</v>
      </c>
      <c r="K18" s="21">
        <v>0.26874999999999999</v>
      </c>
      <c r="L18" s="21">
        <v>4.4399999999999995</v>
      </c>
      <c r="M18" s="17" t="s">
        <v>113</v>
      </c>
      <c r="N18" s="17" t="s">
        <v>117</v>
      </c>
      <c r="O18" s="21">
        <v>1.85</v>
      </c>
      <c r="P18" s="21">
        <v>6.6341000000000001</v>
      </c>
    </row>
    <row r="19" spans="1:16" ht="16.5" x14ac:dyDescent="0.25">
      <c r="A19" s="2"/>
      <c r="B19" s="4"/>
      <c r="C19" s="18"/>
      <c r="E19" s="20">
        <v>46059</v>
      </c>
      <c r="F19" s="17" t="s">
        <v>100</v>
      </c>
      <c r="G19" s="21">
        <v>21.5</v>
      </c>
      <c r="H19" s="21">
        <v>33</v>
      </c>
      <c r="I19" s="25">
        <v>0.13848484848484843</v>
      </c>
      <c r="J19" s="21">
        <v>3.3000000000000003</v>
      </c>
      <c r="K19" s="21">
        <v>0</v>
      </c>
      <c r="L19" s="21">
        <v>1.98</v>
      </c>
      <c r="M19" s="17" t="s">
        <v>121</v>
      </c>
      <c r="N19" s="17" t="s">
        <v>116</v>
      </c>
      <c r="O19" s="21">
        <v>1.6500000000000001</v>
      </c>
      <c r="P19" s="21">
        <v>1.98</v>
      </c>
    </row>
    <row r="20" spans="1:16" ht="16.5" x14ac:dyDescent="0.25">
      <c r="A20" s="2"/>
      <c r="B20" s="4"/>
      <c r="C20" s="18"/>
      <c r="E20" s="20">
        <v>46059</v>
      </c>
      <c r="F20" s="17" t="s">
        <v>100</v>
      </c>
      <c r="G20" s="21">
        <v>21.5</v>
      </c>
      <c r="H20" s="21">
        <v>32</v>
      </c>
      <c r="I20" s="25">
        <v>0.11812499999999995</v>
      </c>
      <c r="J20" s="21">
        <v>3.2</v>
      </c>
      <c r="K20" s="21">
        <v>0</v>
      </c>
      <c r="L20" s="21">
        <v>1.92</v>
      </c>
      <c r="M20" s="17" t="s">
        <v>120</v>
      </c>
      <c r="N20" s="17" t="s">
        <v>116</v>
      </c>
      <c r="O20" s="21">
        <v>1.6</v>
      </c>
      <c r="P20" s="21">
        <v>1.92</v>
      </c>
    </row>
    <row r="21" spans="1:16" ht="16.5" x14ac:dyDescent="0.25">
      <c r="A21" s="2"/>
      <c r="B21" s="4"/>
      <c r="C21" s="18"/>
      <c r="E21" s="20">
        <v>46059</v>
      </c>
      <c r="F21" s="17" t="s">
        <v>100</v>
      </c>
      <c r="G21" s="21">
        <v>21.5</v>
      </c>
      <c r="H21" s="21">
        <v>31</v>
      </c>
      <c r="I21" s="25">
        <v>9.6451612903225833E-2</v>
      </c>
      <c r="J21" s="21">
        <v>3.1</v>
      </c>
      <c r="K21" s="21">
        <v>0</v>
      </c>
      <c r="L21" s="21">
        <v>1.8599999999999999</v>
      </c>
      <c r="M21" s="17" t="s">
        <v>113</v>
      </c>
      <c r="N21" s="17" t="s">
        <v>116</v>
      </c>
      <c r="O21" s="21">
        <v>1.55</v>
      </c>
      <c r="P21" s="21">
        <v>1.8599999999999999</v>
      </c>
    </row>
    <row r="22" spans="1:16" ht="16.5" x14ac:dyDescent="0.25">
      <c r="A22" s="2"/>
      <c r="B22" s="4"/>
      <c r="C22" s="18"/>
      <c r="E22" s="20">
        <v>46059</v>
      </c>
      <c r="F22" s="17" t="s">
        <v>100</v>
      </c>
      <c r="G22" s="21">
        <v>21.5</v>
      </c>
      <c r="H22" s="21">
        <v>30.5</v>
      </c>
      <c r="I22" s="25">
        <v>0.14508196721311473</v>
      </c>
      <c r="J22" s="21">
        <v>3.0500000000000003</v>
      </c>
      <c r="K22" s="21">
        <v>0.26874999999999999</v>
      </c>
      <c r="L22" s="21">
        <v>0</v>
      </c>
      <c r="M22" s="17" t="s">
        <v>121</v>
      </c>
      <c r="N22" s="17" t="s">
        <v>115</v>
      </c>
      <c r="O22" s="21">
        <v>1.5250000000000001</v>
      </c>
      <c r="P22" s="21">
        <v>0</v>
      </c>
    </row>
    <row r="23" spans="1:16" ht="16.5" x14ac:dyDescent="0.25">
      <c r="A23" s="2"/>
      <c r="B23" s="4"/>
      <c r="C23" s="18"/>
      <c r="E23" s="20">
        <v>46059</v>
      </c>
      <c r="F23" s="17" t="s">
        <v>100</v>
      </c>
      <c r="G23" s="21">
        <v>21.5</v>
      </c>
      <c r="H23" s="21">
        <v>29.5</v>
      </c>
      <c r="I23" s="25">
        <v>0.12118644067796611</v>
      </c>
      <c r="J23" s="21">
        <v>2.95</v>
      </c>
      <c r="K23" s="21">
        <v>0.26874999999999999</v>
      </c>
      <c r="L23" s="21">
        <v>0</v>
      </c>
      <c r="M23" s="17" t="s">
        <v>120</v>
      </c>
      <c r="N23" s="17" t="s">
        <v>115</v>
      </c>
      <c r="O23" s="21">
        <v>1.4750000000000001</v>
      </c>
      <c r="P23" s="21">
        <v>0</v>
      </c>
    </row>
    <row r="24" spans="1:16" ht="16.5" x14ac:dyDescent="0.25">
      <c r="A24" s="2"/>
      <c r="B24" s="4"/>
      <c r="C24" s="18"/>
      <c r="E24" s="20">
        <v>46059</v>
      </c>
      <c r="F24" s="17" t="s">
        <v>100</v>
      </c>
      <c r="G24" s="21">
        <v>21.5</v>
      </c>
      <c r="H24" s="21">
        <v>28.5</v>
      </c>
      <c r="I24" s="25">
        <v>9.5614035087719304E-2</v>
      </c>
      <c r="J24" s="21">
        <v>2.85</v>
      </c>
      <c r="K24" s="21">
        <v>0.26874999999999999</v>
      </c>
      <c r="L24" s="21">
        <v>0</v>
      </c>
      <c r="M24" s="17" t="s">
        <v>113</v>
      </c>
      <c r="N24" s="17" t="s">
        <v>115</v>
      </c>
      <c r="O24" s="21">
        <v>1.425</v>
      </c>
      <c r="P24" s="21">
        <v>0</v>
      </c>
    </row>
    <row r="25" spans="1:16" ht="16.5" x14ac:dyDescent="0.25">
      <c r="A25" s="2"/>
      <c r="B25" s="4"/>
      <c r="C25" s="18"/>
      <c r="E25" s="20">
        <v>46059</v>
      </c>
      <c r="F25" s="17" t="s">
        <v>99</v>
      </c>
      <c r="G25" s="21">
        <v>14.8125</v>
      </c>
      <c r="H25" s="21">
        <v>28</v>
      </c>
      <c r="I25" s="25">
        <v>0.14168214285714276</v>
      </c>
      <c r="J25" s="21">
        <v>2.8000000000000003</v>
      </c>
      <c r="K25" s="21">
        <v>0.1875</v>
      </c>
      <c r="L25" s="21">
        <v>3.36</v>
      </c>
      <c r="M25" s="17" t="s">
        <v>121</v>
      </c>
      <c r="N25" s="17" t="s">
        <v>117</v>
      </c>
      <c r="O25" s="21">
        <v>1.4000000000000001</v>
      </c>
      <c r="P25" s="21">
        <v>5.0204000000000004</v>
      </c>
    </row>
    <row r="26" spans="1:16" ht="16.5" x14ac:dyDescent="0.25">
      <c r="A26" s="2"/>
      <c r="B26" s="4"/>
      <c r="C26" s="18"/>
      <c r="E26" s="20">
        <v>46059</v>
      </c>
      <c r="F26" s="17" t="s">
        <v>99</v>
      </c>
      <c r="G26" s="21">
        <v>14.8125</v>
      </c>
      <c r="H26" s="21">
        <v>27</v>
      </c>
      <c r="I26" s="25">
        <v>0.12208888888888886</v>
      </c>
      <c r="J26" s="21">
        <v>2.7</v>
      </c>
      <c r="K26" s="21">
        <v>0.1875</v>
      </c>
      <c r="L26" s="21">
        <v>3.2399999999999998</v>
      </c>
      <c r="M26" s="17" t="s">
        <v>120</v>
      </c>
      <c r="N26" s="17" t="s">
        <v>117</v>
      </c>
      <c r="O26" s="21">
        <v>1.35</v>
      </c>
      <c r="P26" s="21">
        <v>4.8411000000000008</v>
      </c>
    </row>
    <row r="27" spans="1:16" ht="16.5" x14ac:dyDescent="0.25">
      <c r="A27" s="2"/>
      <c r="B27" s="4"/>
      <c r="C27" s="18"/>
      <c r="E27" s="20">
        <v>46059</v>
      </c>
      <c r="F27" s="17" t="s">
        <v>99</v>
      </c>
      <c r="G27" s="21">
        <v>14.8125</v>
      </c>
      <c r="H27" s="21">
        <v>26</v>
      </c>
      <c r="I27" s="25">
        <v>0.10098846153846155</v>
      </c>
      <c r="J27" s="21">
        <v>2.6</v>
      </c>
      <c r="K27" s="21">
        <v>0.1875</v>
      </c>
      <c r="L27" s="21">
        <v>3.12</v>
      </c>
      <c r="M27" s="17" t="s">
        <v>113</v>
      </c>
      <c r="N27" s="17" t="s">
        <v>117</v>
      </c>
      <c r="O27" s="21">
        <v>1.3</v>
      </c>
      <c r="P27" s="21">
        <v>4.6618000000000004</v>
      </c>
    </row>
    <row r="28" spans="1:16" ht="16.5" x14ac:dyDescent="0.25">
      <c r="A28" s="2"/>
      <c r="B28" s="4"/>
      <c r="C28" s="18"/>
      <c r="E28" s="20">
        <v>46059</v>
      </c>
      <c r="F28" s="17" t="s">
        <v>99</v>
      </c>
      <c r="G28" s="21">
        <v>15</v>
      </c>
      <c r="H28" s="21">
        <v>23.5</v>
      </c>
      <c r="I28" s="25">
        <v>0.15170212765957447</v>
      </c>
      <c r="J28" s="21">
        <v>2.35</v>
      </c>
      <c r="K28" s="21">
        <v>0</v>
      </c>
      <c r="L28" s="21">
        <v>1.41</v>
      </c>
      <c r="M28" s="17" t="s">
        <v>121</v>
      </c>
      <c r="N28" s="17" t="s">
        <v>116</v>
      </c>
      <c r="O28" s="21">
        <v>1.175</v>
      </c>
      <c r="P28" s="21">
        <v>1.41</v>
      </c>
    </row>
    <row r="29" spans="1:16" ht="16.5" x14ac:dyDescent="0.25">
      <c r="A29" s="2"/>
      <c r="B29" s="4"/>
      <c r="C29" s="18"/>
      <c r="E29" s="20">
        <v>46059</v>
      </c>
      <c r="F29" s="17" t="s">
        <v>99</v>
      </c>
      <c r="G29" s="21">
        <v>15</v>
      </c>
      <c r="H29" s="21">
        <v>22.5</v>
      </c>
      <c r="I29" s="25">
        <v>0.12333333333333327</v>
      </c>
      <c r="J29" s="21">
        <v>2.25</v>
      </c>
      <c r="K29" s="21">
        <v>0</v>
      </c>
      <c r="L29" s="21">
        <v>1.3499999999999999</v>
      </c>
      <c r="M29" s="17" t="s">
        <v>120</v>
      </c>
      <c r="N29" s="17" t="s">
        <v>116</v>
      </c>
      <c r="O29" s="21">
        <v>1.125</v>
      </c>
      <c r="P29" s="21">
        <v>1.3499999999999999</v>
      </c>
    </row>
    <row r="30" spans="1:16" ht="16.5" x14ac:dyDescent="0.25">
      <c r="A30" s="2"/>
      <c r="B30" s="4"/>
      <c r="C30" s="18"/>
      <c r="E30" s="20">
        <v>46059</v>
      </c>
      <c r="F30" s="17" t="s">
        <v>99</v>
      </c>
      <c r="G30" s="21">
        <v>15</v>
      </c>
      <c r="H30" s="21">
        <v>21.5</v>
      </c>
      <c r="I30" s="25">
        <v>9.2325581395348869E-2</v>
      </c>
      <c r="J30" s="21">
        <v>2.15</v>
      </c>
      <c r="K30" s="21">
        <v>0</v>
      </c>
      <c r="L30" s="21">
        <v>1.29</v>
      </c>
      <c r="M30" s="17" t="s">
        <v>113</v>
      </c>
      <c r="N30" s="17" t="s">
        <v>116</v>
      </c>
      <c r="O30" s="21">
        <v>1.075</v>
      </c>
      <c r="P30" s="21">
        <v>1.29</v>
      </c>
    </row>
    <row r="31" spans="1:16" ht="16.5" x14ac:dyDescent="0.25">
      <c r="A31" s="2"/>
      <c r="B31" s="4"/>
      <c r="C31" s="18"/>
      <c r="E31" s="20">
        <v>46059</v>
      </c>
      <c r="F31" s="17" t="s">
        <v>99</v>
      </c>
      <c r="G31" s="21">
        <v>15</v>
      </c>
      <c r="H31" s="21">
        <v>22</v>
      </c>
      <c r="I31" s="25">
        <v>0.16818181818181818</v>
      </c>
      <c r="J31" s="21">
        <v>2.2000000000000002</v>
      </c>
      <c r="K31" s="21">
        <v>0.1875</v>
      </c>
      <c r="L31" s="21">
        <v>0</v>
      </c>
      <c r="M31" s="17" t="s">
        <v>121</v>
      </c>
      <c r="N31" s="17" t="s">
        <v>115</v>
      </c>
      <c r="O31" s="21">
        <v>1.1000000000000001</v>
      </c>
      <c r="P31" s="21">
        <v>0</v>
      </c>
    </row>
    <row r="32" spans="1:16" ht="16.5" x14ac:dyDescent="0.25">
      <c r="A32" s="2"/>
      <c r="B32" s="4"/>
      <c r="C32" s="18"/>
      <c r="E32" s="20">
        <v>46059</v>
      </c>
      <c r="F32" s="17" t="s">
        <v>99</v>
      </c>
      <c r="G32" s="21">
        <v>15</v>
      </c>
      <c r="H32" s="21">
        <v>21</v>
      </c>
      <c r="I32" s="25">
        <v>0.13571428571428573</v>
      </c>
      <c r="J32" s="21">
        <v>2.1</v>
      </c>
      <c r="K32" s="21">
        <v>0.1875</v>
      </c>
      <c r="L32" s="21">
        <v>0</v>
      </c>
      <c r="M32" s="17" t="s">
        <v>120</v>
      </c>
      <c r="N32" s="17" t="s">
        <v>115</v>
      </c>
      <c r="O32" s="21">
        <v>1.05</v>
      </c>
      <c r="P32" s="21">
        <v>0</v>
      </c>
    </row>
    <row r="33" spans="1:16" ht="16.5" x14ac:dyDescent="0.25">
      <c r="A33" s="2"/>
      <c r="B33" s="4"/>
      <c r="C33" s="18"/>
      <c r="E33" s="20">
        <v>46059</v>
      </c>
      <c r="F33" s="17" t="s">
        <v>99</v>
      </c>
      <c r="G33" s="21">
        <v>15</v>
      </c>
      <c r="H33" s="21">
        <v>20</v>
      </c>
      <c r="I33" s="25">
        <v>0.1</v>
      </c>
      <c r="J33" s="21">
        <v>2</v>
      </c>
      <c r="K33" s="21">
        <v>0.1875</v>
      </c>
      <c r="L33" s="21">
        <v>0</v>
      </c>
      <c r="M33" s="17" t="s">
        <v>113</v>
      </c>
      <c r="N33" s="17" t="s">
        <v>115</v>
      </c>
      <c r="O33" s="21">
        <v>1</v>
      </c>
      <c r="P33" s="21">
        <v>0</v>
      </c>
    </row>
    <row r="34" spans="1:16" ht="16.5" x14ac:dyDescent="0.25">
      <c r="A34" s="2"/>
      <c r="B34" s="4"/>
      <c r="C34" s="18"/>
      <c r="E34" s="20">
        <v>46059</v>
      </c>
      <c r="F34" s="17" t="s">
        <v>199</v>
      </c>
      <c r="G34" s="21">
        <v>36.142499999999998</v>
      </c>
      <c r="H34" s="21">
        <v>68</v>
      </c>
      <c r="I34" s="25">
        <v>0.13919264705882359</v>
      </c>
      <c r="J34" s="21">
        <v>6.8000000000000007</v>
      </c>
      <c r="K34" s="21">
        <v>0.45750000000000002</v>
      </c>
      <c r="L34" s="21">
        <v>8.16</v>
      </c>
      <c r="M34" s="17" t="s">
        <v>121</v>
      </c>
      <c r="N34" s="17" t="s">
        <v>117</v>
      </c>
      <c r="O34" s="21">
        <v>3.4000000000000004</v>
      </c>
      <c r="P34" s="21">
        <v>12.192400000000001</v>
      </c>
    </row>
    <row r="35" spans="1:16" ht="16.5" x14ac:dyDescent="0.25">
      <c r="A35" s="2"/>
      <c r="B35" s="4"/>
      <c r="C35" s="18"/>
      <c r="E35" s="20">
        <v>46059</v>
      </c>
      <c r="F35" s="17" t="s">
        <v>199</v>
      </c>
      <c r="G35" s="21">
        <v>36.142499999999998</v>
      </c>
      <c r="H35" s="21">
        <v>66</v>
      </c>
      <c r="I35" s="25">
        <v>0.12308636363636369</v>
      </c>
      <c r="J35" s="21">
        <v>6.6000000000000005</v>
      </c>
      <c r="K35" s="21">
        <v>0.45750000000000002</v>
      </c>
      <c r="L35" s="21">
        <v>7.92</v>
      </c>
      <c r="M35" s="17" t="s">
        <v>120</v>
      </c>
      <c r="N35" s="17" t="s">
        <v>117</v>
      </c>
      <c r="O35" s="21">
        <v>3.3000000000000003</v>
      </c>
      <c r="P35" s="21">
        <v>11.8338</v>
      </c>
    </row>
    <row r="36" spans="1:16" ht="16.5" x14ac:dyDescent="0.25">
      <c r="A36" s="2"/>
      <c r="B36" s="4"/>
      <c r="C36" s="18"/>
      <c r="E36" s="20">
        <v>46059</v>
      </c>
      <c r="F36" s="17" t="s">
        <v>199</v>
      </c>
      <c r="G36" s="21">
        <v>36.142499999999998</v>
      </c>
      <c r="H36" s="21">
        <v>64</v>
      </c>
      <c r="I36" s="25">
        <v>0.10597343750000002</v>
      </c>
      <c r="J36" s="21">
        <v>6.4</v>
      </c>
      <c r="K36" s="21">
        <v>0.45750000000000002</v>
      </c>
      <c r="L36" s="21">
        <v>7.68</v>
      </c>
      <c r="M36" s="17" t="s">
        <v>113</v>
      </c>
      <c r="N36" s="17" t="s">
        <v>117</v>
      </c>
      <c r="O36" s="21">
        <v>3.2</v>
      </c>
      <c r="P36" s="21">
        <v>11.475200000000001</v>
      </c>
    </row>
    <row r="37" spans="1:16" ht="16.5" x14ac:dyDescent="0.25">
      <c r="A37" s="2"/>
      <c r="B37" s="4"/>
      <c r="C37" s="18"/>
      <c r="E37" s="20">
        <v>46059</v>
      </c>
      <c r="F37" s="17" t="s">
        <v>199</v>
      </c>
      <c r="G37" s="21">
        <v>36.6</v>
      </c>
      <c r="H37" s="21">
        <v>60</v>
      </c>
      <c r="I37" s="25">
        <v>0.17999999999999997</v>
      </c>
      <c r="J37" s="21">
        <v>6</v>
      </c>
      <c r="K37" s="21">
        <v>0</v>
      </c>
      <c r="L37" s="21">
        <v>3.5999999999999996</v>
      </c>
      <c r="M37" s="17" t="s">
        <v>121</v>
      </c>
      <c r="N37" s="17" t="s">
        <v>116</v>
      </c>
      <c r="O37" s="21">
        <v>3</v>
      </c>
      <c r="P37" s="21">
        <v>3.5999999999999996</v>
      </c>
    </row>
    <row r="38" spans="1:16" ht="16.5" x14ac:dyDescent="0.25">
      <c r="A38" s="2"/>
      <c r="B38" s="4"/>
      <c r="C38" s="18"/>
      <c r="E38" s="20">
        <v>46059</v>
      </c>
      <c r="F38" s="17" t="s">
        <v>199</v>
      </c>
      <c r="G38" s="21">
        <v>36.6</v>
      </c>
      <c r="H38" s="21">
        <v>58</v>
      </c>
      <c r="I38" s="25">
        <v>0.15896551724137933</v>
      </c>
      <c r="J38" s="21">
        <v>5.8000000000000007</v>
      </c>
      <c r="K38" s="21">
        <v>0</v>
      </c>
      <c r="L38" s="21">
        <v>3.48</v>
      </c>
      <c r="M38" s="17" t="s">
        <v>120</v>
      </c>
      <c r="N38" s="17" t="s">
        <v>116</v>
      </c>
      <c r="O38" s="21">
        <v>2.9000000000000004</v>
      </c>
      <c r="P38" s="21">
        <v>3.48</v>
      </c>
    </row>
    <row r="39" spans="1:16" ht="16.5" x14ac:dyDescent="0.25">
      <c r="A39" s="2"/>
      <c r="B39" s="4"/>
      <c r="C39" s="18"/>
      <c r="E39" s="20">
        <v>46059</v>
      </c>
      <c r="F39" s="17" t="s">
        <v>199</v>
      </c>
      <c r="G39" s="21">
        <v>36.6</v>
      </c>
      <c r="H39" s="21">
        <v>56</v>
      </c>
      <c r="I39" s="25">
        <v>0.1364285714285714</v>
      </c>
      <c r="J39" s="21">
        <v>5.6000000000000005</v>
      </c>
      <c r="K39" s="21">
        <v>0</v>
      </c>
      <c r="L39" s="21">
        <v>3.36</v>
      </c>
      <c r="M39" s="17" t="s">
        <v>113</v>
      </c>
      <c r="N39" s="17" t="s">
        <v>116</v>
      </c>
      <c r="O39" s="21">
        <v>2.8000000000000003</v>
      </c>
      <c r="P39" s="21">
        <v>3.36</v>
      </c>
    </row>
    <row r="40" spans="1:16" ht="16.5" x14ac:dyDescent="0.25">
      <c r="A40" s="2"/>
      <c r="B40" s="4"/>
      <c r="C40" s="18"/>
      <c r="E40" s="20">
        <v>46059</v>
      </c>
      <c r="F40" s="17" t="s">
        <v>199</v>
      </c>
      <c r="G40" s="21">
        <v>36.6</v>
      </c>
      <c r="H40" s="21">
        <v>54</v>
      </c>
      <c r="I40" s="25">
        <v>0.17222222222222219</v>
      </c>
      <c r="J40" s="21">
        <v>5.4</v>
      </c>
      <c r="K40" s="21">
        <v>0.45750000000000002</v>
      </c>
      <c r="L40" s="21">
        <v>0</v>
      </c>
      <c r="M40" s="17" t="s">
        <v>121</v>
      </c>
      <c r="N40" s="17" t="s">
        <v>115</v>
      </c>
      <c r="O40" s="21">
        <v>2.7</v>
      </c>
      <c r="P40" s="21">
        <v>0</v>
      </c>
    </row>
    <row r="41" spans="1:16" ht="16.5" x14ac:dyDescent="0.25">
      <c r="A41" s="2"/>
      <c r="B41" s="4"/>
      <c r="C41" s="18"/>
      <c r="E41" s="20">
        <v>46059</v>
      </c>
      <c r="F41" s="17" t="s">
        <v>199</v>
      </c>
      <c r="G41" s="21">
        <v>36.6</v>
      </c>
      <c r="H41" s="21">
        <v>52</v>
      </c>
      <c r="I41" s="25">
        <v>0.14615384615384613</v>
      </c>
      <c r="J41" s="21">
        <v>5.2</v>
      </c>
      <c r="K41" s="21">
        <v>0.45750000000000002</v>
      </c>
      <c r="L41" s="21">
        <v>0</v>
      </c>
      <c r="M41" s="17" t="s">
        <v>120</v>
      </c>
      <c r="N41" s="17" t="s">
        <v>115</v>
      </c>
      <c r="O41" s="21">
        <v>2.6</v>
      </c>
      <c r="P41" s="21">
        <v>0</v>
      </c>
    </row>
    <row r="42" spans="1:16" ht="16.5" x14ac:dyDescent="0.25">
      <c r="A42" s="2"/>
      <c r="B42" s="4"/>
      <c r="C42" s="18"/>
      <c r="E42" s="20">
        <v>46059</v>
      </c>
      <c r="F42" s="17" t="s">
        <v>199</v>
      </c>
      <c r="G42" s="21">
        <v>36.6</v>
      </c>
      <c r="H42" s="21">
        <v>50</v>
      </c>
      <c r="I42" s="25">
        <v>0.11799999999999997</v>
      </c>
      <c r="J42" s="21">
        <v>5</v>
      </c>
      <c r="K42" s="21">
        <v>0.45750000000000002</v>
      </c>
      <c r="L42" s="21">
        <v>0</v>
      </c>
      <c r="M42" s="17" t="s">
        <v>113</v>
      </c>
      <c r="N42" s="17" t="s">
        <v>115</v>
      </c>
      <c r="O42" s="21">
        <v>2.5</v>
      </c>
      <c r="P42" s="21">
        <v>0</v>
      </c>
    </row>
    <row r="43" spans="1:16" ht="16.5" x14ac:dyDescent="0.25">
      <c r="A43" s="2"/>
      <c r="B43" s="4"/>
      <c r="C43" s="18"/>
      <c r="E43" s="20">
        <v>46059</v>
      </c>
      <c r="F43" s="17" t="s">
        <v>200</v>
      </c>
      <c r="G43" s="21">
        <v>37.524999999999999</v>
      </c>
      <c r="H43" s="21">
        <v>70</v>
      </c>
      <c r="I43" s="25">
        <v>0.13462857142857143</v>
      </c>
      <c r="J43" s="21">
        <v>7</v>
      </c>
      <c r="K43" s="21">
        <v>0.47500000000000003</v>
      </c>
      <c r="L43" s="21">
        <v>8.4</v>
      </c>
      <c r="M43" s="17" t="s">
        <v>121</v>
      </c>
      <c r="N43" s="17" t="s">
        <v>117</v>
      </c>
      <c r="O43" s="21">
        <v>3.5</v>
      </c>
      <c r="P43" s="21">
        <v>12.551000000000002</v>
      </c>
    </row>
    <row r="44" spans="1:16" ht="16.5" x14ac:dyDescent="0.25">
      <c r="A44" s="2"/>
      <c r="B44" s="4"/>
      <c r="C44" s="18"/>
      <c r="E44" s="20">
        <v>46059</v>
      </c>
      <c r="F44" s="17" t="s">
        <v>200</v>
      </c>
      <c r="G44" s="21">
        <v>37.524999999999999</v>
      </c>
      <c r="H44" s="21">
        <v>68</v>
      </c>
      <c r="I44" s="25">
        <v>0.11886176470588238</v>
      </c>
      <c r="J44" s="21">
        <v>6.8000000000000007</v>
      </c>
      <c r="K44" s="21">
        <v>0.47500000000000003</v>
      </c>
      <c r="L44" s="21">
        <v>8.16</v>
      </c>
      <c r="M44" s="17" t="s">
        <v>120</v>
      </c>
      <c r="N44" s="17" t="s">
        <v>117</v>
      </c>
      <c r="O44" s="21">
        <v>3.4000000000000004</v>
      </c>
      <c r="P44" s="21">
        <v>12.192400000000001</v>
      </c>
    </row>
    <row r="45" spans="1:16" ht="16.5" x14ac:dyDescent="0.25">
      <c r="A45" s="2"/>
      <c r="B45" s="4"/>
      <c r="C45" s="18"/>
      <c r="E45" s="20">
        <v>46059</v>
      </c>
      <c r="F45" s="17" t="s">
        <v>200</v>
      </c>
      <c r="G45" s="21">
        <v>37.524999999999999</v>
      </c>
      <c r="H45" s="21">
        <v>66</v>
      </c>
      <c r="I45" s="25">
        <v>0.10213939393939399</v>
      </c>
      <c r="J45" s="21">
        <v>6.6000000000000005</v>
      </c>
      <c r="K45" s="21">
        <v>0.47500000000000003</v>
      </c>
      <c r="L45" s="21">
        <v>7.92</v>
      </c>
      <c r="M45" s="17" t="s">
        <v>113</v>
      </c>
      <c r="N45" s="17" t="s">
        <v>117</v>
      </c>
      <c r="O45" s="21">
        <v>3.3000000000000003</v>
      </c>
      <c r="P45" s="21">
        <v>11.8338</v>
      </c>
    </row>
    <row r="46" spans="1:16" ht="16.5" x14ac:dyDescent="0.25">
      <c r="A46" s="2"/>
      <c r="B46" s="4"/>
      <c r="C46" s="18"/>
      <c r="E46" s="20">
        <v>46059</v>
      </c>
      <c r="F46" s="17" t="s">
        <v>200</v>
      </c>
      <c r="G46" s="21">
        <v>38</v>
      </c>
      <c r="H46" s="21">
        <v>62</v>
      </c>
      <c r="I46" s="25">
        <v>0.17709677419354838</v>
      </c>
      <c r="J46" s="21">
        <v>6.2</v>
      </c>
      <c r="K46" s="21">
        <v>0</v>
      </c>
      <c r="L46" s="21">
        <v>3.7199999999999998</v>
      </c>
      <c r="M46" s="17" t="s">
        <v>121</v>
      </c>
      <c r="N46" s="17" t="s">
        <v>116</v>
      </c>
      <c r="O46" s="21">
        <v>3.1</v>
      </c>
      <c r="P46" s="21">
        <v>3.7199999999999998</v>
      </c>
    </row>
    <row r="47" spans="1:16" ht="16.5" x14ac:dyDescent="0.25">
      <c r="A47" s="2"/>
      <c r="B47" s="4"/>
      <c r="C47" s="18"/>
      <c r="E47" s="20">
        <v>46059</v>
      </c>
      <c r="F47" s="17" t="s">
        <v>200</v>
      </c>
      <c r="G47" s="21">
        <v>38</v>
      </c>
      <c r="H47" s="21">
        <v>60</v>
      </c>
      <c r="I47" s="25">
        <v>0.15666666666666665</v>
      </c>
      <c r="J47" s="21">
        <v>6</v>
      </c>
      <c r="K47" s="21">
        <v>0</v>
      </c>
      <c r="L47" s="21">
        <v>3.5999999999999996</v>
      </c>
      <c r="M47" s="17" t="s">
        <v>120</v>
      </c>
      <c r="N47" s="17" t="s">
        <v>116</v>
      </c>
      <c r="O47" s="21">
        <v>3</v>
      </c>
      <c r="P47" s="21">
        <v>3.5999999999999996</v>
      </c>
    </row>
    <row r="48" spans="1:16" ht="16.5" x14ac:dyDescent="0.25">
      <c r="A48" s="2"/>
      <c r="B48" s="4"/>
      <c r="C48" s="18"/>
      <c r="E48" s="20">
        <v>46059</v>
      </c>
      <c r="F48" s="17" t="s">
        <v>200</v>
      </c>
      <c r="G48" s="21">
        <v>38</v>
      </c>
      <c r="H48" s="21">
        <v>58</v>
      </c>
      <c r="I48" s="25">
        <v>0.13482758620689658</v>
      </c>
      <c r="J48" s="21">
        <v>5.8000000000000007</v>
      </c>
      <c r="K48" s="21">
        <v>0</v>
      </c>
      <c r="L48" s="21">
        <v>3.48</v>
      </c>
      <c r="M48" s="17" t="s">
        <v>113</v>
      </c>
      <c r="N48" s="17" t="s">
        <v>116</v>
      </c>
      <c r="O48" s="21">
        <v>2.9000000000000004</v>
      </c>
      <c r="P48" s="21">
        <v>3.48</v>
      </c>
    </row>
    <row r="49" spans="1:16" ht="16.5" x14ac:dyDescent="0.25">
      <c r="A49" s="2"/>
      <c r="B49" s="4"/>
      <c r="C49" s="18"/>
      <c r="E49" s="20">
        <v>46059</v>
      </c>
      <c r="F49" s="17" t="s">
        <v>200</v>
      </c>
      <c r="G49" s="21">
        <v>38</v>
      </c>
      <c r="H49" s="21">
        <v>57</v>
      </c>
      <c r="I49" s="25">
        <v>0.18333333333333332</v>
      </c>
      <c r="J49" s="21">
        <v>5.7</v>
      </c>
      <c r="K49" s="21">
        <v>0.47500000000000003</v>
      </c>
      <c r="L49" s="21">
        <v>0</v>
      </c>
      <c r="M49" s="17" t="s">
        <v>121</v>
      </c>
      <c r="N49" s="17" t="s">
        <v>115</v>
      </c>
      <c r="O49" s="21">
        <v>2.85</v>
      </c>
      <c r="P49" s="21">
        <v>0</v>
      </c>
    </row>
    <row r="50" spans="1:16" ht="16.5" x14ac:dyDescent="0.25">
      <c r="A50" s="2"/>
      <c r="B50" s="4"/>
      <c r="C50" s="18"/>
      <c r="E50" s="20">
        <v>46059</v>
      </c>
      <c r="F50" s="17" t="s">
        <v>200</v>
      </c>
      <c r="G50" s="21">
        <v>38</v>
      </c>
      <c r="H50" s="21">
        <v>55</v>
      </c>
      <c r="I50" s="25">
        <v>0.15909090909090909</v>
      </c>
      <c r="J50" s="21">
        <v>5.5</v>
      </c>
      <c r="K50" s="21">
        <v>0.47500000000000003</v>
      </c>
      <c r="L50" s="21">
        <v>0</v>
      </c>
      <c r="M50" s="17" t="s">
        <v>120</v>
      </c>
      <c r="N50" s="17" t="s">
        <v>115</v>
      </c>
      <c r="O50" s="21">
        <v>2.75</v>
      </c>
      <c r="P50" s="21">
        <v>0</v>
      </c>
    </row>
    <row r="51" spans="1:16" ht="16.5" x14ac:dyDescent="0.25">
      <c r="A51" s="2"/>
      <c r="B51" s="4"/>
      <c r="C51" s="18"/>
      <c r="E51" s="20">
        <v>46059</v>
      </c>
      <c r="F51" s="17" t="s">
        <v>200</v>
      </c>
      <c r="G51" s="21">
        <v>38</v>
      </c>
      <c r="H51" s="21">
        <v>53</v>
      </c>
      <c r="I51" s="25">
        <v>0.13301886792452827</v>
      </c>
      <c r="J51" s="21">
        <v>5.3000000000000007</v>
      </c>
      <c r="K51" s="21">
        <v>0.47500000000000003</v>
      </c>
      <c r="L51" s="21">
        <v>0</v>
      </c>
      <c r="M51" s="17" t="s">
        <v>113</v>
      </c>
      <c r="N51" s="17" t="s">
        <v>115</v>
      </c>
      <c r="O51" s="21">
        <v>2.6500000000000004</v>
      </c>
      <c r="P51" s="21">
        <v>0</v>
      </c>
    </row>
    <row r="52" spans="1:16" ht="16.5" x14ac:dyDescent="0.25">
      <c r="A52" s="2"/>
      <c r="B52" s="4"/>
      <c r="C52" s="18"/>
      <c r="E52" s="20">
        <v>46059</v>
      </c>
      <c r="F52" s="17" t="s">
        <v>201</v>
      </c>
      <c r="G52" s="21">
        <v>18.762499999999999</v>
      </c>
      <c r="H52" s="21">
        <v>35</v>
      </c>
      <c r="I52" s="25">
        <v>0.13462857142857143</v>
      </c>
      <c r="J52" s="21">
        <v>3.5</v>
      </c>
      <c r="K52" s="21">
        <v>0.23750000000000002</v>
      </c>
      <c r="L52" s="21">
        <v>4.2</v>
      </c>
      <c r="M52" s="17" t="s">
        <v>121</v>
      </c>
      <c r="N52" s="17" t="s">
        <v>117</v>
      </c>
      <c r="O52" s="21">
        <v>1.75</v>
      </c>
      <c r="P52" s="21">
        <v>6.275500000000001</v>
      </c>
    </row>
    <row r="53" spans="1:16" ht="16.5" x14ac:dyDescent="0.25">
      <c r="A53" s="2"/>
      <c r="B53" s="4"/>
      <c r="C53" s="18"/>
      <c r="E53" s="20">
        <v>46059</v>
      </c>
      <c r="F53" s="17" t="s">
        <v>201</v>
      </c>
      <c r="G53" s="21">
        <v>18.762499999999999</v>
      </c>
      <c r="H53" s="21">
        <v>34</v>
      </c>
      <c r="I53" s="25">
        <v>0.11886176470588238</v>
      </c>
      <c r="J53" s="21">
        <v>3.4000000000000004</v>
      </c>
      <c r="K53" s="21">
        <v>0.23750000000000002</v>
      </c>
      <c r="L53" s="21">
        <v>4.08</v>
      </c>
      <c r="M53" s="17" t="s">
        <v>120</v>
      </c>
      <c r="N53" s="17" t="s">
        <v>117</v>
      </c>
      <c r="O53" s="21">
        <v>1.7000000000000002</v>
      </c>
      <c r="P53" s="21">
        <v>6.0962000000000005</v>
      </c>
    </row>
    <row r="54" spans="1:16" ht="16.5" x14ac:dyDescent="0.25">
      <c r="A54" s="2"/>
      <c r="B54" s="4"/>
      <c r="C54" s="18"/>
      <c r="E54" s="20">
        <v>46059</v>
      </c>
      <c r="F54" s="17" t="s">
        <v>201</v>
      </c>
      <c r="G54" s="21">
        <v>18.762499999999999</v>
      </c>
      <c r="H54" s="21">
        <v>33</v>
      </c>
      <c r="I54" s="25">
        <v>0.10213939393939399</v>
      </c>
      <c r="J54" s="21">
        <v>3.3000000000000003</v>
      </c>
      <c r="K54" s="21">
        <v>0.23750000000000002</v>
      </c>
      <c r="L54" s="21">
        <v>3.96</v>
      </c>
      <c r="M54" s="17" t="s">
        <v>113</v>
      </c>
      <c r="N54" s="17" t="s">
        <v>117</v>
      </c>
      <c r="O54" s="21">
        <v>1.6500000000000001</v>
      </c>
      <c r="P54" s="21">
        <v>5.9169</v>
      </c>
    </row>
    <row r="55" spans="1:16" ht="16.5" x14ac:dyDescent="0.25">
      <c r="A55" s="2"/>
      <c r="B55" s="4"/>
      <c r="C55" s="18"/>
      <c r="E55" s="20">
        <v>46059</v>
      </c>
      <c r="F55" s="17" t="s">
        <v>201</v>
      </c>
      <c r="G55" s="21">
        <v>19</v>
      </c>
      <c r="H55" s="21">
        <v>31</v>
      </c>
      <c r="I55" s="25">
        <v>0.17709677419354838</v>
      </c>
      <c r="J55" s="21">
        <v>3.1</v>
      </c>
      <c r="K55" s="21">
        <v>0</v>
      </c>
      <c r="L55" s="21">
        <v>1.8599999999999999</v>
      </c>
      <c r="M55" s="17" t="s">
        <v>121</v>
      </c>
      <c r="N55" s="17" t="s">
        <v>116</v>
      </c>
      <c r="O55" s="21">
        <v>1.55</v>
      </c>
      <c r="P55" s="21">
        <v>1.8599999999999999</v>
      </c>
    </row>
    <row r="56" spans="1:16" ht="16.5" x14ac:dyDescent="0.25">
      <c r="A56" s="2"/>
      <c r="B56" s="4"/>
      <c r="C56" s="18"/>
      <c r="E56" s="20">
        <v>46059</v>
      </c>
      <c r="F56" s="17" t="s">
        <v>201</v>
      </c>
      <c r="G56" s="21">
        <v>19</v>
      </c>
      <c r="H56" s="21">
        <v>30</v>
      </c>
      <c r="I56" s="25">
        <v>0.15666666666666665</v>
      </c>
      <c r="J56" s="21">
        <v>3</v>
      </c>
      <c r="K56" s="21">
        <v>0</v>
      </c>
      <c r="L56" s="21">
        <v>1.7999999999999998</v>
      </c>
      <c r="M56" s="17" t="s">
        <v>120</v>
      </c>
      <c r="N56" s="17" t="s">
        <v>116</v>
      </c>
      <c r="O56" s="21">
        <v>1.5</v>
      </c>
      <c r="P56" s="21">
        <v>1.7999999999999998</v>
      </c>
    </row>
    <row r="57" spans="1:16" ht="16.5" x14ac:dyDescent="0.25">
      <c r="A57" s="2"/>
      <c r="B57" s="4"/>
      <c r="C57" s="18"/>
      <c r="E57" s="20">
        <v>46059</v>
      </c>
      <c r="F57" s="17" t="s">
        <v>201</v>
      </c>
      <c r="G57" s="21">
        <v>19</v>
      </c>
      <c r="H57" s="21">
        <v>29</v>
      </c>
      <c r="I57" s="25">
        <v>0.13482758620689658</v>
      </c>
      <c r="J57" s="21">
        <v>2.9000000000000004</v>
      </c>
      <c r="K57" s="21">
        <v>0</v>
      </c>
      <c r="L57" s="21">
        <v>1.74</v>
      </c>
      <c r="M57" s="17" t="s">
        <v>113</v>
      </c>
      <c r="N57" s="17" t="s">
        <v>116</v>
      </c>
      <c r="O57" s="21">
        <v>1.4500000000000002</v>
      </c>
      <c r="P57" s="21">
        <v>1.74</v>
      </c>
    </row>
    <row r="58" spans="1:16" ht="16.5" x14ac:dyDescent="0.25">
      <c r="A58" s="2"/>
      <c r="B58" s="4"/>
      <c r="C58" s="18"/>
      <c r="E58" s="20">
        <v>46059</v>
      </c>
      <c r="F58" s="17" t="s">
        <v>201</v>
      </c>
      <c r="G58" s="21">
        <v>19</v>
      </c>
      <c r="H58" s="21">
        <v>28</v>
      </c>
      <c r="I58" s="25">
        <v>0.1714285714285714</v>
      </c>
      <c r="J58" s="21">
        <v>2.8000000000000003</v>
      </c>
      <c r="K58" s="21">
        <v>0.23750000000000002</v>
      </c>
      <c r="L58" s="21">
        <v>0</v>
      </c>
      <c r="M58" s="17" t="s">
        <v>121</v>
      </c>
      <c r="N58" s="17" t="s">
        <v>115</v>
      </c>
      <c r="O58" s="21">
        <v>1.4000000000000001</v>
      </c>
      <c r="P58" s="21">
        <v>0</v>
      </c>
    </row>
    <row r="59" spans="1:16" ht="16.5" x14ac:dyDescent="0.25">
      <c r="A59" s="2"/>
      <c r="B59" s="4"/>
      <c r="C59" s="18"/>
      <c r="E59" s="20">
        <v>46059</v>
      </c>
      <c r="F59" s="17" t="s">
        <v>201</v>
      </c>
      <c r="G59" s="21">
        <v>19</v>
      </c>
      <c r="H59" s="21">
        <v>27</v>
      </c>
      <c r="I59" s="25">
        <v>0.14629629629629631</v>
      </c>
      <c r="J59" s="21">
        <v>2.7</v>
      </c>
      <c r="K59" s="21">
        <v>0.23750000000000002</v>
      </c>
      <c r="L59" s="21">
        <v>0</v>
      </c>
      <c r="M59" s="17" t="s">
        <v>120</v>
      </c>
      <c r="N59" s="17" t="s">
        <v>115</v>
      </c>
      <c r="O59" s="21">
        <v>1.35</v>
      </c>
      <c r="P59" s="21">
        <v>0</v>
      </c>
    </row>
    <row r="60" spans="1:16" ht="16.5" x14ac:dyDescent="0.25">
      <c r="A60" s="2"/>
      <c r="B60" s="4"/>
      <c r="C60" s="18"/>
      <c r="E60" s="20">
        <v>46059</v>
      </c>
      <c r="F60" s="17" t="s">
        <v>201</v>
      </c>
      <c r="G60" s="21">
        <v>19</v>
      </c>
      <c r="H60" s="21">
        <v>26</v>
      </c>
      <c r="I60" s="25">
        <v>0.11923076923076924</v>
      </c>
      <c r="J60" s="21">
        <v>2.6</v>
      </c>
      <c r="K60" s="21">
        <v>0.23750000000000002</v>
      </c>
      <c r="L60" s="21">
        <v>0</v>
      </c>
      <c r="M60" s="17" t="s">
        <v>113</v>
      </c>
      <c r="N60" s="17" t="s">
        <v>115</v>
      </c>
      <c r="O60" s="21">
        <v>1.3</v>
      </c>
      <c r="P60" s="21">
        <v>0</v>
      </c>
    </row>
    <row r="61" spans="1:16" ht="16.5" x14ac:dyDescent="0.25">
      <c r="A61" s="2"/>
      <c r="B61" s="4"/>
      <c r="C61" s="18"/>
      <c r="E61" s="20">
        <v>46059</v>
      </c>
      <c r="F61" s="17" t="s">
        <v>232</v>
      </c>
      <c r="G61" s="21">
        <v>11.85</v>
      </c>
      <c r="H61" s="21">
        <v>22</v>
      </c>
      <c r="I61" s="25">
        <v>0.13206363636363633</v>
      </c>
      <c r="J61" s="21">
        <v>2.2000000000000002</v>
      </c>
      <c r="K61" s="21">
        <v>0.15000000000000002</v>
      </c>
      <c r="L61" s="21">
        <v>2.6399999999999997</v>
      </c>
      <c r="M61" s="17" t="s">
        <v>121</v>
      </c>
      <c r="N61" s="17" t="s">
        <v>117</v>
      </c>
      <c r="O61" s="21">
        <v>1.1000000000000001</v>
      </c>
      <c r="P61" s="21">
        <v>3.9446000000000003</v>
      </c>
    </row>
    <row r="62" spans="1:16" ht="16.5" x14ac:dyDescent="0.25">
      <c r="A62" s="2"/>
      <c r="B62" s="4"/>
      <c r="C62" s="18"/>
      <c r="E62" s="20">
        <v>46059</v>
      </c>
      <c r="F62" s="17" t="s">
        <v>232</v>
      </c>
      <c r="G62" s="21">
        <v>11.85</v>
      </c>
      <c r="H62" s="21">
        <v>21.5</v>
      </c>
      <c r="I62" s="25">
        <v>0.11953720930232549</v>
      </c>
      <c r="J62" s="21">
        <v>2.15</v>
      </c>
      <c r="K62" s="21">
        <v>0.15000000000000002</v>
      </c>
      <c r="L62" s="21">
        <v>2.58</v>
      </c>
      <c r="M62" s="17" t="s">
        <v>120</v>
      </c>
      <c r="N62" s="17" t="s">
        <v>117</v>
      </c>
      <c r="O62" s="21">
        <v>1.075</v>
      </c>
      <c r="P62" s="21">
        <v>3.8549500000000005</v>
      </c>
    </row>
    <row r="63" spans="1:16" ht="16.5" x14ac:dyDescent="0.25">
      <c r="A63" s="2"/>
      <c r="B63" s="4"/>
      <c r="C63" s="18"/>
      <c r="E63" s="20">
        <v>46059</v>
      </c>
      <c r="F63" s="17" t="s">
        <v>232</v>
      </c>
      <c r="G63" s="21">
        <v>11.85</v>
      </c>
      <c r="H63" s="21">
        <v>21</v>
      </c>
      <c r="I63" s="25">
        <v>0.10641428571428574</v>
      </c>
      <c r="J63" s="21">
        <v>2.1</v>
      </c>
      <c r="K63" s="21">
        <v>0.15000000000000002</v>
      </c>
      <c r="L63" s="21">
        <v>2.52</v>
      </c>
      <c r="M63" s="17" t="s">
        <v>113</v>
      </c>
      <c r="N63" s="17" t="s">
        <v>117</v>
      </c>
      <c r="O63" s="21">
        <v>1.05</v>
      </c>
      <c r="P63" s="21">
        <v>3.7653000000000003</v>
      </c>
    </row>
    <row r="64" spans="1:16" ht="16.5" x14ac:dyDescent="0.25">
      <c r="A64" s="2"/>
      <c r="B64" s="4"/>
      <c r="C64" s="18"/>
      <c r="E64" s="20">
        <v>46059</v>
      </c>
      <c r="F64" s="17" t="s">
        <v>232</v>
      </c>
      <c r="G64" s="21">
        <v>12</v>
      </c>
      <c r="H64" s="21">
        <v>18.5</v>
      </c>
      <c r="I64" s="25">
        <v>0.14135135135135138</v>
      </c>
      <c r="J64" s="21">
        <v>1.85</v>
      </c>
      <c r="K64" s="21">
        <v>0</v>
      </c>
      <c r="L64" s="21">
        <v>1.1099999999999999</v>
      </c>
      <c r="M64" s="17" t="s">
        <v>121</v>
      </c>
      <c r="N64" s="17" t="s">
        <v>116</v>
      </c>
      <c r="O64" s="21">
        <v>0.92500000000000004</v>
      </c>
      <c r="P64" s="21">
        <v>1.1099999999999999</v>
      </c>
    </row>
    <row r="65" spans="1:16" ht="16.5" x14ac:dyDescent="0.25">
      <c r="A65" s="2"/>
      <c r="B65" s="4"/>
      <c r="C65" s="18"/>
      <c r="E65" s="20">
        <v>46059</v>
      </c>
      <c r="F65" s="17" t="s">
        <v>232</v>
      </c>
      <c r="G65" s="21">
        <v>12</v>
      </c>
      <c r="H65" s="21">
        <v>18</v>
      </c>
      <c r="I65" s="25">
        <v>0.12333333333333342</v>
      </c>
      <c r="J65" s="21">
        <v>1.8</v>
      </c>
      <c r="K65" s="21">
        <v>0</v>
      </c>
      <c r="L65" s="21">
        <v>1.08</v>
      </c>
      <c r="M65" s="17" t="s">
        <v>120</v>
      </c>
      <c r="N65" s="17" t="s">
        <v>116</v>
      </c>
      <c r="O65" s="21">
        <v>0.9</v>
      </c>
      <c r="P65" s="21">
        <v>1.08</v>
      </c>
    </row>
    <row r="66" spans="1:16" ht="16.5" x14ac:dyDescent="0.25">
      <c r="A66" s="2"/>
      <c r="B66" s="4"/>
      <c r="C66" s="18"/>
      <c r="E66" s="20">
        <v>46059</v>
      </c>
      <c r="F66" s="17" t="s">
        <v>232</v>
      </c>
      <c r="G66" s="21">
        <v>12</v>
      </c>
      <c r="H66" s="21">
        <v>17.5</v>
      </c>
      <c r="I66" s="25">
        <v>0.10428571428571425</v>
      </c>
      <c r="J66" s="21">
        <v>1.75</v>
      </c>
      <c r="K66" s="21">
        <v>0</v>
      </c>
      <c r="L66" s="21">
        <v>1.05</v>
      </c>
      <c r="M66" s="17" t="s">
        <v>113</v>
      </c>
      <c r="N66" s="17" t="s">
        <v>116</v>
      </c>
      <c r="O66" s="21">
        <v>0.875</v>
      </c>
      <c r="P66" s="21">
        <v>1.05</v>
      </c>
    </row>
    <row r="67" spans="1:16" ht="16.5" x14ac:dyDescent="0.25">
      <c r="A67" s="2"/>
      <c r="B67" s="4"/>
      <c r="C67" s="18"/>
      <c r="E67" s="20">
        <v>46059</v>
      </c>
      <c r="F67" s="17" t="s">
        <v>232</v>
      </c>
      <c r="G67" s="21">
        <v>12</v>
      </c>
      <c r="H67" s="21">
        <v>17</v>
      </c>
      <c r="I67" s="25">
        <v>0.14411764705882354</v>
      </c>
      <c r="J67" s="21">
        <v>1.7000000000000002</v>
      </c>
      <c r="K67" s="21">
        <v>0.15000000000000002</v>
      </c>
      <c r="L67" s="21">
        <v>0</v>
      </c>
      <c r="M67" s="17" t="s">
        <v>121</v>
      </c>
      <c r="N67" s="17" t="s">
        <v>115</v>
      </c>
      <c r="O67" s="21">
        <v>0.85000000000000009</v>
      </c>
      <c r="P67" s="21">
        <v>0</v>
      </c>
    </row>
    <row r="68" spans="1:16" ht="16.5" x14ac:dyDescent="0.25">
      <c r="A68" s="2"/>
      <c r="B68" s="4"/>
      <c r="C68" s="18"/>
      <c r="E68" s="20">
        <v>46059</v>
      </c>
      <c r="F68" s="17" t="s">
        <v>232</v>
      </c>
      <c r="G68" s="21">
        <v>12</v>
      </c>
      <c r="H68" s="21">
        <v>16.5</v>
      </c>
      <c r="I68" s="25">
        <v>0.1227272727272727</v>
      </c>
      <c r="J68" s="21">
        <v>1.6500000000000001</v>
      </c>
      <c r="K68" s="21">
        <v>0.15000000000000002</v>
      </c>
      <c r="L68" s="21">
        <v>0</v>
      </c>
      <c r="M68" s="17" t="s">
        <v>120</v>
      </c>
      <c r="N68" s="17" t="s">
        <v>115</v>
      </c>
      <c r="O68" s="21">
        <v>0.82500000000000007</v>
      </c>
      <c r="P68" s="21">
        <v>0</v>
      </c>
    </row>
    <row r="69" spans="1:16" ht="16.5" x14ac:dyDescent="0.25">
      <c r="A69" s="2"/>
      <c r="B69" s="4"/>
      <c r="C69" s="18"/>
      <c r="E69" s="20">
        <v>46059</v>
      </c>
      <c r="F69" s="17" t="s">
        <v>232</v>
      </c>
      <c r="G69" s="21">
        <v>12</v>
      </c>
      <c r="H69" s="21">
        <v>16</v>
      </c>
      <c r="I69" s="25">
        <v>0.1</v>
      </c>
      <c r="J69" s="21">
        <v>1.6</v>
      </c>
      <c r="K69" s="21">
        <v>0.15000000000000002</v>
      </c>
      <c r="L69" s="21">
        <v>0</v>
      </c>
      <c r="M69" s="17" t="s">
        <v>113</v>
      </c>
      <c r="N69" s="17" t="s">
        <v>115</v>
      </c>
      <c r="O69" s="21">
        <v>0.8</v>
      </c>
      <c r="P69" s="21">
        <v>0</v>
      </c>
    </row>
    <row r="70" spans="1:16" ht="16.5" x14ac:dyDescent="0.25">
      <c r="A70" s="2"/>
      <c r="B70" s="4"/>
      <c r="C70" s="18"/>
      <c r="E70" s="20">
        <v>46059</v>
      </c>
      <c r="F70" s="17" t="s">
        <v>232</v>
      </c>
      <c r="G70" s="21">
        <v>12</v>
      </c>
      <c r="H70" s="21">
        <v>18.5</v>
      </c>
      <c r="I70" s="25">
        <v>0.14135135135135138</v>
      </c>
      <c r="J70" s="21">
        <v>1.85</v>
      </c>
      <c r="K70" s="21">
        <v>0.15000000000000002</v>
      </c>
      <c r="L70" s="21">
        <v>1.1099999999999999</v>
      </c>
      <c r="M70" s="17" t="s">
        <v>121</v>
      </c>
      <c r="N70" s="17" t="s">
        <v>115</v>
      </c>
      <c r="O70" s="21">
        <v>0.92500000000000004</v>
      </c>
      <c r="P70" s="21">
        <v>1.1099999999999999</v>
      </c>
    </row>
    <row r="71" spans="1:16" ht="16.5" x14ac:dyDescent="0.25">
      <c r="A71" s="2"/>
      <c r="B71" s="4"/>
      <c r="C71" s="18"/>
      <c r="E71" s="20">
        <v>46059</v>
      </c>
      <c r="F71" s="17" t="s">
        <v>232</v>
      </c>
      <c r="G71" s="21">
        <v>12</v>
      </c>
      <c r="H71" s="21">
        <v>18</v>
      </c>
      <c r="I71" s="25">
        <v>0.12333333333333342</v>
      </c>
      <c r="J71" s="21">
        <v>1.8</v>
      </c>
      <c r="K71" s="21">
        <v>0.15000000000000002</v>
      </c>
      <c r="L71" s="21">
        <v>1.08</v>
      </c>
      <c r="M71" s="17" t="s">
        <v>120</v>
      </c>
      <c r="N71" s="17" t="s">
        <v>115</v>
      </c>
      <c r="O71" s="21">
        <v>0.9</v>
      </c>
      <c r="P71" s="21">
        <v>1.08</v>
      </c>
    </row>
    <row r="72" spans="1:16" ht="16.5" x14ac:dyDescent="0.25">
      <c r="A72" s="2"/>
      <c r="B72" s="4"/>
      <c r="C72" s="18"/>
      <c r="E72" s="20">
        <v>46059</v>
      </c>
      <c r="F72" s="17" t="s">
        <v>232</v>
      </c>
      <c r="G72" s="21">
        <v>12</v>
      </c>
      <c r="H72" s="21">
        <v>17.5</v>
      </c>
      <c r="I72" s="25">
        <v>0.10428571428571425</v>
      </c>
      <c r="J72" s="21">
        <v>1.75</v>
      </c>
      <c r="K72" s="21">
        <v>0.15000000000000002</v>
      </c>
      <c r="L72" s="21">
        <v>1.05</v>
      </c>
      <c r="M72" s="17" t="s">
        <v>113</v>
      </c>
      <c r="N72" s="17" t="s">
        <v>115</v>
      </c>
      <c r="O72" s="21">
        <v>0.875</v>
      </c>
      <c r="P72" s="21">
        <v>1.05</v>
      </c>
    </row>
    <row r="73" spans="1:16" ht="16.5" x14ac:dyDescent="0.25">
      <c r="A73" s="2"/>
      <c r="B73" s="4"/>
      <c r="C73" s="18"/>
      <c r="E73" s="20">
        <v>45996</v>
      </c>
      <c r="F73" s="17" t="s">
        <v>233</v>
      </c>
      <c r="G73" s="21">
        <v>11.44</v>
      </c>
      <c r="H73" s="21">
        <v>22.5</v>
      </c>
      <c r="I73" s="25">
        <v>0.10225555555555552</v>
      </c>
      <c r="J73" s="21">
        <v>2.25</v>
      </c>
      <c r="K73" s="21">
        <v>1.56</v>
      </c>
      <c r="L73" s="21">
        <v>4.05</v>
      </c>
      <c r="M73" s="17" t="s">
        <v>121</v>
      </c>
      <c r="N73" s="17" t="s">
        <v>117</v>
      </c>
      <c r="O73" s="21">
        <v>1.125</v>
      </c>
      <c r="P73" s="21">
        <v>5.3842500000000006</v>
      </c>
    </row>
    <row r="74" spans="1:16" ht="16.5" x14ac:dyDescent="0.25">
      <c r="A74" s="2"/>
      <c r="B74" s="4"/>
      <c r="C74" s="18"/>
      <c r="E74" s="20">
        <v>45996</v>
      </c>
      <c r="F74" s="17" t="s">
        <v>233</v>
      </c>
      <c r="G74" s="21">
        <v>11.44</v>
      </c>
      <c r="H74" s="21">
        <v>21.5</v>
      </c>
      <c r="I74" s="25">
        <v>7.8606976744186E-2</v>
      </c>
      <c r="J74" s="21">
        <v>2.15</v>
      </c>
      <c r="K74" s="21">
        <v>1.56</v>
      </c>
      <c r="L74" s="21">
        <v>3.8699999999999997</v>
      </c>
      <c r="M74" s="17" t="s">
        <v>120</v>
      </c>
      <c r="N74" s="17" t="s">
        <v>117</v>
      </c>
      <c r="O74" s="21">
        <v>1.075</v>
      </c>
      <c r="P74" s="21">
        <v>5.1449500000000006</v>
      </c>
    </row>
    <row r="75" spans="1:16" ht="16.5" x14ac:dyDescent="0.25">
      <c r="A75" s="2"/>
      <c r="B75" s="4"/>
      <c r="C75" s="18"/>
      <c r="E75" s="20">
        <v>45996</v>
      </c>
      <c r="F75" s="17" t="s">
        <v>233</v>
      </c>
      <c r="G75" s="21">
        <v>11.44</v>
      </c>
      <c r="H75" s="21">
        <v>20.5</v>
      </c>
      <c r="I75" s="25">
        <v>5.2651219512195049E-2</v>
      </c>
      <c r="J75" s="21">
        <v>2.0500000000000003</v>
      </c>
      <c r="K75" s="21">
        <v>1.56</v>
      </c>
      <c r="L75" s="21">
        <v>3.69</v>
      </c>
      <c r="M75" s="17" t="s">
        <v>113</v>
      </c>
      <c r="N75" s="17" t="s">
        <v>117</v>
      </c>
      <c r="O75" s="21">
        <v>1.0250000000000001</v>
      </c>
      <c r="P75" s="21">
        <v>4.9056500000000005</v>
      </c>
    </row>
    <row r="76" spans="1:16" ht="16.5" x14ac:dyDescent="0.25">
      <c r="A76" s="2"/>
      <c r="B76" s="4"/>
      <c r="C76" s="18"/>
      <c r="E76" s="20">
        <v>45994</v>
      </c>
      <c r="F76" s="17" t="s">
        <v>234</v>
      </c>
      <c r="G76" s="21">
        <v>8</v>
      </c>
      <c r="H76" s="21">
        <v>16</v>
      </c>
      <c r="I76" s="25">
        <v>0.11069999999999994</v>
      </c>
      <c r="J76" s="21">
        <v>1.6</v>
      </c>
      <c r="K76" s="21">
        <v>0</v>
      </c>
      <c r="L76" s="21">
        <v>2.88</v>
      </c>
      <c r="M76" s="17" t="s">
        <v>121</v>
      </c>
      <c r="N76" s="17" t="s">
        <v>117</v>
      </c>
      <c r="O76" s="21">
        <v>0.8</v>
      </c>
      <c r="P76" s="21">
        <v>3.8288000000000002</v>
      </c>
    </row>
    <row r="77" spans="1:16" ht="16.5" x14ac:dyDescent="0.25">
      <c r="A77" s="2"/>
      <c r="B77" s="4"/>
      <c r="C77" s="18"/>
      <c r="E77" s="20">
        <v>45994</v>
      </c>
      <c r="F77" s="17" t="s">
        <v>234</v>
      </c>
      <c r="G77" s="21">
        <v>8</v>
      </c>
      <c r="H77" s="21">
        <v>15</v>
      </c>
      <c r="I77" s="25">
        <v>7.7366666666666598E-2</v>
      </c>
      <c r="J77" s="21">
        <v>1.5</v>
      </c>
      <c r="K77" s="21">
        <v>0</v>
      </c>
      <c r="L77" s="21">
        <v>2.6999999999999997</v>
      </c>
      <c r="M77" s="17" t="s">
        <v>120</v>
      </c>
      <c r="N77" s="17" t="s">
        <v>117</v>
      </c>
      <c r="O77" s="21">
        <v>0.75</v>
      </c>
      <c r="P77" s="21">
        <v>3.5895000000000001</v>
      </c>
    </row>
    <row r="78" spans="1:16" ht="16.5" x14ac:dyDescent="0.25">
      <c r="A78" s="2"/>
      <c r="B78" s="4"/>
      <c r="C78" s="18"/>
      <c r="E78" s="20">
        <v>45994</v>
      </c>
      <c r="F78" s="17" t="s">
        <v>234</v>
      </c>
      <c r="G78" s="21">
        <v>8</v>
      </c>
      <c r="H78" s="21">
        <v>14</v>
      </c>
      <c r="I78" s="25">
        <v>3.9271428571428478E-2</v>
      </c>
      <c r="J78" s="21">
        <v>1.4000000000000001</v>
      </c>
      <c r="K78" s="21">
        <v>0</v>
      </c>
      <c r="L78" s="21">
        <v>2.52</v>
      </c>
      <c r="M78" s="17" t="s">
        <v>113</v>
      </c>
      <c r="N78" s="17" t="s">
        <v>117</v>
      </c>
      <c r="O78" s="21">
        <v>0.70000000000000007</v>
      </c>
      <c r="P78" s="21">
        <v>3.3502000000000001</v>
      </c>
    </row>
    <row r="79" spans="1:16" ht="16.5" x14ac:dyDescent="0.25">
      <c r="A79" s="2"/>
      <c r="B79" s="4"/>
      <c r="C79" s="18"/>
      <c r="E79" s="20">
        <v>45994</v>
      </c>
      <c r="F79" s="17" t="s">
        <v>233</v>
      </c>
      <c r="G79" s="21">
        <v>13</v>
      </c>
      <c r="H79" s="21">
        <v>24.5</v>
      </c>
      <c r="I79" s="25">
        <v>8.0087755102040761E-2</v>
      </c>
      <c r="J79" s="21">
        <v>2.4500000000000002</v>
      </c>
      <c r="K79" s="21">
        <v>0</v>
      </c>
      <c r="L79" s="21">
        <v>4.41</v>
      </c>
      <c r="M79" s="17" t="s">
        <v>121</v>
      </c>
      <c r="N79" s="17" t="s">
        <v>117</v>
      </c>
      <c r="O79" s="21">
        <v>1.2250000000000001</v>
      </c>
      <c r="P79" s="21">
        <v>5.8628499999999999</v>
      </c>
    </row>
    <row r="80" spans="1:16" ht="16.5" x14ac:dyDescent="0.25">
      <c r="A80" s="2"/>
      <c r="B80" s="4"/>
      <c r="C80" s="18"/>
      <c r="E80" s="20">
        <v>45994</v>
      </c>
      <c r="F80" s="17" t="s">
        <v>233</v>
      </c>
      <c r="G80" s="21">
        <v>13</v>
      </c>
      <c r="H80" s="21">
        <v>23.5</v>
      </c>
      <c r="I80" s="25">
        <v>5.7508510638297809E-2</v>
      </c>
      <c r="J80" s="21">
        <v>2.35</v>
      </c>
      <c r="K80" s="21">
        <v>0</v>
      </c>
      <c r="L80" s="21">
        <v>4.2299999999999995</v>
      </c>
      <c r="M80" s="17" t="s">
        <v>120</v>
      </c>
      <c r="N80" s="17" t="s">
        <v>117</v>
      </c>
      <c r="O80" s="21">
        <v>1.175</v>
      </c>
      <c r="P80" s="21">
        <v>5.6235500000000007</v>
      </c>
    </row>
    <row r="81" spans="1:16" ht="16.5" x14ac:dyDescent="0.25">
      <c r="A81" s="2"/>
      <c r="B81" s="4"/>
      <c r="C81" s="18"/>
      <c r="E81" s="20">
        <v>45994</v>
      </c>
      <c r="F81" s="17" t="s">
        <v>233</v>
      </c>
      <c r="G81" s="21">
        <v>13</v>
      </c>
      <c r="H81" s="21">
        <v>22.5</v>
      </c>
      <c r="I81" s="25">
        <v>3.2922222222222151E-2</v>
      </c>
      <c r="J81" s="21">
        <v>2.25</v>
      </c>
      <c r="K81" s="21">
        <v>0</v>
      </c>
      <c r="L81" s="21">
        <v>4.05</v>
      </c>
      <c r="M81" s="17" t="s">
        <v>113</v>
      </c>
      <c r="N81" s="17" t="s">
        <v>117</v>
      </c>
      <c r="O81" s="21">
        <v>1.125</v>
      </c>
      <c r="P81" s="21">
        <v>5.3842500000000006</v>
      </c>
    </row>
    <row r="82" spans="1:16" ht="16.5" x14ac:dyDescent="0.25">
      <c r="A82" s="2"/>
      <c r="B82" s="4"/>
      <c r="C82" s="18"/>
      <c r="E82" s="20">
        <v>45992</v>
      </c>
      <c r="F82" s="17" t="s">
        <v>232</v>
      </c>
      <c r="G82" s="21">
        <v>10.862500000000001</v>
      </c>
      <c r="H82" s="21">
        <v>20</v>
      </c>
      <c r="I82" s="25">
        <v>0.12757500000000005</v>
      </c>
      <c r="J82" s="21">
        <v>2</v>
      </c>
      <c r="K82" s="21">
        <v>0.13750000000000001</v>
      </c>
      <c r="L82" s="21">
        <v>2.4</v>
      </c>
      <c r="M82" s="17" t="s">
        <v>121</v>
      </c>
      <c r="N82" s="17" t="s">
        <v>117</v>
      </c>
      <c r="O82" s="21">
        <v>1</v>
      </c>
      <c r="P82" s="21">
        <v>3.5860000000000003</v>
      </c>
    </row>
    <row r="83" spans="1:16" ht="16.5" x14ac:dyDescent="0.25">
      <c r="A83" s="2"/>
      <c r="B83" s="4"/>
      <c r="C83" s="18"/>
      <c r="E83" s="20">
        <v>45992</v>
      </c>
      <c r="F83" s="17" t="s">
        <v>232</v>
      </c>
      <c r="G83" s="21">
        <v>10.862500000000001</v>
      </c>
      <c r="H83" s="21">
        <v>19.5</v>
      </c>
      <c r="I83" s="25">
        <v>0.11364871794871793</v>
      </c>
      <c r="J83" s="21">
        <v>1.9500000000000002</v>
      </c>
      <c r="K83" s="21">
        <v>0.13750000000000001</v>
      </c>
      <c r="L83" s="21">
        <v>2.34</v>
      </c>
      <c r="M83" s="17" t="s">
        <v>120</v>
      </c>
      <c r="N83" s="17" t="s">
        <v>117</v>
      </c>
      <c r="O83" s="21">
        <v>0.97500000000000009</v>
      </c>
      <c r="P83" s="21">
        <v>3.4963500000000005</v>
      </c>
    </row>
    <row r="84" spans="1:16" ht="16.5" x14ac:dyDescent="0.25">
      <c r="A84" s="2"/>
      <c r="B84" s="4"/>
      <c r="C84" s="18"/>
      <c r="E84" s="20">
        <v>45992</v>
      </c>
      <c r="F84" s="17" t="s">
        <v>232</v>
      </c>
      <c r="G84" s="21">
        <v>10.862500000000001</v>
      </c>
      <c r="H84" s="21">
        <v>19</v>
      </c>
      <c r="I84" s="25">
        <v>9.8989473684210433E-2</v>
      </c>
      <c r="J84" s="21">
        <v>1.9000000000000001</v>
      </c>
      <c r="K84" s="21">
        <v>0.13750000000000001</v>
      </c>
      <c r="L84" s="21">
        <v>2.2799999999999998</v>
      </c>
      <c r="M84" s="17" t="s">
        <v>113</v>
      </c>
      <c r="N84" s="17" t="s">
        <v>117</v>
      </c>
      <c r="O84" s="21">
        <v>0.95000000000000007</v>
      </c>
      <c r="P84" s="21">
        <v>3.4067000000000003</v>
      </c>
    </row>
    <row r="85" spans="1:16" ht="16.5" x14ac:dyDescent="0.25">
      <c r="A85" s="2"/>
      <c r="B85" s="4"/>
      <c r="C85" s="18"/>
      <c r="E85" s="20">
        <v>45992</v>
      </c>
      <c r="F85" s="17" t="s">
        <v>232</v>
      </c>
      <c r="G85" s="21">
        <v>11</v>
      </c>
      <c r="H85" s="21">
        <v>16</v>
      </c>
      <c r="I85" s="25">
        <v>0.16250000000000001</v>
      </c>
      <c r="J85" s="21">
        <v>1.6</v>
      </c>
      <c r="K85" s="21">
        <v>0.13750000000000001</v>
      </c>
      <c r="L85" s="21">
        <v>0</v>
      </c>
      <c r="M85" s="17" t="s">
        <v>121</v>
      </c>
      <c r="N85" s="17" t="s">
        <v>115</v>
      </c>
      <c r="O85" s="21">
        <v>0.8</v>
      </c>
      <c r="P85" s="21">
        <v>0</v>
      </c>
    </row>
    <row r="86" spans="1:16" ht="16.5" x14ac:dyDescent="0.25">
      <c r="A86" s="2"/>
      <c r="B86" s="4"/>
      <c r="C86" s="18"/>
      <c r="E86" s="20">
        <v>45992</v>
      </c>
      <c r="F86" s="17" t="s">
        <v>232</v>
      </c>
      <c r="G86" s="21">
        <v>11</v>
      </c>
      <c r="H86" s="21">
        <v>15.5</v>
      </c>
      <c r="I86" s="25">
        <v>0.14032258064516129</v>
      </c>
      <c r="J86" s="21">
        <v>1.55</v>
      </c>
      <c r="K86" s="21">
        <v>0.13750000000000001</v>
      </c>
      <c r="L86" s="21">
        <v>0</v>
      </c>
      <c r="M86" s="17" t="s">
        <v>120</v>
      </c>
      <c r="N86" s="17" t="s">
        <v>115</v>
      </c>
      <c r="O86" s="21">
        <v>0.77500000000000002</v>
      </c>
      <c r="P86" s="21">
        <v>0</v>
      </c>
    </row>
    <row r="87" spans="1:16" ht="16.5" x14ac:dyDescent="0.25">
      <c r="A87" s="2"/>
      <c r="B87" s="4"/>
      <c r="C87" s="18"/>
      <c r="E87" s="20">
        <v>45992</v>
      </c>
      <c r="F87" s="17" t="s">
        <v>232</v>
      </c>
      <c r="G87" s="21">
        <v>11</v>
      </c>
      <c r="H87" s="21">
        <v>15</v>
      </c>
      <c r="I87" s="25">
        <v>0.11666666666666667</v>
      </c>
      <c r="J87" s="21">
        <v>1.5</v>
      </c>
      <c r="K87" s="21">
        <v>0.13750000000000001</v>
      </c>
      <c r="L87" s="21">
        <v>0</v>
      </c>
      <c r="M87" s="17" t="s">
        <v>113</v>
      </c>
      <c r="N87" s="17" t="s">
        <v>115</v>
      </c>
      <c r="O87" s="21">
        <v>0.75</v>
      </c>
      <c r="P87" s="21">
        <v>0</v>
      </c>
    </row>
    <row r="88" spans="1:16" ht="16.5" x14ac:dyDescent="0.25">
      <c r="A88" s="2"/>
      <c r="B88" s="4"/>
      <c r="C88" s="18"/>
      <c r="E88" s="20">
        <v>45992</v>
      </c>
      <c r="F88" s="17" t="s">
        <v>231</v>
      </c>
      <c r="G88" s="21">
        <v>7.04</v>
      </c>
      <c r="H88" s="21">
        <v>13</v>
      </c>
      <c r="I88" s="25">
        <v>0.12916153846153849</v>
      </c>
      <c r="J88" s="21">
        <v>1.3</v>
      </c>
      <c r="K88" s="21">
        <v>0.96</v>
      </c>
      <c r="L88" s="21">
        <v>1.56</v>
      </c>
      <c r="M88" s="17" t="s">
        <v>121</v>
      </c>
      <c r="N88" s="17" t="s">
        <v>117</v>
      </c>
      <c r="O88" s="21">
        <v>0.65</v>
      </c>
      <c r="P88" s="21">
        <v>2.3309000000000002</v>
      </c>
    </row>
    <row r="89" spans="1:16" ht="16.5" x14ac:dyDescent="0.25">
      <c r="A89" s="2"/>
      <c r="B89" s="4"/>
      <c r="C89" s="18"/>
      <c r="E89" s="20">
        <v>45992</v>
      </c>
      <c r="F89" s="17" t="s">
        <v>231</v>
      </c>
      <c r="G89" s="21">
        <v>7.04</v>
      </c>
      <c r="H89" s="21">
        <v>12.5</v>
      </c>
      <c r="I89" s="25">
        <v>0.10749999999999993</v>
      </c>
      <c r="J89" s="21">
        <v>1.25</v>
      </c>
      <c r="K89" s="21">
        <v>0.96</v>
      </c>
      <c r="L89" s="21">
        <v>1.5</v>
      </c>
      <c r="M89" s="17" t="s">
        <v>120</v>
      </c>
      <c r="N89" s="17" t="s">
        <v>117</v>
      </c>
      <c r="O89" s="21">
        <v>0.625</v>
      </c>
      <c r="P89" s="21">
        <v>2.24125</v>
      </c>
    </row>
    <row r="90" spans="1:16" ht="16.5" x14ac:dyDescent="0.25">
      <c r="A90" s="2"/>
      <c r="B90" s="4"/>
      <c r="C90" s="18"/>
      <c r="E90" s="20">
        <v>45992</v>
      </c>
      <c r="F90" s="17" t="s">
        <v>231</v>
      </c>
      <c r="G90" s="21">
        <v>7.04</v>
      </c>
      <c r="H90" s="21">
        <v>12</v>
      </c>
      <c r="I90" s="25">
        <v>8.4033333333333293E-2</v>
      </c>
      <c r="J90" s="21">
        <v>1.2000000000000002</v>
      </c>
      <c r="K90" s="21">
        <v>0.96</v>
      </c>
      <c r="L90" s="21">
        <v>1.44</v>
      </c>
      <c r="M90" s="17" t="s">
        <v>113</v>
      </c>
      <c r="N90" s="17" t="s">
        <v>117</v>
      </c>
      <c r="O90" s="21">
        <v>0.60000000000000009</v>
      </c>
      <c r="P90" s="21">
        <v>2.1516000000000002</v>
      </c>
    </row>
    <row r="91" spans="1:16" ht="16.5" x14ac:dyDescent="0.25">
      <c r="A91" s="2"/>
      <c r="B91" s="4"/>
      <c r="C91" s="18"/>
      <c r="E91" s="20">
        <v>45992</v>
      </c>
      <c r="F91" s="17" t="s">
        <v>231</v>
      </c>
      <c r="G91" s="21">
        <v>7.04</v>
      </c>
      <c r="H91" s="21">
        <v>12</v>
      </c>
      <c r="I91" s="25">
        <v>8.4033333333333293E-2</v>
      </c>
      <c r="J91" s="21">
        <v>1.2000000000000002</v>
      </c>
      <c r="K91" s="21">
        <v>0.96</v>
      </c>
      <c r="L91" s="21">
        <v>1.44</v>
      </c>
      <c r="M91" s="17" t="s">
        <v>120</v>
      </c>
      <c r="N91" s="17" t="s">
        <v>117</v>
      </c>
      <c r="O91" s="21">
        <v>0.60000000000000009</v>
      </c>
      <c r="P91" s="21">
        <v>2.1516000000000002</v>
      </c>
    </row>
    <row r="92" spans="1:16" ht="16.5" x14ac:dyDescent="0.25">
      <c r="A92" s="2"/>
      <c r="B92" s="4"/>
      <c r="C92" s="18"/>
      <c r="E92" s="20">
        <v>45992</v>
      </c>
      <c r="F92" s="17" t="s">
        <v>231</v>
      </c>
      <c r="G92" s="21">
        <v>7.04</v>
      </c>
      <c r="H92" s="21">
        <v>11.9</v>
      </c>
      <c r="I92" s="25">
        <v>7.910336134453777E-2</v>
      </c>
      <c r="J92" s="21">
        <v>1.1900000000000002</v>
      </c>
      <c r="K92" s="21">
        <v>0.96</v>
      </c>
      <c r="L92" s="21">
        <v>1.4279999999999999</v>
      </c>
      <c r="M92" s="17" t="s">
        <v>113</v>
      </c>
      <c r="N92" s="17" t="s">
        <v>117</v>
      </c>
      <c r="O92" s="21">
        <v>0.59500000000000008</v>
      </c>
      <c r="P92" s="21">
        <v>2.1336700000000004</v>
      </c>
    </row>
    <row r="93" spans="1:16" ht="16.5" x14ac:dyDescent="0.25">
      <c r="A93" s="2"/>
      <c r="B93" s="4"/>
      <c r="C93" s="18"/>
      <c r="E93" s="20">
        <v>45992</v>
      </c>
      <c r="F93" s="17" t="s">
        <v>231</v>
      </c>
      <c r="G93" s="21">
        <v>8</v>
      </c>
      <c r="H93" s="21">
        <v>11.5</v>
      </c>
      <c r="I93" s="25">
        <v>0.15434782608695649</v>
      </c>
      <c r="J93" s="21">
        <v>1.1500000000000001</v>
      </c>
      <c r="K93" s="21">
        <v>0.96</v>
      </c>
      <c r="L93" s="21">
        <v>0</v>
      </c>
      <c r="M93" s="17" t="s">
        <v>121</v>
      </c>
      <c r="N93" s="17" t="s">
        <v>115</v>
      </c>
      <c r="O93" s="21">
        <v>0.57500000000000007</v>
      </c>
      <c r="P93" s="21">
        <v>0</v>
      </c>
    </row>
    <row r="94" spans="1:16" ht="16.5" x14ac:dyDescent="0.25">
      <c r="A94" s="2"/>
      <c r="B94" s="4"/>
      <c r="C94" s="18"/>
      <c r="E94" s="20">
        <v>45992</v>
      </c>
      <c r="F94" s="17" t="s">
        <v>231</v>
      </c>
      <c r="G94" s="21">
        <v>8</v>
      </c>
      <c r="H94" s="21">
        <v>11</v>
      </c>
      <c r="I94" s="25">
        <v>0.12272727272727274</v>
      </c>
      <c r="J94" s="21">
        <v>1.1000000000000001</v>
      </c>
      <c r="K94" s="21">
        <v>0.96</v>
      </c>
      <c r="L94" s="21">
        <v>0</v>
      </c>
      <c r="M94" s="17" t="s">
        <v>120</v>
      </c>
      <c r="N94" s="17" t="s">
        <v>115</v>
      </c>
      <c r="O94" s="21">
        <v>0.55000000000000004</v>
      </c>
      <c r="P94" s="21">
        <v>0</v>
      </c>
    </row>
    <row r="95" spans="1:16" ht="16.5" x14ac:dyDescent="0.25">
      <c r="A95" s="2"/>
      <c r="B95" s="4"/>
      <c r="C95" s="18"/>
      <c r="E95" s="20">
        <v>45992</v>
      </c>
      <c r="F95" s="17" t="s">
        <v>231</v>
      </c>
      <c r="G95" s="21">
        <v>8</v>
      </c>
      <c r="H95" s="21">
        <v>10.5</v>
      </c>
      <c r="I95" s="25">
        <v>8.8095238095238101E-2</v>
      </c>
      <c r="J95" s="21">
        <v>1.05</v>
      </c>
      <c r="K95" s="21">
        <v>0.96</v>
      </c>
      <c r="L95" s="21">
        <v>0</v>
      </c>
      <c r="M95" s="17" t="s">
        <v>113</v>
      </c>
      <c r="N95" s="17" t="s">
        <v>115</v>
      </c>
      <c r="O95" s="21">
        <v>0.52500000000000002</v>
      </c>
      <c r="P95" s="21">
        <v>0</v>
      </c>
    </row>
    <row r="96" spans="1:16" ht="16.5" x14ac:dyDescent="0.25">
      <c r="A96" s="2"/>
      <c r="B96" s="4"/>
      <c r="C96" s="18"/>
      <c r="E96" s="20">
        <v>45992</v>
      </c>
      <c r="F96" s="17" t="s">
        <v>230</v>
      </c>
      <c r="G96" s="21">
        <v>13</v>
      </c>
      <c r="H96" s="21">
        <v>17.5</v>
      </c>
      <c r="I96" s="25">
        <v>0.10714285714285714</v>
      </c>
      <c r="J96" s="21">
        <v>1.75</v>
      </c>
      <c r="K96" s="21">
        <v>1.56</v>
      </c>
      <c r="L96" s="21">
        <v>0</v>
      </c>
      <c r="M96" s="17" t="s">
        <v>121</v>
      </c>
      <c r="N96" s="17" t="s">
        <v>115</v>
      </c>
      <c r="O96" s="21">
        <v>0.875</v>
      </c>
      <c r="P96" s="21">
        <v>0</v>
      </c>
    </row>
    <row r="97" spans="1:16" ht="16.5" x14ac:dyDescent="0.25">
      <c r="A97" s="2"/>
      <c r="B97" s="4"/>
      <c r="C97" s="18"/>
      <c r="E97" s="20">
        <v>45992</v>
      </c>
      <c r="F97" s="17" t="s">
        <v>230</v>
      </c>
      <c r="G97" s="21">
        <v>13</v>
      </c>
      <c r="H97" s="21">
        <v>17</v>
      </c>
      <c r="I97" s="25">
        <v>8.5294117647058812E-2</v>
      </c>
      <c r="J97" s="21">
        <v>1.7000000000000002</v>
      </c>
      <c r="K97" s="21">
        <v>1.56</v>
      </c>
      <c r="L97" s="21">
        <v>0</v>
      </c>
      <c r="M97" s="17" t="s">
        <v>120</v>
      </c>
      <c r="N97" s="17" t="s">
        <v>115</v>
      </c>
      <c r="O97" s="21">
        <v>0.85000000000000009</v>
      </c>
      <c r="P97" s="21">
        <v>0</v>
      </c>
    </row>
    <row r="98" spans="1:16" ht="16.5" x14ac:dyDescent="0.25">
      <c r="A98" s="2"/>
      <c r="B98" s="4"/>
      <c r="C98" s="18"/>
      <c r="E98" s="20">
        <v>45992</v>
      </c>
      <c r="F98" s="17" t="s">
        <v>230</v>
      </c>
      <c r="G98" s="21">
        <v>13</v>
      </c>
      <c r="H98" s="21">
        <v>16.5</v>
      </c>
      <c r="I98" s="25">
        <v>6.2121212121212105E-2</v>
      </c>
      <c r="J98" s="21">
        <v>1.6500000000000001</v>
      </c>
      <c r="K98" s="21">
        <v>1.56</v>
      </c>
      <c r="L98" s="21">
        <v>0</v>
      </c>
      <c r="M98" s="17" t="s">
        <v>113</v>
      </c>
      <c r="N98" s="17" t="s">
        <v>115</v>
      </c>
      <c r="O98" s="21">
        <v>0.82500000000000007</v>
      </c>
      <c r="P98" s="21">
        <v>0</v>
      </c>
    </row>
    <row r="99" spans="1:16" ht="16.5" x14ac:dyDescent="0.25">
      <c r="A99" s="2"/>
      <c r="B99" s="4"/>
      <c r="C99" s="18"/>
      <c r="E99" s="20">
        <v>45992</v>
      </c>
      <c r="F99" s="17" t="s">
        <v>230</v>
      </c>
      <c r="G99" s="21">
        <v>11.44</v>
      </c>
      <c r="H99" s="21">
        <v>19.5</v>
      </c>
      <c r="I99" s="25">
        <v>8.4033333333333363E-2</v>
      </c>
      <c r="J99" s="21">
        <v>1.9500000000000002</v>
      </c>
      <c r="K99" s="21">
        <v>1.56</v>
      </c>
      <c r="L99" s="21">
        <v>2.34</v>
      </c>
      <c r="M99" s="17" t="s">
        <v>121</v>
      </c>
      <c r="N99" s="17" t="s">
        <v>117</v>
      </c>
      <c r="O99" s="21">
        <v>0.97500000000000009</v>
      </c>
      <c r="P99" s="21">
        <v>3.4963500000000005</v>
      </c>
    </row>
    <row r="100" spans="1:16" ht="16.5" x14ac:dyDescent="0.25">
      <c r="A100" s="2"/>
      <c r="B100" s="4"/>
      <c r="C100" s="18"/>
      <c r="E100" s="20">
        <v>45992</v>
      </c>
      <c r="F100" s="17" t="s">
        <v>230</v>
      </c>
      <c r="G100" s="21">
        <v>11.44</v>
      </c>
      <c r="H100" s="21">
        <v>19</v>
      </c>
      <c r="I100" s="25">
        <v>6.8594736842105236E-2</v>
      </c>
      <c r="J100" s="21">
        <v>1.9000000000000001</v>
      </c>
      <c r="K100" s="21">
        <v>1.56</v>
      </c>
      <c r="L100" s="21">
        <v>2.2799999999999998</v>
      </c>
      <c r="M100" s="17" t="s">
        <v>120</v>
      </c>
      <c r="N100" s="17" t="s">
        <v>117</v>
      </c>
      <c r="O100" s="21">
        <v>0.95000000000000007</v>
      </c>
      <c r="P100" s="21">
        <v>3.4067000000000003</v>
      </c>
    </row>
    <row r="101" spans="1:16" ht="16.5" x14ac:dyDescent="0.25">
      <c r="A101" s="2"/>
      <c r="B101" s="4"/>
      <c r="C101" s="18"/>
      <c r="E101" s="20">
        <v>45992</v>
      </c>
      <c r="F101" s="17" t="s">
        <v>230</v>
      </c>
      <c r="G101" s="21">
        <v>11.44</v>
      </c>
      <c r="H101" s="21">
        <v>18.5</v>
      </c>
      <c r="I101" s="25">
        <v>5.2321621621621649E-2</v>
      </c>
      <c r="J101" s="21">
        <v>1.85</v>
      </c>
      <c r="K101" s="21">
        <v>1.56</v>
      </c>
      <c r="L101" s="21">
        <v>2.2199999999999998</v>
      </c>
      <c r="M101" s="17" t="s">
        <v>113</v>
      </c>
      <c r="N101" s="17" t="s">
        <v>117</v>
      </c>
      <c r="O101" s="21">
        <v>0.92500000000000004</v>
      </c>
      <c r="P101" s="21">
        <v>3.3170500000000001</v>
      </c>
    </row>
    <row r="102" spans="1:16" ht="16.5" x14ac:dyDescent="0.25">
      <c r="A102" s="2"/>
      <c r="B102" s="4"/>
      <c r="C102" s="18"/>
      <c r="E102" s="20">
        <v>45749</v>
      </c>
      <c r="F102" s="17" t="s">
        <v>136</v>
      </c>
      <c r="G102" s="21">
        <v>14.08</v>
      </c>
      <c r="H102" s="21">
        <v>24</v>
      </c>
      <c r="I102" s="25">
        <v>0.12053333333333334</v>
      </c>
      <c r="J102" s="21">
        <v>2.4000000000000004</v>
      </c>
      <c r="K102" s="21">
        <v>1.92</v>
      </c>
      <c r="L102" s="21">
        <v>2.88</v>
      </c>
      <c r="M102" s="17" t="s">
        <v>121</v>
      </c>
      <c r="N102" s="17" t="s">
        <v>117</v>
      </c>
      <c r="O102" s="21">
        <v>1.2000000000000002</v>
      </c>
      <c r="P102" s="21">
        <v>3.4272</v>
      </c>
    </row>
    <row r="103" spans="1:16" ht="16.5" x14ac:dyDescent="0.25">
      <c r="A103" s="2"/>
      <c r="B103" s="4"/>
      <c r="C103" s="18"/>
      <c r="E103" s="20">
        <v>45749</v>
      </c>
      <c r="F103" s="17" t="s">
        <v>136</v>
      </c>
      <c r="G103" s="21">
        <v>14.08</v>
      </c>
      <c r="H103" s="21">
        <v>23.5</v>
      </c>
      <c r="I103" s="25">
        <v>0.10805106382978714</v>
      </c>
      <c r="J103" s="21">
        <v>2.35</v>
      </c>
      <c r="K103" s="21">
        <v>1.92</v>
      </c>
      <c r="L103" s="21">
        <v>2.82</v>
      </c>
      <c r="M103" s="17" t="s">
        <v>120</v>
      </c>
      <c r="N103" s="17" t="s">
        <v>117</v>
      </c>
      <c r="O103" s="21">
        <v>1.175</v>
      </c>
      <c r="P103" s="21">
        <v>3.3558000000000003</v>
      </c>
    </row>
    <row r="104" spans="1:16" ht="16.5" x14ac:dyDescent="0.25">
      <c r="A104" s="2"/>
      <c r="B104" s="4"/>
      <c r="C104" s="18"/>
      <c r="E104" s="20">
        <v>45749</v>
      </c>
      <c r="F104" s="17" t="s">
        <v>136</v>
      </c>
      <c r="G104" s="21">
        <v>14.08</v>
      </c>
      <c r="H104" s="21">
        <v>23</v>
      </c>
      <c r="I104" s="25">
        <v>9.5026086956521635E-2</v>
      </c>
      <c r="J104" s="21">
        <v>2.3000000000000003</v>
      </c>
      <c r="K104" s="21">
        <v>1.92</v>
      </c>
      <c r="L104" s="21">
        <v>2.76</v>
      </c>
      <c r="M104" s="17" t="s">
        <v>113</v>
      </c>
      <c r="N104" s="17" t="s">
        <v>117</v>
      </c>
      <c r="O104" s="21">
        <v>1.1500000000000001</v>
      </c>
      <c r="P104" s="21">
        <v>3.2844000000000002</v>
      </c>
    </row>
    <row r="105" spans="1:16" ht="16.5" x14ac:dyDescent="0.25">
      <c r="A105" s="2"/>
      <c r="B105" s="4"/>
      <c r="C105" s="18"/>
      <c r="E105" s="20">
        <v>45749</v>
      </c>
      <c r="F105" s="17" t="s">
        <v>136</v>
      </c>
      <c r="G105" s="21">
        <v>16</v>
      </c>
      <c r="H105" s="21">
        <v>22</v>
      </c>
      <c r="I105" s="25">
        <v>0.12272727272727274</v>
      </c>
      <c r="J105" s="21">
        <v>2.2000000000000002</v>
      </c>
      <c r="K105" s="21">
        <v>1.92</v>
      </c>
      <c r="L105" s="21">
        <v>0</v>
      </c>
      <c r="M105" s="17" t="s">
        <v>121</v>
      </c>
      <c r="N105" s="17" t="s">
        <v>115</v>
      </c>
      <c r="O105" s="21">
        <v>1.1000000000000001</v>
      </c>
      <c r="P105" s="21">
        <v>0</v>
      </c>
    </row>
    <row r="106" spans="1:16" ht="16.5" x14ac:dyDescent="0.25">
      <c r="A106" s="2"/>
      <c r="B106" s="4"/>
      <c r="C106" s="18"/>
      <c r="E106" s="20">
        <v>45749</v>
      </c>
      <c r="F106" s="17" t="s">
        <v>136</v>
      </c>
      <c r="G106" s="21">
        <v>16</v>
      </c>
      <c r="H106" s="21">
        <v>21.5</v>
      </c>
      <c r="I106" s="25">
        <v>0.1058139534883721</v>
      </c>
      <c r="J106" s="21">
        <v>2.15</v>
      </c>
      <c r="K106" s="21">
        <v>1.92</v>
      </c>
      <c r="L106" s="21">
        <v>0</v>
      </c>
      <c r="M106" s="17" t="s">
        <v>120</v>
      </c>
      <c r="N106" s="17" t="s">
        <v>115</v>
      </c>
      <c r="O106" s="21">
        <v>1.075</v>
      </c>
      <c r="P106" s="21">
        <v>0</v>
      </c>
    </row>
    <row r="107" spans="1:16" ht="16.5" x14ac:dyDescent="0.25">
      <c r="A107" s="2"/>
      <c r="B107" s="4"/>
      <c r="C107" s="18"/>
      <c r="E107" s="20">
        <v>45749</v>
      </c>
      <c r="F107" s="17" t="s">
        <v>136</v>
      </c>
      <c r="G107" s="21">
        <v>16</v>
      </c>
      <c r="H107" s="21">
        <v>21</v>
      </c>
      <c r="I107" s="25">
        <v>8.8095238095238101E-2</v>
      </c>
      <c r="J107" s="21">
        <v>2.1</v>
      </c>
      <c r="K107" s="21">
        <v>1.92</v>
      </c>
      <c r="L107" s="21">
        <v>0</v>
      </c>
      <c r="M107" s="17" t="s">
        <v>113</v>
      </c>
      <c r="N107" s="17" t="s">
        <v>115</v>
      </c>
      <c r="O107" s="21">
        <v>1.05</v>
      </c>
      <c r="P107" s="21">
        <v>0</v>
      </c>
    </row>
    <row r="108" spans="1:16" ht="16.5" x14ac:dyDescent="0.25">
      <c r="A108" s="2"/>
      <c r="B108" s="4"/>
      <c r="C108" s="18"/>
      <c r="E108" s="20">
        <v>45749</v>
      </c>
      <c r="F108" s="17" t="s">
        <v>137</v>
      </c>
      <c r="G108" s="21">
        <v>7.92</v>
      </c>
      <c r="H108" s="21">
        <v>14</v>
      </c>
      <c r="I108" s="25">
        <v>0.14148571428571427</v>
      </c>
      <c r="J108" s="21">
        <v>1.4000000000000001</v>
      </c>
      <c r="K108" s="21">
        <v>1.08</v>
      </c>
      <c r="L108" s="21">
        <v>1.68</v>
      </c>
      <c r="M108" s="17" t="s">
        <v>121</v>
      </c>
      <c r="N108" s="17" t="s">
        <v>117</v>
      </c>
      <c r="O108" s="21">
        <v>0.70000000000000007</v>
      </c>
      <c r="P108" s="21">
        <v>1.9992000000000001</v>
      </c>
    </row>
    <row r="109" spans="1:16" ht="16.5" x14ac:dyDescent="0.25">
      <c r="A109" s="2"/>
      <c r="B109" s="4"/>
      <c r="C109" s="18"/>
      <c r="E109" s="20">
        <v>45749</v>
      </c>
      <c r="F109" s="17" t="s">
        <v>137</v>
      </c>
      <c r="G109" s="21">
        <v>7.92</v>
      </c>
      <c r="H109" s="21">
        <v>13.5</v>
      </c>
      <c r="I109" s="25">
        <v>0.12053333333333338</v>
      </c>
      <c r="J109" s="21">
        <v>1.35</v>
      </c>
      <c r="K109" s="21">
        <v>1.08</v>
      </c>
      <c r="L109" s="21">
        <v>1.6199999999999999</v>
      </c>
      <c r="M109" s="17" t="s">
        <v>120</v>
      </c>
      <c r="N109" s="17" t="s">
        <v>117</v>
      </c>
      <c r="O109" s="21">
        <v>0.67500000000000004</v>
      </c>
      <c r="P109" s="21">
        <v>1.9278000000000002</v>
      </c>
    </row>
    <row r="110" spans="1:16" ht="16.5" x14ac:dyDescent="0.25">
      <c r="A110" s="2"/>
      <c r="B110" s="4"/>
      <c r="C110" s="18"/>
      <c r="E110" s="20">
        <v>45749</v>
      </c>
      <c r="F110" s="17" t="s">
        <v>137</v>
      </c>
      <c r="G110" s="21">
        <v>7.92</v>
      </c>
      <c r="H110" s="21">
        <v>13</v>
      </c>
      <c r="I110" s="25">
        <v>9.7969230769230725E-2</v>
      </c>
      <c r="J110" s="21">
        <v>1.3</v>
      </c>
      <c r="K110" s="21">
        <v>1.08</v>
      </c>
      <c r="L110" s="21">
        <v>1.56</v>
      </c>
      <c r="M110" s="17" t="s">
        <v>113</v>
      </c>
      <c r="N110" s="17" t="s">
        <v>117</v>
      </c>
      <c r="O110" s="21">
        <v>0.65</v>
      </c>
      <c r="P110" s="21">
        <v>1.8564000000000001</v>
      </c>
    </row>
    <row r="111" spans="1:16" ht="16.5" x14ac:dyDescent="0.25">
      <c r="A111" s="2"/>
      <c r="B111" s="4"/>
      <c r="C111" s="18"/>
      <c r="E111" s="20">
        <v>45749</v>
      </c>
      <c r="F111" s="17" t="s">
        <v>137</v>
      </c>
      <c r="G111" s="21">
        <v>9</v>
      </c>
      <c r="H111" s="21">
        <v>13</v>
      </c>
      <c r="I111" s="25">
        <v>0.15769230769230769</v>
      </c>
      <c r="J111" s="21">
        <v>1.3</v>
      </c>
      <c r="K111" s="21">
        <v>1.08</v>
      </c>
      <c r="L111" s="21">
        <v>0</v>
      </c>
      <c r="M111" s="17" t="s">
        <v>121</v>
      </c>
      <c r="N111" s="17" t="s">
        <v>115</v>
      </c>
      <c r="O111" s="21">
        <v>0.65</v>
      </c>
      <c r="P111" s="21">
        <v>0</v>
      </c>
    </row>
    <row r="112" spans="1:16" ht="16.5" x14ac:dyDescent="0.25">
      <c r="A112" s="2"/>
      <c r="B112" s="4"/>
      <c r="C112" s="18"/>
      <c r="E112" s="20">
        <v>45749</v>
      </c>
      <c r="F112" s="17" t="s">
        <v>137</v>
      </c>
      <c r="G112" s="21">
        <v>9</v>
      </c>
      <c r="H112" s="21">
        <v>12.5</v>
      </c>
      <c r="I112" s="25">
        <v>0.13</v>
      </c>
      <c r="J112" s="21">
        <v>1.25</v>
      </c>
      <c r="K112" s="21">
        <v>1.08</v>
      </c>
      <c r="L112" s="21">
        <v>0</v>
      </c>
      <c r="M112" s="17" t="s">
        <v>120</v>
      </c>
      <c r="N112" s="17" t="s">
        <v>115</v>
      </c>
      <c r="O112" s="21">
        <v>0.625</v>
      </c>
      <c r="P112" s="21">
        <v>0</v>
      </c>
    </row>
    <row r="113" spans="1:16" ht="16.5" x14ac:dyDescent="0.25">
      <c r="A113" s="2"/>
      <c r="B113" s="4"/>
      <c r="C113" s="18"/>
      <c r="E113" s="20">
        <v>45749</v>
      </c>
      <c r="F113" s="17" t="s">
        <v>137</v>
      </c>
      <c r="G113" s="21">
        <v>9</v>
      </c>
      <c r="H113" s="21">
        <v>12</v>
      </c>
      <c r="I113" s="25">
        <v>9.9999999999999978E-2</v>
      </c>
      <c r="J113" s="21">
        <v>1.2000000000000002</v>
      </c>
      <c r="K113" s="21">
        <v>1.08</v>
      </c>
      <c r="L113" s="21">
        <v>0</v>
      </c>
      <c r="M113" s="17" t="s">
        <v>113</v>
      </c>
      <c r="N113" s="17" t="s">
        <v>115</v>
      </c>
      <c r="O113" s="21">
        <v>0.60000000000000009</v>
      </c>
      <c r="P113" s="21">
        <v>0</v>
      </c>
    </row>
    <row r="114" spans="1:16" ht="16.5" x14ac:dyDescent="0.25">
      <c r="A114" s="2"/>
      <c r="B114" s="4"/>
      <c r="C114" s="18"/>
      <c r="E114" s="20">
        <v>45744</v>
      </c>
      <c r="F114" s="17" t="s">
        <v>203</v>
      </c>
      <c r="G114" s="21">
        <v>15.590400000000001</v>
      </c>
      <c r="H114" s="21">
        <v>25.5</v>
      </c>
      <c r="I114" s="25">
        <v>9.5811764705882263E-2</v>
      </c>
      <c r="J114" s="21">
        <v>2.5500000000000003</v>
      </c>
      <c r="K114" s="21">
        <v>0.40960000000000002</v>
      </c>
      <c r="L114" s="21">
        <v>3.06</v>
      </c>
      <c r="M114" s="17" t="s">
        <v>121</v>
      </c>
      <c r="N114" s="17" t="s">
        <v>117</v>
      </c>
      <c r="O114" s="21">
        <v>1.2750000000000001</v>
      </c>
      <c r="P114" s="21">
        <v>3.6414000000000004</v>
      </c>
    </row>
    <row r="115" spans="1:16" ht="16.5" x14ac:dyDescent="0.25">
      <c r="A115" s="2"/>
      <c r="B115" s="4"/>
      <c r="C115" s="18"/>
      <c r="E115" s="20">
        <v>45744</v>
      </c>
      <c r="F115" s="17" t="s">
        <v>203</v>
      </c>
      <c r="G115" s="21">
        <v>15.590400000000001</v>
      </c>
      <c r="H115" s="21">
        <v>25</v>
      </c>
      <c r="I115" s="25">
        <v>8.3583999999999964E-2</v>
      </c>
      <c r="J115" s="21">
        <v>2.5</v>
      </c>
      <c r="K115" s="21">
        <v>0.40960000000000002</v>
      </c>
      <c r="L115" s="21">
        <v>3</v>
      </c>
      <c r="M115" s="17" t="s">
        <v>120</v>
      </c>
      <c r="N115" s="17" t="s">
        <v>117</v>
      </c>
      <c r="O115" s="21">
        <v>1.25</v>
      </c>
      <c r="P115" s="21">
        <v>3.5700000000000003</v>
      </c>
    </row>
    <row r="116" spans="1:16" ht="16.5" x14ac:dyDescent="0.25">
      <c r="A116" s="2"/>
      <c r="B116" s="4"/>
      <c r="C116" s="18"/>
      <c r="E116" s="20">
        <v>45744</v>
      </c>
      <c r="F116" s="17" t="s">
        <v>203</v>
      </c>
      <c r="G116" s="21">
        <v>15.590400000000001</v>
      </c>
      <c r="H116" s="21">
        <v>24.5</v>
      </c>
      <c r="I116" s="25">
        <v>7.0857142857142841E-2</v>
      </c>
      <c r="J116" s="21">
        <v>2.4500000000000002</v>
      </c>
      <c r="K116" s="21">
        <v>0.40960000000000002</v>
      </c>
      <c r="L116" s="21">
        <v>2.94</v>
      </c>
      <c r="M116" s="17" t="s">
        <v>113</v>
      </c>
      <c r="N116" s="17" t="s">
        <v>117</v>
      </c>
      <c r="O116" s="21">
        <v>1.2250000000000001</v>
      </c>
      <c r="P116" s="21">
        <v>3.4986000000000002</v>
      </c>
    </row>
    <row r="117" spans="1:16" ht="16.5" x14ac:dyDescent="0.25">
      <c r="A117" s="2"/>
      <c r="B117" s="4"/>
      <c r="C117" s="18"/>
      <c r="E117" s="20">
        <v>45744</v>
      </c>
      <c r="F117" s="17" t="s">
        <v>203</v>
      </c>
      <c r="G117" s="21">
        <v>16</v>
      </c>
      <c r="H117" s="21">
        <v>23.5</v>
      </c>
      <c r="I117" s="25">
        <v>0.11414893617021275</v>
      </c>
      <c r="J117" s="21">
        <v>2.35</v>
      </c>
      <c r="K117" s="21">
        <v>0</v>
      </c>
      <c r="L117" s="21">
        <v>1.2925</v>
      </c>
      <c r="M117" s="17" t="s">
        <v>121</v>
      </c>
      <c r="N117" s="17" t="s">
        <v>116</v>
      </c>
      <c r="O117" s="21">
        <v>1.175</v>
      </c>
      <c r="P117" s="21">
        <v>1.2925</v>
      </c>
    </row>
    <row r="118" spans="1:16" ht="16.5" x14ac:dyDescent="0.25">
      <c r="A118" s="2"/>
      <c r="B118" s="4"/>
      <c r="C118" s="18"/>
      <c r="E118" s="20">
        <v>45744</v>
      </c>
      <c r="F118" s="17" t="s">
        <v>203</v>
      </c>
      <c r="G118" s="21">
        <v>16</v>
      </c>
      <c r="H118" s="21">
        <v>23</v>
      </c>
      <c r="I118" s="25">
        <v>9.934782608695647E-2</v>
      </c>
      <c r="J118" s="21">
        <v>2.3000000000000003</v>
      </c>
      <c r="K118" s="21">
        <v>0</v>
      </c>
      <c r="L118" s="21">
        <v>1.2649999999999999</v>
      </c>
      <c r="M118" s="17" t="s">
        <v>120</v>
      </c>
      <c r="N118" s="17" t="s">
        <v>116</v>
      </c>
      <c r="O118" s="21">
        <v>1.1500000000000001</v>
      </c>
      <c r="P118" s="21">
        <v>1.2649999999999999</v>
      </c>
    </row>
    <row r="119" spans="1:16" ht="16.5" x14ac:dyDescent="0.25">
      <c r="A119" s="2"/>
      <c r="B119" s="4"/>
      <c r="C119" s="18"/>
      <c r="E119" s="20">
        <v>45744</v>
      </c>
      <c r="F119" s="17" t="s">
        <v>203</v>
      </c>
      <c r="G119" s="21">
        <v>16</v>
      </c>
      <c r="H119" s="21">
        <v>22.5</v>
      </c>
      <c r="I119" s="25">
        <v>8.388888888888886E-2</v>
      </c>
      <c r="J119" s="21">
        <v>2.25</v>
      </c>
      <c r="K119" s="21">
        <v>0</v>
      </c>
      <c r="L119" s="21">
        <v>1.2375</v>
      </c>
      <c r="M119" s="17" t="s">
        <v>113</v>
      </c>
      <c r="N119" s="17" t="s">
        <v>116</v>
      </c>
      <c r="O119" s="21">
        <v>1.125</v>
      </c>
      <c r="P119" s="21">
        <v>1.2375</v>
      </c>
    </row>
    <row r="120" spans="1:16" ht="16.5" x14ac:dyDescent="0.25">
      <c r="A120" s="2"/>
      <c r="B120" s="4"/>
      <c r="C120" s="18"/>
      <c r="E120" s="20">
        <v>45744</v>
      </c>
      <c r="F120" s="17" t="s">
        <v>203</v>
      </c>
      <c r="G120" s="21">
        <v>16</v>
      </c>
      <c r="H120" s="21">
        <v>21.5</v>
      </c>
      <c r="I120" s="25">
        <v>0.1058139534883721</v>
      </c>
      <c r="J120" s="21">
        <v>2.15</v>
      </c>
      <c r="K120" s="21">
        <v>0.40960000000000002</v>
      </c>
      <c r="L120" s="21">
        <v>0</v>
      </c>
      <c r="M120" s="17" t="s">
        <v>121</v>
      </c>
      <c r="N120" s="17" t="s">
        <v>115</v>
      </c>
      <c r="O120" s="21">
        <v>1.075</v>
      </c>
      <c r="P120" s="21">
        <v>0</v>
      </c>
    </row>
    <row r="121" spans="1:16" ht="16.5" x14ac:dyDescent="0.25">
      <c r="A121" s="2"/>
      <c r="B121" s="4"/>
      <c r="C121" s="18"/>
      <c r="E121" s="20">
        <v>45744</v>
      </c>
      <c r="F121" s="17" t="s">
        <v>203</v>
      </c>
      <c r="G121" s="21">
        <v>16</v>
      </c>
      <c r="H121" s="21">
        <v>21</v>
      </c>
      <c r="I121" s="25">
        <v>8.8095238095238101E-2</v>
      </c>
      <c r="J121" s="21">
        <v>2.1</v>
      </c>
      <c r="K121" s="21">
        <v>0.40960000000000002</v>
      </c>
      <c r="L121" s="21">
        <v>0</v>
      </c>
      <c r="M121" s="17" t="s">
        <v>120</v>
      </c>
      <c r="N121" s="17" t="s">
        <v>115</v>
      </c>
      <c r="O121" s="21">
        <v>1.05</v>
      </c>
      <c r="P121" s="21">
        <v>0</v>
      </c>
    </row>
    <row r="122" spans="1:16" ht="16.5" x14ac:dyDescent="0.25">
      <c r="A122" s="2"/>
      <c r="B122" s="4"/>
      <c r="C122" s="18"/>
      <c r="E122" s="20">
        <v>45744</v>
      </c>
      <c r="F122" s="17" t="s">
        <v>203</v>
      </c>
      <c r="G122" s="21">
        <v>16</v>
      </c>
      <c r="H122" s="21">
        <v>20.5</v>
      </c>
      <c r="I122" s="25">
        <v>6.9512195121951184E-2</v>
      </c>
      <c r="J122" s="21">
        <v>2.0500000000000003</v>
      </c>
      <c r="K122" s="21">
        <v>0.40960000000000002</v>
      </c>
      <c r="L122" s="21">
        <v>0</v>
      </c>
      <c r="M122" s="17" t="s">
        <v>113</v>
      </c>
      <c r="N122" s="17" t="s">
        <v>115</v>
      </c>
      <c r="O122" s="21">
        <v>1.0250000000000001</v>
      </c>
      <c r="P122" s="21">
        <v>0</v>
      </c>
    </row>
    <row r="123" spans="1:16" ht="16.5" x14ac:dyDescent="0.25">
      <c r="A123" s="2"/>
      <c r="B123" s="4"/>
      <c r="C123" s="18"/>
      <c r="E123" s="20">
        <v>45744</v>
      </c>
      <c r="F123" s="17" t="s">
        <v>95</v>
      </c>
      <c r="G123" s="21">
        <v>7.7952000000000004</v>
      </c>
      <c r="H123" s="21">
        <v>13</v>
      </c>
      <c r="I123" s="25">
        <v>0.10756923076923069</v>
      </c>
      <c r="J123" s="21">
        <v>1.3</v>
      </c>
      <c r="K123" s="21">
        <v>0.20480000000000001</v>
      </c>
      <c r="L123" s="21">
        <v>1.56</v>
      </c>
      <c r="M123" s="17" t="s">
        <v>121</v>
      </c>
      <c r="N123" s="17" t="s">
        <v>117</v>
      </c>
      <c r="O123" s="21">
        <v>0.65</v>
      </c>
      <c r="P123" s="21">
        <v>1.8564000000000001</v>
      </c>
    </row>
    <row r="124" spans="1:16" ht="16.5" x14ac:dyDescent="0.25">
      <c r="A124" s="2"/>
      <c r="B124" s="4"/>
      <c r="C124" s="18"/>
      <c r="E124" s="20">
        <v>45744</v>
      </c>
      <c r="F124" s="17" t="s">
        <v>95</v>
      </c>
      <c r="G124" s="21">
        <v>7.7952000000000004</v>
      </c>
      <c r="H124" s="21">
        <v>12.8</v>
      </c>
      <c r="I124" s="25">
        <v>9.8199999999999982E-2</v>
      </c>
      <c r="J124" s="21">
        <v>1.2800000000000002</v>
      </c>
      <c r="K124" s="21">
        <v>0.20480000000000001</v>
      </c>
      <c r="L124" s="21">
        <v>1.536</v>
      </c>
      <c r="M124" s="17" t="s">
        <v>120</v>
      </c>
      <c r="N124" s="17" t="s">
        <v>117</v>
      </c>
      <c r="O124" s="21">
        <v>0.64000000000000012</v>
      </c>
      <c r="P124" s="21">
        <v>1.8278400000000001</v>
      </c>
    </row>
    <row r="125" spans="1:16" ht="16.5" x14ac:dyDescent="0.25">
      <c r="A125" s="2"/>
      <c r="B125" s="4"/>
      <c r="C125" s="18"/>
      <c r="E125" s="20">
        <v>45744</v>
      </c>
      <c r="F125" s="17" t="s">
        <v>95</v>
      </c>
      <c r="G125" s="21">
        <v>7.7952000000000004</v>
      </c>
      <c r="H125" s="21">
        <v>12.5</v>
      </c>
      <c r="I125" s="25">
        <v>8.3583999999999964E-2</v>
      </c>
      <c r="J125" s="21">
        <v>1.25</v>
      </c>
      <c r="K125" s="21">
        <v>0.20480000000000001</v>
      </c>
      <c r="L125" s="21">
        <v>1.5</v>
      </c>
      <c r="M125" s="17" t="s">
        <v>113</v>
      </c>
      <c r="N125" s="17" t="s">
        <v>117</v>
      </c>
      <c r="O125" s="21">
        <v>0.625</v>
      </c>
      <c r="P125" s="21">
        <v>1.7850000000000001</v>
      </c>
    </row>
    <row r="126" spans="1:16" ht="16.5" x14ac:dyDescent="0.25">
      <c r="A126" s="2"/>
      <c r="B126" s="4"/>
      <c r="C126" s="18"/>
      <c r="E126" s="20">
        <v>45744</v>
      </c>
      <c r="F126" s="17" t="s">
        <v>95</v>
      </c>
      <c r="G126" s="21">
        <v>8</v>
      </c>
      <c r="H126" s="21">
        <v>12</v>
      </c>
      <c r="I126" s="25">
        <v>0.1283333333333333</v>
      </c>
      <c r="J126" s="21">
        <v>1.2000000000000002</v>
      </c>
      <c r="K126" s="21">
        <v>0</v>
      </c>
      <c r="L126" s="21">
        <v>0.66</v>
      </c>
      <c r="M126" s="17" t="s">
        <v>121</v>
      </c>
      <c r="N126" s="17" t="s">
        <v>116</v>
      </c>
      <c r="O126" s="21">
        <v>0.60000000000000009</v>
      </c>
      <c r="P126" s="21">
        <v>0.66</v>
      </c>
    </row>
    <row r="127" spans="1:16" ht="16.5" x14ac:dyDescent="0.25">
      <c r="A127" s="2"/>
      <c r="B127" s="4"/>
      <c r="C127" s="18"/>
      <c r="E127" s="20">
        <v>45744</v>
      </c>
      <c r="F127" s="17" t="s">
        <v>95</v>
      </c>
      <c r="G127" s="21">
        <v>8</v>
      </c>
      <c r="H127" s="21">
        <v>11.8</v>
      </c>
      <c r="I127" s="25">
        <v>0.11703389830508472</v>
      </c>
      <c r="J127" s="21">
        <v>1.1800000000000002</v>
      </c>
      <c r="K127" s="21">
        <v>0</v>
      </c>
      <c r="L127" s="21">
        <v>0.64900000000000002</v>
      </c>
      <c r="M127" s="17" t="s">
        <v>120</v>
      </c>
      <c r="N127" s="17" t="s">
        <v>116</v>
      </c>
      <c r="O127" s="21">
        <v>0.59000000000000008</v>
      </c>
      <c r="P127" s="21">
        <v>0.64900000000000002</v>
      </c>
    </row>
    <row r="128" spans="1:16" ht="16.5" x14ac:dyDescent="0.25">
      <c r="A128" s="2"/>
      <c r="B128" s="4"/>
      <c r="C128" s="18"/>
      <c r="E128" s="20">
        <v>45744</v>
      </c>
      <c r="F128" s="17" t="s">
        <v>95</v>
      </c>
      <c r="G128" s="21">
        <v>8</v>
      </c>
      <c r="H128" s="21">
        <v>11.5</v>
      </c>
      <c r="I128" s="25">
        <v>9.934782608695647E-2</v>
      </c>
      <c r="J128" s="21">
        <v>1.1500000000000001</v>
      </c>
      <c r="K128" s="21">
        <v>0</v>
      </c>
      <c r="L128" s="21">
        <v>0.63249999999999995</v>
      </c>
      <c r="M128" s="17" t="s">
        <v>113</v>
      </c>
      <c r="N128" s="17" t="s">
        <v>116</v>
      </c>
      <c r="O128" s="21">
        <v>0.57500000000000007</v>
      </c>
      <c r="P128" s="21">
        <v>0.63249999999999995</v>
      </c>
    </row>
    <row r="129" spans="1:16" ht="16.5" x14ac:dyDescent="0.25">
      <c r="A129" s="2"/>
      <c r="B129" s="4"/>
      <c r="C129" s="18"/>
      <c r="E129" s="20">
        <v>45744</v>
      </c>
      <c r="F129" s="17" t="s">
        <v>95</v>
      </c>
      <c r="G129" s="21">
        <v>8</v>
      </c>
      <c r="H129" s="21">
        <v>11</v>
      </c>
      <c r="I129" s="25">
        <v>0.12272727272727274</v>
      </c>
      <c r="J129" s="21">
        <v>1.1000000000000001</v>
      </c>
      <c r="K129" s="21">
        <v>0.20480000000000001</v>
      </c>
      <c r="L129" s="21">
        <v>0</v>
      </c>
      <c r="M129" s="17" t="s">
        <v>121</v>
      </c>
      <c r="N129" s="17" t="s">
        <v>115</v>
      </c>
      <c r="O129" s="21">
        <v>0.55000000000000004</v>
      </c>
      <c r="P129" s="21">
        <v>0</v>
      </c>
    </row>
    <row r="130" spans="1:16" ht="16.5" x14ac:dyDescent="0.25">
      <c r="A130" s="2"/>
      <c r="B130" s="4"/>
      <c r="C130" s="18"/>
      <c r="E130" s="20">
        <v>45744</v>
      </c>
      <c r="F130" s="17" t="s">
        <v>95</v>
      </c>
      <c r="G130" s="21">
        <v>8</v>
      </c>
      <c r="H130" s="21">
        <v>10.8</v>
      </c>
      <c r="I130" s="25">
        <v>0.10925925925925931</v>
      </c>
      <c r="J130" s="21">
        <v>1.08</v>
      </c>
      <c r="K130" s="21">
        <v>0.20480000000000001</v>
      </c>
      <c r="L130" s="21">
        <v>0</v>
      </c>
      <c r="M130" s="17" t="s">
        <v>120</v>
      </c>
      <c r="N130" s="17" t="s">
        <v>115</v>
      </c>
      <c r="O130" s="21">
        <v>0.54</v>
      </c>
      <c r="P130" s="21">
        <v>0</v>
      </c>
    </row>
    <row r="131" spans="1:16" ht="16.5" x14ac:dyDescent="0.25">
      <c r="A131" s="2"/>
      <c r="B131" s="4"/>
      <c r="C131" s="18"/>
      <c r="E131" s="20">
        <v>45744</v>
      </c>
      <c r="F131" s="17" t="s">
        <v>95</v>
      </c>
      <c r="G131" s="21">
        <v>8</v>
      </c>
      <c r="H131" s="21">
        <v>10.5</v>
      </c>
      <c r="I131" s="25">
        <v>8.8095238095238101E-2</v>
      </c>
      <c r="J131" s="21">
        <v>1.05</v>
      </c>
      <c r="K131" s="21">
        <v>0.20480000000000001</v>
      </c>
      <c r="L131" s="21">
        <v>0</v>
      </c>
      <c r="M131" s="17" t="s">
        <v>113</v>
      </c>
      <c r="N131" s="17" t="s">
        <v>115</v>
      </c>
      <c r="O131" s="21">
        <v>0.52500000000000002</v>
      </c>
      <c r="P131" s="21">
        <v>0</v>
      </c>
    </row>
    <row r="132" spans="1:16" ht="16.5" x14ac:dyDescent="0.25">
      <c r="A132" s="2"/>
      <c r="B132" s="4"/>
      <c r="C132" s="18"/>
      <c r="E132" s="20">
        <v>45744</v>
      </c>
      <c r="F132" s="17" t="s">
        <v>94</v>
      </c>
      <c r="G132" s="21">
        <v>4.0924800000000001</v>
      </c>
      <c r="H132" s="21">
        <v>7</v>
      </c>
      <c r="I132" s="25">
        <v>0.12255999999999996</v>
      </c>
      <c r="J132" s="21">
        <v>0.70000000000000007</v>
      </c>
      <c r="K132" s="21">
        <v>0.10752</v>
      </c>
      <c r="L132" s="21">
        <v>0.84</v>
      </c>
      <c r="M132" s="17" t="s">
        <v>121</v>
      </c>
      <c r="N132" s="17" t="s">
        <v>117</v>
      </c>
      <c r="O132" s="21">
        <v>0.35000000000000003</v>
      </c>
      <c r="P132" s="21">
        <v>0.99960000000000004</v>
      </c>
    </row>
    <row r="133" spans="1:16" ht="16.5" x14ac:dyDescent="0.25">
      <c r="A133" s="2"/>
      <c r="B133" s="4"/>
      <c r="C133" s="18"/>
      <c r="E133" s="20">
        <v>45744</v>
      </c>
      <c r="F133" s="17" t="s">
        <v>94</v>
      </c>
      <c r="G133" s="21">
        <v>4.0924800000000001</v>
      </c>
      <c r="H133" s="21">
        <v>6.8</v>
      </c>
      <c r="I133" s="25">
        <v>0.10536470588235283</v>
      </c>
      <c r="J133" s="21">
        <v>0.68</v>
      </c>
      <c r="K133" s="21">
        <v>0.10752</v>
      </c>
      <c r="L133" s="21">
        <v>0.81599999999999995</v>
      </c>
      <c r="M133" s="17" t="s">
        <v>120</v>
      </c>
      <c r="N133" s="17" t="s">
        <v>117</v>
      </c>
      <c r="O133" s="21">
        <v>0.34</v>
      </c>
      <c r="P133" s="21">
        <v>0.97104000000000001</v>
      </c>
    </row>
    <row r="134" spans="1:16" ht="16.5" x14ac:dyDescent="0.25">
      <c r="A134" s="2"/>
      <c r="B134" s="4"/>
      <c r="C134" s="18"/>
      <c r="E134" s="20">
        <v>45744</v>
      </c>
      <c r="F134" s="17" t="s">
        <v>94</v>
      </c>
      <c r="G134" s="21">
        <v>4.0924800000000001</v>
      </c>
      <c r="H134" s="21">
        <v>6.5</v>
      </c>
      <c r="I134" s="25">
        <v>7.7587692307692233E-2</v>
      </c>
      <c r="J134" s="21">
        <v>0.65</v>
      </c>
      <c r="K134" s="21">
        <v>0.10752</v>
      </c>
      <c r="L134" s="21">
        <v>0.78</v>
      </c>
      <c r="M134" s="17" t="s">
        <v>113</v>
      </c>
      <c r="N134" s="17" t="s">
        <v>117</v>
      </c>
      <c r="O134" s="21">
        <v>0.32500000000000001</v>
      </c>
      <c r="P134" s="21">
        <v>0.92820000000000003</v>
      </c>
    </row>
    <row r="135" spans="1:16" ht="16.5" x14ac:dyDescent="0.25">
      <c r="A135" s="2"/>
      <c r="B135" s="4"/>
      <c r="C135" s="18"/>
      <c r="E135" s="20">
        <v>45744</v>
      </c>
      <c r="F135" s="17" t="s">
        <v>94</v>
      </c>
      <c r="G135" s="21">
        <v>4.2</v>
      </c>
      <c r="H135" s="21">
        <v>6.5</v>
      </c>
      <c r="I135" s="25">
        <v>0.14884615384615382</v>
      </c>
      <c r="J135" s="21">
        <v>0.65</v>
      </c>
      <c r="K135" s="21">
        <v>0</v>
      </c>
      <c r="L135" s="21">
        <v>0.35749999999999998</v>
      </c>
      <c r="M135" s="17" t="s">
        <v>121</v>
      </c>
      <c r="N135" s="17" t="s">
        <v>116</v>
      </c>
      <c r="O135" s="21">
        <v>0.32500000000000001</v>
      </c>
      <c r="P135" s="21">
        <v>0.35749999999999998</v>
      </c>
    </row>
    <row r="136" spans="1:16" ht="16.5" x14ac:dyDescent="0.25">
      <c r="A136" s="2"/>
      <c r="B136" s="4"/>
      <c r="C136" s="18"/>
      <c r="E136" s="20">
        <v>45744</v>
      </c>
      <c r="F136" s="17" t="s">
        <v>94</v>
      </c>
      <c r="G136" s="21">
        <v>4.2</v>
      </c>
      <c r="H136" s="21">
        <v>6.3</v>
      </c>
      <c r="I136" s="25">
        <v>0.12833333333333333</v>
      </c>
      <c r="J136" s="21">
        <v>0.63</v>
      </c>
      <c r="K136" s="21">
        <v>0</v>
      </c>
      <c r="L136" s="21">
        <v>0.34649999999999997</v>
      </c>
      <c r="M136" s="17" t="s">
        <v>120</v>
      </c>
      <c r="N136" s="17" t="s">
        <v>116</v>
      </c>
      <c r="O136" s="21">
        <v>0.315</v>
      </c>
      <c r="P136" s="21">
        <v>0.34649999999999997</v>
      </c>
    </row>
    <row r="137" spans="1:16" ht="16.5" x14ac:dyDescent="0.25">
      <c r="A137" s="2"/>
      <c r="B137" s="4"/>
      <c r="C137" s="18"/>
      <c r="E137" s="20">
        <v>45744</v>
      </c>
      <c r="F137" s="17" t="s">
        <v>94</v>
      </c>
      <c r="G137" s="21">
        <v>4.2</v>
      </c>
      <c r="H137" s="21">
        <v>6.2</v>
      </c>
      <c r="I137" s="25">
        <v>0.11758064516129026</v>
      </c>
      <c r="J137" s="21">
        <v>0.62000000000000011</v>
      </c>
      <c r="K137" s="21">
        <v>0</v>
      </c>
      <c r="L137" s="21">
        <v>0.34100000000000003</v>
      </c>
      <c r="M137" s="17" t="s">
        <v>120</v>
      </c>
      <c r="N137" s="17" t="s">
        <v>116</v>
      </c>
      <c r="O137" s="21">
        <v>0.31000000000000005</v>
      </c>
      <c r="P137" s="21">
        <v>0.34100000000000003</v>
      </c>
    </row>
    <row r="138" spans="1:16" ht="16.5" x14ac:dyDescent="0.25">
      <c r="A138" s="2"/>
      <c r="B138" s="4"/>
      <c r="C138" s="18"/>
      <c r="E138" s="20">
        <v>45744</v>
      </c>
      <c r="F138" s="17" t="s">
        <v>94</v>
      </c>
      <c r="G138" s="21">
        <v>4.2</v>
      </c>
      <c r="H138" s="21">
        <v>6.2</v>
      </c>
      <c r="I138" s="25">
        <v>0.11758064516129026</v>
      </c>
      <c r="J138" s="21">
        <v>0.62000000000000011</v>
      </c>
      <c r="K138" s="21">
        <v>0</v>
      </c>
      <c r="L138" s="21">
        <v>0.34100000000000003</v>
      </c>
      <c r="M138" s="17" t="s">
        <v>120</v>
      </c>
      <c r="N138" s="17" t="s">
        <v>116</v>
      </c>
      <c r="O138" s="21">
        <v>0.31000000000000005</v>
      </c>
      <c r="P138" s="21">
        <v>0.34100000000000003</v>
      </c>
    </row>
    <row r="139" spans="1:16" ht="16.5" x14ac:dyDescent="0.25">
      <c r="A139" s="2"/>
      <c r="B139" s="4"/>
      <c r="C139" s="18"/>
      <c r="E139" s="20">
        <v>45744</v>
      </c>
      <c r="F139" s="17" t="s">
        <v>94</v>
      </c>
      <c r="G139" s="21">
        <v>4.2</v>
      </c>
      <c r="H139" s="21">
        <v>6</v>
      </c>
      <c r="I139" s="25">
        <v>9.4999999999999932E-2</v>
      </c>
      <c r="J139" s="21">
        <v>0.60000000000000009</v>
      </c>
      <c r="K139" s="21">
        <v>0</v>
      </c>
      <c r="L139" s="21">
        <v>0.33</v>
      </c>
      <c r="M139" s="17" t="s">
        <v>113</v>
      </c>
      <c r="N139" s="17" t="s">
        <v>116</v>
      </c>
      <c r="O139" s="21">
        <v>0.30000000000000004</v>
      </c>
      <c r="P139" s="21">
        <v>0.33</v>
      </c>
    </row>
    <row r="140" spans="1:16" ht="16.5" x14ac:dyDescent="0.25">
      <c r="A140" s="2"/>
      <c r="B140" s="4"/>
      <c r="C140" s="18"/>
      <c r="E140" s="20">
        <v>45744</v>
      </c>
      <c r="F140" s="17" t="s">
        <v>94</v>
      </c>
      <c r="G140" s="21">
        <v>4.2</v>
      </c>
      <c r="H140" s="21">
        <v>5.6</v>
      </c>
      <c r="I140" s="25">
        <v>9.9999999999999922E-2</v>
      </c>
      <c r="J140" s="21">
        <v>0.55999999999999994</v>
      </c>
      <c r="K140" s="21">
        <v>0.10752</v>
      </c>
      <c r="L140" s="21">
        <v>0</v>
      </c>
      <c r="M140" s="17" t="s">
        <v>113</v>
      </c>
      <c r="N140" s="17" t="s">
        <v>115</v>
      </c>
      <c r="O140" s="21">
        <v>0.27999999999999997</v>
      </c>
      <c r="P140" s="21">
        <v>0</v>
      </c>
    </row>
    <row r="141" spans="1:16" ht="16.5" x14ac:dyDescent="0.25">
      <c r="A141" s="2"/>
      <c r="B141" s="4"/>
      <c r="C141" s="18"/>
      <c r="E141" s="20">
        <v>45744</v>
      </c>
      <c r="F141" s="17" t="s">
        <v>94</v>
      </c>
      <c r="G141" s="21">
        <v>4.2</v>
      </c>
      <c r="H141" s="21">
        <v>5.8</v>
      </c>
      <c r="I141" s="25">
        <v>0.12586206896551719</v>
      </c>
      <c r="J141" s="21">
        <v>0.57999999999999996</v>
      </c>
      <c r="K141" s="21">
        <v>0.10752</v>
      </c>
      <c r="L141" s="21">
        <v>0</v>
      </c>
      <c r="M141" s="17" t="s">
        <v>120</v>
      </c>
      <c r="N141" s="17" t="s">
        <v>115</v>
      </c>
      <c r="O141" s="21">
        <v>0.28999999999999998</v>
      </c>
      <c r="P141" s="21">
        <v>0</v>
      </c>
    </row>
    <row r="142" spans="1:16" ht="16.5" x14ac:dyDescent="0.25">
      <c r="A142" s="2"/>
      <c r="B142" s="4"/>
      <c r="C142" s="18"/>
      <c r="E142" s="20">
        <v>45744</v>
      </c>
      <c r="F142" s="17" t="s">
        <v>94</v>
      </c>
      <c r="G142" s="21">
        <v>4.2</v>
      </c>
      <c r="H142" s="21">
        <v>6</v>
      </c>
      <c r="I142" s="25">
        <v>0.14999999999999994</v>
      </c>
      <c r="J142" s="21">
        <v>0.60000000000000009</v>
      </c>
      <c r="K142" s="21">
        <v>0.10752</v>
      </c>
      <c r="L142" s="21">
        <v>0</v>
      </c>
      <c r="M142" s="17" t="s">
        <v>121</v>
      </c>
      <c r="N142" s="17" t="s">
        <v>115</v>
      </c>
      <c r="O142" s="21">
        <v>0.30000000000000004</v>
      </c>
      <c r="P142" s="21">
        <v>0</v>
      </c>
    </row>
    <row r="143" spans="1:16" ht="16.5" x14ac:dyDescent="0.25">
      <c r="A143" s="2"/>
      <c r="B143" s="4"/>
      <c r="C143" s="18"/>
      <c r="E143" s="20">
        <v>45721</v>
      </c>
      <c r="F143" s="17" t="s">
        <v>202</v>
      </c>
      <c r="G143" s="21">
        <v>15.8</v>
      </c>
      <c r="H143" s="21">
        <v>28</v>
      </c>
      <c r="I143" s="25">
        <v>0.10641428571428559</v>
      </c>
      <c r="J143" s="21">
        <v>2.8000000000000003</v>
      </c>
      <c r="K143" s="21">
        <v>0.2</v>
      </c>
      <c r="L143" s="21">
        <v>3.36</v>
      </c>
      <c r="M143" s="17" t="s">
        <v>121</v>
      </c>
      <c r="N143" s="17" t="s">
        <v>117</v>
      </c>
      <c r="O143" s="21">
        <v>1.4000000000000001</v>
      </c>
      <c r="P143" s="21">
        <v>5.0204000000000004</v>
      </c>
    </row>
    <row r="144" spans="1:16" ht="16.5" x14ac:dyDescent="0.25">
      <c r="A144" s="2"/>
      <c r="B144" s="4"/>
      <c r="C144" s="18"/>
      <c r="E144" s="20">
        <v>45721</v>
      </c>
      <c r="F144" s="17" t="s">
        <v>202</v>
      </c>
      <c r="G144" s="21">
        <v>15.8</v>
      </c>
      <c r="H144" s="21">
        <v>27.5</v>
      </c>
      <c r="I144" s="25">
        <v>9.6154545454545437E-2</v>
      </c>
      <c r="J144" s="21">
        <v>2.75</v>
      </c>
      <c r="K144" s="21">
        <v>0.2</v>
      </c>
      <c r="L144" s="21">
        <v>3.3</v>
      </c>
      <c r="M144" s="17" t="s">
        <v>120</v>
      </c>
      <c r="N144" s="17" t="s">
        <v>117</v>
      </c>
      <c r="O144" s="21">
        <v>1.375</v>
      </c>
      <c r="P144" s="21">
        <v>4.9307500000000006</v>
      </c>
    </row>
    <row r="145" spans="1:16" ht="16.5" x14ac:dyDescent="0.25">
      <c r="A145" s="2"/>
      <c r="B145" s="4"/>
      <c r="C145" s="18"/>
      <c r="E145" s="20">
        <v>45721</v>
      </c>
      <c r="F145" s="17" t="s">
        <v>202</v>
      </c>
      <c r="G145" s="21">
        <v>15.8</v>
      </c>
      <c r="H145" s="21">
        <v>27</v>
      </c>
      <c r="I145" s="25">
        <v>8.5514814814814766E-2</v>
      </c>
      <c r="J145" s="21">
        <v>2.7</v>
      </c>
      <c r="K145" s="21">
        <v>0.2</v>
      </c>
      <c r="L145" s="21">
        <v>3.2399999999999998</v>
      </c>
      <c r="M145" s="17" t="s">
        <v>113</v>
      </c>
      <c r="N145" s="17" t="s">
        <v>117</v>
      </c>
      <c r="O145" s="21">
        <v>1.35</v>
      </c>
      <c r="P145" s="21">
        <v>4.8411000000000008</v>
      </c>
    </row>
    <row r="146" spans="1:16" ht="16.5" x14ac:dyDescent="0.25">
      <c r="A146" s="2"/>
      <c r="B146" s="4"/>
      <c r="C146" s="18"/>
      <c r="E146" s="20">
        <v>45721</v>
      </c>
      <c r="F146" s="17" t="s">
        <v>202</v>
      </c>
      <c r="G146" s="21">
        <v>16</v>
      </c>
      <c r="H146" s="21">
        <v>24</v>
      </c>
      <c r="I146" s="25">
        <v>0.1283333333333333</v>
      </c>
      <c r="J146" s="21">
        <v>2.4000000000000004</v>
      </c>
      <c r="K146" s="21">
        <v>0</v>
      </c>
      <c r="L146" s="21">
        <v>1.32</v>
      </c>
      <c r="M146" s="17" t="s">
        <v>121</v>
      </c>
      <c r="N146" s="17" t="s">
        <v>116</v>
      </c>
      <c r="O146" s="21">
        <v>1.2000000000000002</v>
      </c>
      <c r="P146" s="21">
        <v>1.32</v>
      </c>
    </row>
    <row r="147" spans="1:16" ht="16.5" x14ac:dyDescent="0.25">
      <c r="A147" s="2"/>
      <c r="B147" s="4"/>
      <c r="C147" s="18"/>
      <c r="E147" s="20">
        <v>45721</v>
      </c>
      <c r="F147" s="17" t="s">
        <v>202</v>
      </c>
      <c r="G147" s="21">
        <v>16</v>
      </c>
      <c r="H147" s="21">
        <v>23.5</v>
      </c>
      <c r="I147" s="25">
        <v>0.11414893617021275</v>
      </c>
      <c r="J147" s="21">
        <v>2.35</v>
      </c>
      <c r="K147" s="21">
        <v>0</v>
      </c>
      <c r="L147" s="21">
        <v>1.2925</v>
      </c>
      <c r="M147" s="17" t="s">
        <v>120</v>
      </c>
      <c r="N147" s="17" t="s">
        <v>116</v>
      </c>
      <c r="O147" s="21">
        <v>1.175</v>
      </c>
      <c r="P147" s="21">
        <v>1.2925</v>
      </c>
    </row>
    <row r="148" spans="1:16" ht="16.5" x14ac:dyDescent="0.25">
      <c r="A148" s="2"/>
      <c r="B148" s="4"/>
      <c r="C148" s="18"/>
      <c r="E148" s="20">
        <v>45721</v>
      </c>
      <c r="F148" s="17" t="s">
        <v>202</v>
      </c>
      <c r="G148" s="21">
        <v>16</v>
      </c>
      <c r="H148" s="21">
        <v>23</v>
      </c>
      <c r="I148" s="25">
        <v>9.934782608695647E-2</v>
      </c>
      <c r="J148" s="21">
        <v>2.3000000000000003</v>
      </c>
      <c r="K148" s="21">
        <v>0</v>
      </c>
      <c r="L148" s="21">
        <v>1.2649999999999999</v>
      </c>
      <c r="M148" s="17" t="s">
        <v>113</v>
      </c>
      <c r="N148" s="17" t="s">
        <v>116</v>
      </c>
      <c r="O148" s="21">
        <v>1.1500000000000001</v>
      </c>
      <c r="P148" s="21">
        <v>1.2649999999999999</v>
      </c>
    </row>
    <row r="149" spans="1:16" ht="16.5" x14ac:dyDescent="0.25">
      <c r="A149" s="2"/>
      <c r="B149" s="4"/>
      <c r="C149" s="18"/>
      <c r="E149" s="20">
        <v>45721</v>
      </c>
      <c r="F149" s="17" t="s">
        <v>202</v>
      </c>
      <c r="G149" s="21">
        <v>16</v>
      </c>
      <c r="H149" s="21">
        <v>22.5</v>
      </c>
      <c r="I149" s="25">
        <v>0.1388888888888889</v>
      </c>
      <c r="J149" s="21">
        <v>2.25</v>
      </c>
      <c r="K149" s="21">
        <v>0.2</v>
      </c>
      <c r="L149" s="21">
        <v>0</v>
      </c>
      <c r="M149" s="17" t="s">
        <v>121</v>
      </c>
      <c r="N149" s="17" t="s">
        <v>115</v>
      </c>
      <c r="O149" s="21">
        <v>1.125</v>
      </c>
      <c r="P149" s="21">
        <v>0</v>
      </c>
    </row>
    <row r="150" spans="1:16" ht="16.5" x14ac:dyDescent="0.25">
      <c r="A150" s="2"/>
      <c r="B150" s="4"/>
      <c r="C150" s="18"/>
      <c r="E150" s="20">
        <v>45721</v>
      </c>
      <c r="F150" s="17" t="s">
        <v>202</v>
      </c>
      <c r="G150" s="21">
        <v>16</v>
      </c>
      <c r="H150" s="21">
        <v>22.5</v>
      </c>
      <c r="I150" s="25">
        <v>0.1388888888888889</v>
      </c>
      <c r="J150" s="21">
        <v>2.25</v>
      </c>
      <c r="K150" s="21">
        <v>0.2</v>
      </c>
      <c r="L150" s="21">
        <v>0</v>
      </c>
      <c r="M150" s="17" t="s">
        <v>121</v>
      </c>
      <c r="N150" s="17" t="s">
        <v>115</v>
      </c>
      <c r="O150" s="21">
        <v>1.125</v>
      </c>
      <c r="P150" s="21">
        <v>0</v>
      </c>
    </row>
    <row r="151" spans="1:16" ht="16.5" x14ac:dyDescent="0.25">
      <c r="A151" s="2"/>
      <c r="B151" s="4"/>
      <c r="C151" s="18"/>
      <c r="E151" s="20">
        <v>45721</v>
      </c>
      <c r="F151" s="17" t="s">
        <v>202</v>
      </c>
      <c r="G151" s="21">
        <v>16</v>
      </c>
      <c r="H151" s="21">
        <v>22</v>
      </c>
      <c r="I151" s="25">
        <v>0.12272727272727274</v>
      </c>
      <c r="J151" s="21">
        <v>2.2000000000000002</v>
      </c>
      <c r="K151" s="21">
        <v>0.2</v>
      </c>
      <c r="L151" s="21">
        <v>0</v>
      </c>
      <c r="M151" s="17" t="s">
        <v>120</v>
      </c>
      <c r="N151" s="17" t="s">
        <v>115</v>
      </c>
      <c r="O151" s="21">
        <v>1.1000000000000001</v>
      </c>
      <c r="P151" s="21">
        <v>0</v>
      </c>
    </row>
    <row r="152" spans="1:16" ht="16.5" x14ac:dyDescent="0.25">
      <c r="A152" s="2"/>
      <c r="B152" s="4"/>
      <c r="C152" s="18"/>
      <c r="E152" s="20">
        <v>45721</v>
      </c>
      <c r="F152" s="17" t="s">
        <v>202</v>
      </c>
      <c r="G152" s="21">
        <v>16</v>
      </c>
      <c r="H152" s="21">
        <v>21.5</v>
      </c>
      <c r="I152" s="25">
        <v>0.1058139534883721</v>
      </c>
      <c r="J152" s="21">
        <v>2.15</v>
      </c>
      <c r="K152" s="21">
        <v>0.2</v>
      </c>
      <c r="L152" s="21">
        <v>0</v>
      </c>
      <c r="M152" s="17" t="s">
        <v>113</v>
      </c>
      <c r="N152" s="17" t="s">
        <v>115</v>
      </c>
      <c r="O152" s="21">
        <v>1.075</v>
      </c>
      <c r="P152" s="21">
        <v>0</v>
      </c>
    </row>
    <row r="153" spans="1:16" ht="16.5" x14ac:dyDescent="0.25">
      <c r="A153" s="2"/>
      <c r="B153" s="4"/>
      <c r="C153" s="18"/>
      <c r="E153" s="20">
        <v>45721</v>
      </c>
      <c r="F153" s="17" t="s">
        <v>92</v>
      </c>
      <c r="G153" s="21">
        <v>8.8874999999999993</v>
      </c>
      <c r="H153" s="21">
        <v>16.5</v>
      </c>
      <c r="I153" s="25">
        <v>0.13206363636363644</v>
      </c>
      <c r="J153" s="21">
        <v>1.6500000000000001</v>
      </c>
      <c r="K153" s="21">
        <v>0.1125</v>
      </c>
      <c r="L153" s="21">
        <v>1.98</v>
      </c>
      <c r="M153" s="17" t="s">
        <v>121</v>
      </c>
      <c r="N153" s="17" t="s">
        <v>117</v>
      </c>
      <c r="O153" s="21">
        <v>0.82500000000000007</v>
      </c>
      <c r="P153" s="21">
        <v>2.95845</v>
      </c>
    </row>
    <row r="154" spans="1:16" ht="16.5" x14ac:dyDescent="0.25">
      <c r="A154" s="2"/>
      <c r="B154" s="4"/>
      <c r="C154" s="18"/>
      <c r="E154" s="20">
        <v>45721</v>
      </c>
      <c r="F154" s="17" t="s">
        <v>92</v>
      </c>
      <c r="G154" s="21">
        <v>8.8874999999999993</v>
      </c>
      <c r="H154" s="21">
        <v>16</v>
      </c>
      <c r="I154" s="25">
        <v>0.11523125000000004</v>
      </c>
      <c r="J154" s="21">
        <v>1.6</v>
      </c>
      <c r="K154" s="21">
        <v>0.1125</v>
      </c>
      <c r="L154" s="21">
        <v>1.92</v>
      </c>
      <c r="M154" s="17" t="s">
        <v>120</v>
      </c>
      <c r="N154" s="17" t="s">
        <v>117</v>
      </c>
      <c r="O154" s="21">
        <v>0.8</v>
      </c>
      <c r="P154" s="21">
        <v>2.8688000000000002</v>
      </c>
    </row>
    <row r="155" spans="1:16" ht="16.5" x14ac:dyDescent="0.25">
      <c r="A155" s="2"/>
      <c r="B155" s="4"/>
      <c r="C155" s="18"/>
      <c r="E155" s="20">
        <v>45721</v>
      </c>
      <c r="F155" s="17" t="s">
        <v>92</v>
      </c>
      <c r="G155" s="21">
        <v>8.8874999999999993</v>
      </c>
      <c r="H155" s="21">
        <v>15.5</v>
      </c>
      <c r="I155" s="25">
        <v>9.7312903225806408E-2</v>
      </c>
      <c r="J155" s="21">
        <v>1.55</v>
      </c>
      <c r="K155" s="21">
        <v>0.1125</v>
      </c>
      <c r="L155" s="21">
        <v>1.8599999999999999</v>
      </c>
      <c r="M155" s="17" t="s">
        <v>113</v>
      </c>
      <c r="N155" s="17" t="s">
        <v>117</v>
      </c>
      <c r="O155" s="21">
        <v>0.77500000000000002</v>
      </c>
      <c r="P155" s="21">
        <v>2.7791500000000005</v>
      </c>
    </row>
    <row r="156" spans="1:16" ht="16.5" x14ac:dyDescent="0.25">
      <c r="A156" s="2"/>
      <c r="B156" s="4"/>
      <c r="C156" s="18"/>
      <c r="E156" s="20">
        <v>45721</v>
      </c>
      <c r="F156" s="17" t="s">
        <v>92</v>
      </c>
      <c r="G156" s="21">
        <v>9</v>
      </c>
      <c r="H156" s="21">
        <v>14</v>
      </c>
      <c r="I156" s="25">
        <v>0.15214285714285714</v>
      </c>
      <c r="J156" s="21">
        <v>1.4000000000000001</v>
      </c>
      <c r="K156" s="21">
        <v>0</v>
      </c>
      <c r="L156" s="21">
        <v>0.77</v>
      </c>
      <c r="M156" s="17" t="s">
        <v>121</v>
      </c>
      <c r="N156" s="17" t="s">
        <v>116</v>
      </c>
      <c r="O156" s="21">
        <v>0.70000000000000007</v>
      </c>
      <c r="P156" s="21">
        <v>0.77</v>
      </c>
    </row>
    <row r="157" spans="1:16" ht="16.5" x14ac:dyDescent="0.25">
      <c r="A157" s="2"/>
      <c r="B157" s="4"/>
      <c r="C157" s="18"/>
      <c r="E157" s="20">
        <v>45721</v>
      </c>
      <c r="F157" s="17" t="s">
        <v>92</v>
      </c>
      <c r="G157" s="21">
        <v>9</v>
      </c>
      <c r="H157" s="21">
        <v>13.5</v>
      </c>
      <c r="I157" s="25">
        <v>0.12833333333333335</v>
      </c>
      <c r="J157" s="21">
        <v>1.35</v>
      </c>
      <c r="K157" s="21">
        <v>0</v>
      </c>
      <c r="L157" s="21">
        <v>0.74250000000000005</v>
      </c>
      <c r="M157" s="17" t="s">
        <v>120</v>
      </c>
      <c r="N157" s="17" t="s">
        <v>116</v>
      </c>
      <c r="O157" s="21">
        <v>0.67500000000000004</v>
      </c>
      <c r="P157" s="21">
        <v>0.74250000000000005</v>
      </c>
    </row>
    <row r="158" spans="1:16" ht="16.5" x14ac:dyDescent="0.25">
      <c r="A158" s="2"/>
      <c r="B158" s="4"/>
      <c r="C158" s="18"/>
      <c r="E158" s="20">
        <v>45721</v>
      </c>
      <c r="F158" s="17" t="s">
        <v>92</v>
      </c>
      <c r="G158" s="21">
        <v>9</v>
      </c>
      <c r="H158" s="21">
        <v>13</v>
      </c>
      <c r="I158" s="25">
        <v>0.10269230769230771</v>
      </c>
      <c r="J158" s="21">
        <v>1.3</v>
      </c>
      <c r="K158" s="21">
        <v>0</v>
      </c>
      <c r="L158" s="21">
        <v>0.71499999999999997</v>
      </c>
      <c r="M158" s="17" t="s">
        <v>113</v>
      </c>
      <c r="N158" s="17" t="s">
        <v>116</v>
      </c>
      <c r="O158" s="21">
        <v>0.65</v>
      </c>
      <c r="P158" s="21">
        <v>0.71499999999999997</v>
      </c>
    </row>
    <row r="159" spans="1:16" ht="16.5" x14ac:dyDescent="0.25">
      <c r="A159" s="2"/>
      <c r="B159" s="4"/>
      <c r="C159" s="18"/>
      <c r="E159" s="20">
        <v>45721</v>
      </c>
      <c r="F159" s="17" t="s">
        <v>92</v>
      </c>
      <c r="G159" s="21">
        <v>9</v>
      </c>
      <c r="H159" s="21">
        <v>13</v>
      </c>
      <c r="I159" s="25">
        <v>0.15769230769230769</v>
      </c>
      <c r="J159" s="21">
        <v>1.3</v>
      </c>
      <c r="K159" s="21">
        <v>0.1125</v>
      </c>
      <c r="L159" s="21">
        <v>0</v>
      </c>
      <c r="M159" s="17" t="s">
        <v>121</v>
      </c>
      <c r="N159" s="17" t="s">
        <v>115</v>
      </c>
      <c r="O159" s="21">
        <v>0.65</v>
      </c>
      <c r="P159" s="21">
        <v>0</v>
      </c>
    </row>
    <row r="160" spans="1:16" ht="16.5" x14ac:dyDescent="0.25">
      <c r="A160" s="2"/>
      <c r="B160" s="4"/>
      <c r="C160" s="18"/>
      <c r="E160" s="20">
        <v>45721</v>
      </c>
      <c r="F160" s="17" t="s">
        <v>92</v>
      </c>
      <c r="G160" s="21">
        <v>9</v>
      </c>
      <c r="H160" s="21">
        <v>12.5</v>
      </c>
      <c r="I160" s="25">
        <v>0.13</v>
      </c>
      <c r="J160" s="21">
        <v>1.25</v>
      </c>
      <c r="K160" s="21">
        <v>0.1125</v>
      </c>
      <c r="L160" s="21">
        <v>0</v>
      </c>
      <c r="M160" s="17" t="s">
        <v>120</v>
      </c>
      <c r="N160" s="17" t="s">
        <v>115</v>
      </c>
      <c r="O160" s="21">
        <v>0.625</v>
      </c>
      <c r="P160" s="21">
        <v>0</v>
      </c>
    </row>
    <row r="161" spans="1:16" ht="16.5" x14ac:dyDescent="0.25">
      <c r="A161" s="2"/>
      <c r="B161" s="4"/>
      <c r="C161" s="18"/>
      <c r="E161" s="20">
        <v>45721</v>
      </c>
      <c r="F161" s="17" t="s">
        <v>92</v>
      </c>
      <c r="G161" s="21">
        <v>9</v>
      </c>
      <c r="H161" s="21">
        <v>12</v>
      </c>
      <c r="I161" s="25">
        <v>9.9999999999999978E-2</v>
      </c>
      <c r="J161" s="21">
        <v>1.2000000000000002</v>
      </c>
      <c r="K161" s="21">
        <v>0.1125</v>
      </c>
      <c r="L161" s="21">
        <v>0</v>
      </c>
      <c r="M161" s="17" t="s">
        <v>113</v>
      </c>
      <c r="N161" s="17" t="s">
        <v>115</v>
      </c>
      <c r="O161" s="21">
        <v>0.60000000000000009</v>
      </c>
      <c r="P161" s="21">
        <v>0</v>
      </c>
    </row>
    <row r="162" spans="1:16" ht="16.5" x14ac:dyDescent="0.25">
      <c r="A162" s="2"/>
      <c r="B162" s="4"/>
      <c r="C162" s="18"/>
      <c r="E162" s="20">
        <v>45716</v>
      </c>
      <c r="F162" s="17" t="s">
        <v>199</v>
      </c>
      <c r="G162" s="21">
        <v>34.068750000000001</v>
      </c>
      <c r="H162" s="21">
        <v>62</v>
      </c>
      <c r="I162" s="25">
        <v>0.12120403225806441</v>
      </c>
      <c r="J162" s="21">
        <v>6.2</v>
      </c>
      <c r="K162" s="21">
        <v>0.43125000000000002</v>
      </c>
      <c r="L162" s="21">
        <v>7.4399999999999995</v>
      </c>
      <c r="M162" s="17" t="s">
        <v>121</v>
      </c>
      <c r="N162" s="17" t="s">
        <v>117</v>
      </c>
      <c r="O162" s="21">
        <v>3.1</v>
      </c>
      <c r="P162" s="21">
        <v>11.116600000000002</v>
      </c>
    </row>
    <row r="163" spans="1:16" ht="16.5" x14ac:dyDescent="0.25">
      <c r="A163" s="2"/>
      <c r="B163" s="4"/>
      <c r="C163" s="18"/>
      <c r="E163" s="20">
        <v>45716</v>
      </c>
      <c r="F163" s="17" t="s">
        <v>199</v>
      </c>
      <c r="G163" s="21">
        <v>34.068750000000001</v>
      </c>
      <c r="H163" s="21">
        <v>60</v>
      </c>
      <c r="I163" s="25">
        <v>0.10288749999999994</v>
      </c>
      <c r="J163" s="21">
        <v>6</v>
      </c>
      <c r="K163" s="21">
        <v>0.43125000000000002</v>
      </c>
      <c r="L163" s="21">
        <v>7.1999999999999993</v>
      </c>
      <c r="M163" s="17" t="s">
        <v>120</v>
      </c>
      <c r="N163" s="17" t="s">
        <v>117</v>
      </c>
      <c r="O163" s="21">
        <v>3</v>
      </c>
      <c r="P163" s="21">
        <v>10.758000000000001</v>
      </c>
    </row>
    <row r="164" spans="1:16" ht="16.5" x14ac:dyDescent="0.25">
      <c r="A164" s="2"/>
      <c r="B164" s="4"/>
      <c r="C164" s="18"/>
      <c r="E164" s="20">
        <v>45716</v>
      </c>
      <c r="F164" s="17" t="s">
        <v>199</v>
      </c>
      <c r="G164" s="21">
        <v>34.068750000000001</v>
      </c>
      <c r="H164" s="21">
        <v>58</v>
      </c>
      <c r="I164" s="25">
        <v>8.3307758620689606E-2</v>
      </c>
      <c r="J164" s="21">
        <v>5.8000000000000007</v>
      </c>
      <c r="K164" s="21">
        <v>0.43125000000000002</v>
      </c>
      <c r="L164" s="21">
        <v>6.96</v>
      </c>
      <c r="M164" s="17" t="s">
        <v>113</v>
      </c>
      <c r="N164" s="17" t="s">
        <v>117</v>
      </c>
      <c r="O164" s="21">
        <v>2.9000000000000004</v>
      </c>
      <c r="P164" s="21">
        <v>10.3994</v>
      </c>
    </row>
    <row r="165" spans="1:16" ht="16.5" x14ac:dyDescent="0.25">
      <c r="A165" s="2"/>
      <c r="B165" s="4"/>
      <c r="C165" s="18"/>
      <c r="E165" s="20">
        <v>45716</v>
      </c>
      <c r="F165" s="17" t="s">
        <v>199</v>
      </c>
      <c r="G165" s="21">
        <v>34.5</v>
      </c>
      <c r="H165" s="21">
        <v>57</v>
      </c>
      <c r="I165" s="25">
        <v>0.18973684210526318</v>
      </c>
      <c r="J165" s="21">
        <v>5.7</v>
      </c>
      <c r="K165" s="21">
        <v>0</v>
      </c>
      <c r="L165" s="21">
        <v>3.1350000000000002</v>
      </c>
      <c r="M165" s="17" t="s">
        <v>121</v>
      </c>
      <c r="N165" s="17" t="s">
        <v>116</v>
      </c>
      <c r="O165" s="21">
        <v>2.85</v>
      </c>
      <c r="P165" s="21">
        <v>3.1350000000000002</v>
      </c>
    </row>
    <row r="166" spans="1:16" ht="16.5" x14ac:dyDescent="0.25">
      <c r="A166" s="2"/>
      <c r="B166" s="4"/>
      <c r="C166" s="18"/>
      <c r="E166" s="20">
        <v>45716</v>
      </c>
      <c r="F166" s="17" t="s">
        <v>199</v>
      </c>
      <c r="G166" s="21">
        <v>34.5</v>
      </c>
      <c r="H166" s="21">
        <v>55</v>
      </c>
      <c r="I166" s="25">
        <v>0.16772727272727275</v>
      </c>
      <c r="J166" s="21">
        <v>5.5</v>
      </c>
      <c r="K166" s="21">
        <v>0</v>
      </c>
      <c r="L166" s="21">
        <v>3.0249999999999999</v>
      </c>
      <c r="M166" s="17" t="s">
        <v>120</v>
      </c>
      <c r="N166" s="17" t="s">
        <v>116</v>
      </c>
      <c r="O166" s="21">
        <v>2.75</v>
      </c>
      <c r="P166" s="21">
        <v>3.0249999999999999</v>
      </c>
    </row>
    <row r="167" spans="1:16" ht="16.5" x14ac:dyDescent="0.25">
      <c r="A167" s="2"/>
      <c r="B167" s="4"/>
      <c r="C167" s="18"/>
      <c r="E167" s="20">
        <v>45716</v>
      </c>
      <c r="F167" s="17" t="s">
        <v>199</v>
      </c>
      <c r="G167" s="21">
        <v>34.5</v>
      </c>
      <c r="H167" s="21">
        <v>53</v>
      </c>
      <c r="I167" s="25">
        <v>0.1440566037735849</v>
      </c>
      <c r="J167" s="21">
        <v>5.3000000000000007</v>
      </c>
      <c r="K167" s="21">
        <v>0</v>
      </c>
      <c r="L167" s="21">
        <v>2.915</v>
      </c>
      <c r="M167" s="17" t="s">
        <v>113</v>
      </c>
      <c r="N167" s="17" t="s">
        <v>116</v>
      </c>
      <c r="O167" s="21">
        <v>2.6500000000000004</v>
      </c>
      <c r="P167" s="21">
        <v>2.915</v>
      </c>
    </row>
    <row r="168" spans="1:16" ht="16.5" x14ac:dyDescent="0.25">
      <c r="A168" s="2"/>
      <c r="B168" s="4"/>
      <c r="C168" s="18"/>
      <c r="E168" s="20">
        <v>45716</v>
      </c>
      <c r="F168" s="17" t="s">
        <v>199</v>
      </c>
      <c r="G168" s="21">
        <v>34.5</v>
      </c>
      <c r="H168" s="21">
        <v>50</v>
      </c>
      <c r="I168" s="25">
        <v>0.16</v>
      </c>
      <c r="J168" s="21">
        <v>5</v>
      </c>
      <c r="K168" s="21">
        <v>0.43125000000000002</v>
      </c>
      <c r="L168" s="21">
        <v>0</v>
      </c>
      <c r="M168" s="17" t="s">
        <v>121</v>
      </c>
      <c r="N168" s="17" t="s">
        <v>115</v>
      </c>
      <c r="O168" s="21">
        <v>2.5</v>
      </c>
      <c r="P168" s="21">
        <v>0</v>
      </c>
    </row>
    <row r="169" spans="1:16" ht="16.5" x14ac:dyDescent="0.25">
      <c r="A169" s="2"/>
      <c r="B169" s="4"/>
      <c r="C169" s="18"/>
      <c r="E169" s="20">
        <v>45716</v>
      </c>
      <c r="F169" s="17" t="s">
        <v>199</v>
      </c>
      <c r="G169" s="21">
        <v>34.5</v>
      </c>
      <c r="H169" s="21">
        <v>48</v>
      </c>
      <c r="I169" s="25">
        <v>0.13124999999999998</v>
      </c>
      <c r="J169" s="21">
        <v>4.8000000000000007</v>
      </c>
      <c r="K169" s="21">
        <v>0.43125000000000002</v>
      </c>
      <c r="L169" s="21">
        <v>0</v>
      </c>
      <c r="M169" s="17" t="s">
        <v>120</v>
      </c>
      <c r="N169" s="17" t="s">
        <v>115</v>
      </c>
      <c r="O169" s="21">
        <v>2.4000000000000004</v>
      </c>
      <c r="P169" s="21">
        <v>0</v>
      </c>
    </row>
    <row r="170" spans="1:16" ht="16.5" x14ac:dyDescent="0.25">
      <c r="A170" s="2"/>
      <c r="B170" s="4"/>
      <c r="C170" s="18"/>
      <c r="E170" s="20">
        <v>45716</v>
      </c>
      <c r="F170" s="17" t="s">
        <v>199</v>
      </c>
      <c r="G170" s="21">
        <v>34.5</v>
      </c>
      <c r="H170" s="21">
        <v>46</v>
      </c>
      <c r="I170" s="25">
        <v>9.9999999999999978E-2</v>
      </c>
      <c r="J170" s="21">
        <v>4.6000000000000005</v>
      </c>
      <c r="K170" s="21">
        <v>0.43125000000000002</v>
      </c>
      <c r="L170" s="21">
        <v>0</v>
      </c>
      <c r="M170" s="17" t="s">
        <v>113</v>
      </c>
      <c r="N170" s="17" t="s">
        <v>115</v>
      </c>
      <c r="O170" s="21">
        <v>2.3000000000000003</v>
      </c>
      <c r="P170" s="21">
        <v>0</v>
      </c>
    </row>
    <row r="171" spans="1:16" ht="16.5" x14ac:dyDescent="0.25">
      <c r="A171" s="2"/>
      <c r="B171" s="4"/>
      <c r="C171" s="18"/>
      <c r="E171" s="20">
        <v>45716</v>
      </c>
      <c r="F171" s="17" t="s">
        <v>200</v>
      </c>
      <c r="G171" s="21">
        <v>34.5625</v>
      </c>
      <c r="H171" s="21">
        <v>64</v>
      </c>
      <c r="I171" s="25">
        <v>0.13066093749999999</v>
      </c>
      <c r="J171" s="21">
        <v>6.4</v>
      </c>
      <c r="K171" s="21">
        <v>0.4375</v>
      </c>
      <c r="L171" s="21">
        <v>7.68</v>
      </c>
      <c r="M171" s="17" t="s">
        <v>121</v>
      </c>
      <c r="N171" s="17" t="s">
        <v>117</v>
      </c>
      <c r="O171" s="21">
        <v>3.2</v>
      </c>
      <c r="P171" s="21">
        <v>11.475200000000001</v>
      </c>
    </row>
    <row r="172" spans="1:16" ht="16.5" x14ac:dyDescent="0.25">
      <c r="A172" s="2"/>
      <c r="B172" s="4"/>
      <c r="C172" s="18"/>
      <c r="E172" s="20">
        <v>45716</v>
      </c>
      <c r="F172" s="17" t="s">
        <v>200</v>
      </c>
      <c r="G172" s="21">
        <v>34.5625</v>
      </c>
      <c r="H172" s="21">
        <v>62</v>
      </c>
      <c r="I172" s="25">
        <v>0.11324032258064508</v>
      </c>
      <c r="J172" s="21">
        <v>6.2</v>
      </c>
      <c r="K172" s="21">
        <v>0.4375</v>
      </c>
      <c r="L172" s="21">
        <v>7.4399999999999995</v>
      </c>
      <c r="M172" s="17" t="s">
        <v>120</v>
      </c>
      <c r="N172" s="17" t="s">
        <v>117</v>
      </c>
      <c r="O172" s="21">
        <v>3.1</v>
      </c>
      <c r="P172" s="21">
        <v>11.116600000000002</v>
      </c>
    </row>
    <row r="173" spans="1:16" ht="16.5" x14ac:dyDescent="0.25">
      <c r="A173" s="2"/>
      <c r="B173" s="4"/>
      <c r="C173" s="18"/>
      <c r="E173" s="20">
        <v>45716</v>
      </c>
      <c r="F173" s="17" t="s">
        <v>200</v>
      </c>
      <c r="G173" s="21">
        <v>34.5625</v>
      </c>
      <c r="H173" s="21">
        <v>60</v>
      </c>
      <c r="I173" s="25">
        <v>9.4658333333333289E-2</v>
      </c>
      <c r="J173" s="21">
        <v>6</v>
      </c>
      <c r="K173" s="21">
        <v>0.4375</v>
      </c>
      <c r="L173" s="21">
        <v>7.1999999999999993</v>
      </c>
      <c r="M173" s="17" t="s">
        <v>113</v>
      </c>
      <c r="N173" s="17" t="s">
        <v>117</v>
      </c>
      <c r="O173" s="21">
        <v>3</v>
      </c>
      <c r="P173" s="21">
        <v>10.758000000000001</v>
      </c>
    </row>
    <row r="174" spans="1:16" ht="16.5" x14ac:dyDescent="0.25">
      <c r="A174" s="2"/>
      <c r="B174" s="4"/>
      <c r="C174" s="18"/>
      <c r="E174" s="20">
        <v>45716</v>
      </c>
      <c r="F174" s="17" t="s">
        <v>200</v>
      </c>
      <c r="G174" s="21">
        <v>34.5625</v>
      </c>
      <c r="H174" s="21">
        <v>63</v>
      </c>
      <c r="I174" s="25">
        <v>0.12208888888888882</v>
      </c>
      <c r="J174" s="21">
        <v>6.3000000000000007</v>
      </c>
      <c r="K174" s="21">
        <v>0.4375</v>
      </c>
      <c r="L174" s="21">
        <v>7.56</v>
      </c>
      <c r="M174" s="17" t="s">
        <v>121</v>
      </c>
      <c r="N174" s="17" t="s">
        <v>117</v>
      </c>
      <c r="O174" s="21">
        <v>3.1500000000000004</v>
      </c>
      <c r="P174" s="21">
        <v>11.295900000000001</v>
      </c>
    </row>
    <row r="175" spans="1:16" ht="16.5" x14ac:dyDescent="0.25">
      <c r="A175" s="2"/>
      <c r="B175" s="4"/>
      <c r="C175" s="18"/>
      <c r="E175" s="20">
        <v>45716</v>
      </c>
      <c r="F175" s="17" t="s">
        <v>200</v>
      </c>
      <c r="G175" s="21">
        <v>34.5625</v>
      </c>
      <c r="H175" s="21">
        <v>61</v>
      </c>
      <c r="I175" s="25">
        <v>0.10410163934426227</v>
      </c>
      <c r="J175" s="21">
        <v>6.1000000000000005</v>
      </c>
      <c r="K175" s="21">
        <v>0.4375</v>
      </c>
      <c r="L175" s="21">
        <v>7.3199999999999994</v>
      </c>
      <c r="M175" s="17" t="s">
        <v>120</v>
      </c>
      <c r="N175" s="17" t="s">
        <v>117</v>
      </c>
      <c r="O175" s="21">
        <v>3.0500000000000003</v>
      </c>
      <c r="P175" s="21">
        <v>10.9373</v>
      </c>
    </row>
    <row r="176" spans="1:16" ht="16.5" x14ac:dyDescent="0.25">
      <c r="A176" s="2"/>
      <c r="B176" s="4"/>
      <c r="C176" s="18"/>
      <c r="E176" s="20">
        <v>45716</v>
      </c>
      <c r="F176" s="17" t="s">
        <v>200</v>
      </c>
      <c r="G176" s="21">
        <v>34.5625</v>
      </c>
      <c r="H176" s="21">
        <v>59</v>
      </c>
      <c r="I176" s="25">
        <v>8.4894915254237327E-2</v>
      </c>
      <c r="J176" s="21">
        <v>5.9</v>
      </c>
      <c r="K176" s="21">
        <v>0.4375</v>
      </c>
      <c r="L176" s="21">
        <v>7.08</v>
      </c>
      <c r="M176" s="17" t="s">
        <v>113</v>
      </c>
      <c r="N176" s="17" t="s">
        <v>117</v>
      </c>
      <c r="O176" s="21">
        <v>2.95</v>
      </c>
      <c r="P176" s="21">
        <v>10.578700000000001</v>
      </c>
    </row>
    <row r="177" spans="1:16" ht="16.5" x14ac:dyDescent="0.25">
      <c r="A177" s="2"/>
      <c r="B177" s="4"/>
      <c r="C177" s="18"/>
      <c r="E177" s="20">
        <v>45716</v>
      </c>
      <c r="F177" s="17" t="s">
        <v>200</v>
      </c>
      <c r="G177" s="21">
        <v>35</v>
      </c>
      <c r="H177" s="21">
        <v>58</v>
      </c>
      <c r="I177" s="25">
        <v>0.19155172413793109</v>
      </c>
      <c r="J177" s="21">
        <v>5.8000000000000007</v>
      </c>
      <c r="K177" s="21">
        <v>0</v>
      </c>
      <c r="L177" s="21">
        <v>3.19</v>
      </c>
      <c r="M177" s="17" t="s">
        <v>121</v>
      </c>
      <c r="N177" s="17" t="s">
        <v>116</v>
      </c>
      <c r="O177" s="21">
        <v>2.9000000000000004</v>
      </c>
      <c r="P177" s="21">
        <v>3.19</v>
      </c>
    </row>
    <row r="178" spans="1:16" ht="16.5" x14ac:dyDescent="0.25">
      <c r="A178" s="2"/>
      <c r="B178" s="4"/>
      <c r="C178" s="18"/>
      <c r="E178" s="20">
        <v>45716</v>
      </c>
      <c r="F178" s="17" t="s">
        <v>200</v>
      </c>
      <c r="G178" s="21">
        <v>35</v>
      </c>
      <c r="H178" s="21">
        <v>56</v>
      </c>
      <c r="I178" s="25">
        <v>0.16999999999999998</v>
      </c>
      <c r="J178" s="21">
        <v>5.6000000000000005</v>
      </c>
      <c r="K178" s="21">
        <v>0</v>
      </c>
      <c r="L178" s="21">
        <v>3.08</v>
      </c>
      <c r="M178" s="17" t="s">
        <v>120</v>
      </c>
      <c r="N178" s="17" t="s">
        <v>116</v>
      </c>
      <c r="O178" s="21">
        <v>2.8000000000000003</v>
      </c>
      <c r="P178" s="21">
        <v>3.08</v>
      </c>
    </row>
    <row r="179" spans="1:16" ht="16.5" x14ac:dyDescent="0.25">
      <c r="A179" s="2"/>
      <c r="B179" s="4"/>
      <c r="C179" s="18"/>
      <c r="E179" s="20">
        <v>45716</v>
      </c>
      <c r="F179" s="17" t="s">
        <v>200</v>
      </c>
      <c r="G179" s="21">
        <v>35</v>
      </c>
      <c r="H179" s="21">
        <v>54</v>
      </c>
      <c r="I179" s="25">
        <v>0.14685185185185187</v>
      </c>
      <c r="J179" s="21">
        <v>5.4</v>
      </c>
      <c r="K179" s="21">
        <v>0</v>
      </c>
      <c r="L179" s="21">
        <v>2.97</v>
      </c>
      <c r="M179" s="17" t="s">
        <v>113</v>
      </c>
      <c r="N179" s="17" t="s">
        <v>116</v>
      </c>
      <c r="O179" s="21">
        <v>2.7</v>
      </c>
      <c r="P179" s="21">
        <v>2.97</v>
      </c>
    </row>
    <row r="180" spans="1:16" ht="16.5" x14ac:dyDescent="0.25">
      <c r="A180" s="2"/>
      <c r="B180" s="4"/>
      <c r="C180" s="18"/>
      <c r="E180" s="20">
        <v>45716</v>
      </c>
      <c r="F180" s="17" t="s">
        <v>200</v>
      </c>
      <c r="G180" s="21">
        <v>35</v>
      </c>
      <c r="H180" s="21">
        <v>53</v>
      </c>
      <c r="I180" s="25">
        <v>0.18962264150943395</v>
      </c>
      <c r="J180" s="21">
        <v>5.3000000000000007</v>
      </c>
      <c r="K180" s="21">
        <v>0.4375</v>
      </c>
      <c r="L180" s="21">
        <v>0</v>
      </c>
      <c r="M180" s="17" t="s">
        <v>121</v>
      </c>
      <c r="N180" s="17" t="s">
        <v>115</v>
      </c>
      <c r="O180" s="21">
        <v>2.6500000000000004</v>
      </c>
      <c r="P180" s="21">
        <v>0</v>
      </c>
    </row>
    <row r="181" spans="1:16" ht="16.5" x14ac:dyDescent="0.25">
      <c r="A181" s="2"/>
      <c r="B181" s="4"/>
      <c r="C181" s="18"/>
      <c r="E181" s="20">
        <v>45716</v>
      </c>
      <c r="F181" s="17" t="s">
        <v>200</v>
      </c>
      <c r="G181" s="21">
        <v>35</v>
      </c>
      <c r="H181" s="21">
        <v>51</v>
      </c>
      <c r="I181" s="25">
        <v>0.16372549019607838</v>
      </c>
      <c r="J181" s="21">
        <v>5.1000000000000005</v>
      </c>
      <c r="K181" s="21">
        <v>0.4375</v>
      </c>
      <c r="L181" s="21">
        <v>0</v>
      </c>
      <c r="M181" s="17" t="s">
        <v>120</v>
      </c>
      <c r="N181" s="17" t="s">
        <v>115</v>
      </c>
      <c r="O181" s="21">
        <v>2.5500000000000003</v>
      </c>
      <c r="P181" s="21">
        <v>0</v>
      </c>
    </row>
    <row r="182" spans="1:16" ht="16.5" x14ac:dyDescent="0.25">
      <c r="A182" s="2"/>
      <c r="B182" s="4"/>
      <c r="C182" s="18"/>
      <c r="E182" s="20">
        <v>45716</v>
      </c>
      <c r="F182" s="17" t="s">
        <v>200</v>
      </c>
      <c r="G182" s="21">
        <v>35</v>
      </c>
      <c r="H182" s="21">
        <v>49</v>
      </c>
      <c r="I182" s="25">
        <v>0.13571428571428573</v>
      </c>
      <c r="J182" s="21">
        <v>4.9000000000000004</v>
      </c>
      <c r="K182" s="21">
        <v>0.4375</v>
      </c>
      <c r="L182" s="21">
        <v>0</v>
      </c>
      <c r="M182" s="17" t="s">
        <v>113</v>
      </c>
      <c r="N182" s="17" t="s">
        <v>115</v>
      </c>
      <c r="O182" s="21">
        <v>2.4500000000000002</v>
      </c>
      <c r="P182" s="21">
        <v>0</v>
      </c>
    </row>
    <row r="183" spans="1:16" ht="16.5" x14ac:dyDescent="0.25">
      <c r="A183" s="2"/>
      <c r="B183" s="4"/>
      <c r="C183" s="18"/>
      <c r="E183" s="20">
        <v>45716</v>
      </c>
      <c r="F183" s="17" t="s">
        <v>201</v>
      </c>
      <c r="G183" s="21">
        <v>17.774999999999999</v>
      </c>
      <c r="H183" s="21">
        <v>32</v>
      </c>
      <c r="I183" s="25">
        <v>0.11523125000000004</v>
      </c>
      <c r="J183" s="21">
        <v>3.2</v>
      </c>
      <c r="K183" s="21">
        <v>0.22500000000000001</v>
      </c>
      <c r="L183" s="21">
        <v>3.84</v>
      </c>
      <c r="M183" s="17" t="s">
        <v>121</v>
      </c>
      <c r="N183" s="17" t="s">
        <v>117</v>
      </c>
      <c r="O183" s="21">
        <v>1.6</v>
      </c>
      <c r="P183" s="21">
        <v>5.7376000000000005</v>
      </c>
    </row>
    <row r="184" spans="1:16" ht="16.5" x14ac:dyDescent="0.25">
      <c r="A184" s="2"/>
      <c r="B184" s="4"/>
      <c r="C184" s="18"/>
      <c r="E184" s="20">
        <v>45716</v>
      </c>
      <c r="F184" s="17" t="s">
        <v>201</v>
      </c>
      <c r="G184" s="21">
        <v>17.774999999999999</v>
      </c>
      <c r="H184" s="21">
        <v>31</v>
      </c>
      <c r="I184" s="25">
        <v>9.7312903225806408E-2</v>
      </c>
      <c r="J184" s="21">
        <v>3.1</v>
      </c>
      <c r="K184" s="21">
        <v>0.22500000000000001</v>
      </c>
      <c r="L184" s="21">
        <v>3.7199999999999998</v>
      </c>
      <c r="M184" s="17" t="s">
        <v>120</v>
      </c>
      <c r="N184" s="17" t="s">
        <v>117</v>
      </c>
      <c r="O184" s="21">
        <v>1.55</v>
      </c>
      <c r="P184" s="21">
        <v>5.5583000000000009</v>
      </c>
    </row>
    <row r="185" spans="1:16" ht="16.5" x14ac:dyDescent="0.25">
      <c r="A185" s="2"/>
      <c r="B185" s="4"/>
      <c r="C185" s="18"/>
      <c r="E185" s="20">
        <v>45716</v>
      </c>
      <c r="F185" s="17" t="s">
        <v>201</v>
      </c>
      <c r="G185" s="21">
        <v>17.774999999999999</v>
      </c>
      <c r="H185" s="21">
        <v>30</v>
      </c>
      <c r="I185" s="25">
        <v>7.8200000000000006E-2</v>
      </c>
      <c r="J185" s="21">
        <v>3</v>
      </c>
      <c r="K185" s="21">
        <v>0.22500000000000001</v>
      </c>
      <c r="L185" s="21">
        <v>3.5999999999999996</v>
      </c>
      <c r="M185" s="17" t="s">
        <v>113</v>
      </c>
      <c r="N185" s="17" t="s">
        <v>117</v>
      </c>
      <c r="O185" s="21">
        <v>1.5</v>
      </c>
      <c r="P185" s="21">
        <v>5.3790000000000004</v>
      </c>
    </row>
    <row r="186" spans="1:16" ht="16.5" x14ac:dyDescent="0.25">
      <c r="A186" s="2"/>
      <c r="B186" s="4"/>
      <c r="C186" s="18"/>
      <c r="E186" s="20">
        <v>45716</v>
      </c>
      <c r="F186" s="17" t="s">
        <v>201</v>
      </c>
      <c r="G186" s="21">
        <v>18</v>
      </c>
      <c r="H186" s="21">
        <v>29.5</v>
      </c>
      <c r="I186" s="25">
        <v>0.18483050847457633</v>
      </c>
      <c r="J186" s="21">
        <v>2.95</v>
      </c>
      <c r="K186" s="21">
        <v>0</v>
      </c>
      <c r="L186" s="21">
        <v>1.6225000000000001</v>
      </c>
      <c r="M186" s="17" t="s">
        <v>121</v>
      </c>
      <c r="N186" s="17" t="s">
        <v>116</v>
      </c>
      <c r="O186" s="21">
        <v>1.4750000000000001</v>
      </c>
      <c r="P186" s="21">
        <v>1.6225000000000001</v>
      </c>
    </row>
    <row r="187" spans="1:16" ht="16.5" x14ac:dyDescent="0.25">
      <c r="A187" s="2"/>
      <c r="B187" s="4"/>
      <c r="C187" s="18"/>
      <c r="E187" s="20">
        <v>45716</v>
      </c>
      <c r="F187" s="17" t="s">
        <v>201</v>
      </c>
      <c r="G187" s="21">
        <v>18</v>
      </c>
      <c r="H187" s="21">
        <v>28.5</v>
      </c>
      <c r="I187" s="25">
        <v>0.16342105263157897</v>
      </c>
      <c r="J187" s="21">
        <v>2.85</v>
      </c>
      <c r="K187" s="21">
        <v>0</v>
      </c>
      <c r="L187" s="21">
        <v>1.5675000000000001</v>
      </c>
      <c r="M187" s="17" t="s">
        <v>120</v>
      </c>
      <c r="N187" s="17" t="s">
        <v>116</v>
      </c>
      <c r="O187" s="21">
        <v>1.425</v>
      </c>
      <c r="P187" s="21">
        <v>1.5675000000000001</v>
      </c>
    </row>
    <row r="188" spans="1:16" ht="16.5" x14ac:dyDescent="0.25">
      <c r="A188" s="2"/>
      <c r="B188" s="4"/>
      <c r="C188" s="18"/>
      <c r="E188" s="20">
        <v>45716</v>
      </c>
      <c r="F188" s="17" t="s">
        <v>201</v>
      </c>
      <c r="G188" s="21">
        <v>18</v>
      </c>
      <c r="H188" s="21">
        <v>27.5</v>
      </c>
      <c r="I188" s="25">
        <v>0.14045454545454547</v>
      </c>
      <c r="J188" s="21">
        <v>2.75</v>
      </c>
      <c r="K188" s="21">
        <v>0</v>
      </c>
      <c r="L188" s="21">
        <v>1.5125</v>
      </c>
      <c r="M188" s="17" t="s">
        <v>113</v>
      </c>
      <c r="N188" s="17" t="s">
        <v>116</v>
      </c>
      <c r="O188" s="21">
        <v>1.375</v>
      </c>
      <c r="P188" s="21">
        <v>1.5125</v>
      </c>
    </row>
    <row r="189" spans="1:16" ht="16.5" x14ac:dyDescent="0.25">
      <c r="A189" s="2"/>
      <c r="B189" s="4"/>
      <c r="C189" s="18"/>
      <c r="E189" s="20">
        <v>45716</v>
      </c>
      <c r="F189" s="17" t="s">
        <v>201</v>
      </c>
      <c r="G189" s="21">
        <v>18</v>
      </c>
      <c r="H189" s="21">
        <v>27.5</v>
      </c>
      <c r="I189" s="25">
        <v>0.14045454545454547</v>
      </c>
      <c r="J189" s="21">
        <v>2.75</v>
      </c>
      <c r="K189" s="21">
        <v>0</v>
      </c>
      <c r="L189" s="21">
        <v>1.5125</v>
      </c>
      <c r="M189" s="17" t="s">
        <v>121</v>
      </c>
      <c r="N189" s="17" t="s">
        <v>116</v>
      </c>
      <c r="O189" s="21">
        <v>1.375</v>
      </c>
      <c r="P189" s="21">
        <v>1.5125</v>
      </c>
    </row>
    <row r="190" spans="1:16" ht="16.5" x14ac:dyDescent="0.25">
      <c r="A190" s="2"/>
      <c r="B190" s="4"/>
      <c r="C190" s="18"/>
      <c r="E190" s="20">
        <v>45716</v>
      </c>
      <c r="F190" s="17" t="s">
        <v>201</v>
      </c>
      <c r="G190" s="21">
        <v>18</v>
      </c>
      <c r="H190" s="21">
        <v>26.5</v>
      </c>
      <c r="I190" s="25">
        <v>0.17075471698113207</v>
      </c>
      <c r="J190" s="21">
        <v>2.6500000000000004</v>
      </c>
      <c r="K190" s="21">
        <v>0.22500000000000001</v>
      </c>
      <c r="L190" s="21">
        <v>0</v>
      </c>
      <c r="M190" s="17" t="s">
        <v>121</v>
      </c>
      <c r="N190" s="17" t="s">
        <v>115</v>
      </c>
      <c r="O190" s="21">
        <v>1.3250000000000002</v>
      </c>
      <c r="P190" s="21">
        <v>0</v>
      </c>
    </row>
    <row r="191" spans="1:16" ht="16.5" x14ac:dyDescent="0.25">
      <c r="A191" s="2"/>
      <c r="B191" s="4"/>
      <c r="C191" s="18"/>
      <c r="E191" s="20">
        <v>45716</v>
      </c>
      <c r="F191" s="17" t="s">
        <v>201</v>
      </c>
      <c r="G191" s="21">
        <v>18</v>
      </c>
      <c r="H191" s="21">
        <v>25.5</v>
      </c>
      <c r="I191" s="25">
        <v>0.14411764705882352</v>
      </c>
      <c r="J191" s="21">
        <v>2.5500000000000003</v>
      </c>
      <c r="K191" s="21">
        <v>0.22500000000000001</v>
      </c>
      <c r="L191" s="21">
        <v>0</v>
      </c>
      <c r="M191" s="17" t="s">
        <v>120</v>
      </c>
      <c r="N191" s="17" t="s">
        <v>115</v>
      </c>
      <c r="O191" s="21">
        <v>1.2750000000000001</v>
      </c>
      <c r="P191" s="21">
        <v>0</v>
      </c>
    </row>
    <row r="192" spans="1:16" ht="16.5" x14ac:dyDescent="0.25">
      <c r="A192" s="2"/>
      <c r="B192" s="4"/>
      <c r="C192" s="18"/>
      <c r="E192" s="20">
        <v>45716</v>
      </c>
      <c r="F192" s="17" t="s">
        <v>201</v>
      </c>
      <c r="G192" s="21">
        <v>18</v>
      </c>
      <c r="H192" s="21">
        <v>24.5</v>
      </c>
      <c r="I192" s="25">
        <v>0.1153061224489796</v>
      </c>
      <c r="J192" s="21">
        <v>2.4500000000000002</v>
      </c>
      <c r="K192" s="21">
        <v>0.22500000000000001</v>
      </c>
      <c r="L192" s="21">
        <v>0</v>
      </c>
      <c r="M192" s="17" t="s">
        <v>113</v>
      </c>
      <c r="N192" s="17" t="s">
        <v>115</v>
      </c>
      <c r="O192" s="21">
        <v>1.2250000000000001</v>
      </c>
      <c r="P192" s="21">
        <v>0</v>
      </c>
    </row>
    <row r="193" spans="1:16" ht="16.5" x14ac:dyDescent="0.25">
      <c r="A193" s="2"/>
      <c r="B193" s="4"/>
      <c r="C193" s="18"/>
      <c r="E193" s="20">
        <v>45709</v>
      </c>
      <c r="F193" s="17" t="s">
        <v>103</v>
      </c>
      <c r="G193" s="21">
        <v>10.824000000000002</v>
      </c>
      <c r="H193" s="21">
        <v>19.5</v>
      </c>
      <c r="I193" s="25">
        <v>0.16562307692307693</v>
      </c>
      <c r="J193" s="21">
        <v>1.9500000000000002</v>
      </c>
      <c r="K193" s="21">
        <v>1.476</v>
      </c>
      <c r="L193" s="21">
        <v>1.3650000000000002</v>
      </c>
      <c r="M193" s="17" t="s">
        <v>121</v>
      </c>
      <c r="N193" s="17" t="s">
        <v>117</v>
      </c>
      <c r="O193" s="21">
        <v>0.97500000000000009</v>
      </c>
      <c r="P193" s="21">
        <v>2.52135</v>
      </c>
    </row>
    <row r="194" spans="1:16" ht="16.5" x14ac:dyDescent="0.25">
      <c r="A194" s="2"/>
      <c r="B194" s="4"/>
      <c r="C194" s="18"/>
      <c r="E194" s="20">
        <v>45709</v>
      </c>
      <c r="F194" s="17" t="s">
        <v>103</v>
      </c>
      <c r="G194" s="21">
        <v>10.824000000000002</v>
      </c>
      <c r="H194" s="21">
        <v>18.5</v>
      </c>
      <c r="I194" s="25">
        <v>0.13561891891891878</v>
      </c>
      <c r="J194" s="21">
        <v>1.85</v>
      </c>
      <c r="K194" s="21">
        <v>1.476</v>
      </c>
      <c r="L194" s="21">
        <v>1.2950000000000002</v>
      </c>
      <c r="M194" s="17" t="s">
        <v>120</v>
      </c>
      <c r="N194" s="17" t="s">
        <v>117</v>
      </c>
      <c r="O194" s="21">
        <v>0.92500000000000004</v>
      </c>
      <c r="P194" s="21">
        <v>2.3920499999999998</v>
      </c>
    </row>
    <row r="195" spans="1:16" ht="16.5" x14ac:dyDescent="0.25">
      <c r="A195" s="2"/>
      <c r="B195" s="4"/>
      <c r="C195" s="18"/>
      <c r="E195" s="20">
        <v>45709</v>
      </c>
      <c r="F195" s="17" t="s">
        <v>103</v>
      </c>
      <c r="G195" s="21">
        <v>10.824000000000002</v>
      </c>
      <c r="H195" s="21">
        <v>17.5</v>
      </c>
      <c r="I195" s="25">
        <v>0.10218571428571417</v>
      </c>
      <c r="J195" s="21">
        <v>1.75</v>
      </c>
      <c r="K195" s="21">
        <v>1.476</v>
      </c>
      <c r="L195" s="21">
        <v>1.2250000000000001</v>
      </c>
      <c r="M195" s="17" t="s">
        <v>113</v>
      </c>
      <c r="N195" s="17" t="s">
        <v>117</v>
      </c>
      <c r="O195" s="21">
        <v>0.875</v>
      </c>
      <c r="P195" s="21">
        <v>2.26275</v>
      </c>
    </row>
    <row r="196" spans="1:16" ht="16.5" x14ac:dyDescent="0.25">
      <c r="A196" s="2"/>
      <c r="B196" s="4"/>
      <c r="C196" s="18"/>
      <c r="E196" s="20">
        <v>45709</v>
      </c>
      <c r="F196" s="17" t="s">
        <v>102</v>
      </c>
      <c r="G196" s="21">
        <v>25.695999999999998</v>
      </c>
      <c r="H196" s="21">
        <v>43.5</v>
      </c>
      <c r="I196" s="25">
        <v>0.12998735632183911</v>
      </c>
      <c r="J196" s="21">
        <v>4.3500000000000005</v>
      </c>
      <c r="K196" s="21">
        <v>3.504</v>
      </c>
      <c r="L196" s="21">
        <v>3.0450000000000004</v>
      </c>
      <c r="M196" s="17" t="s">
        <v>121</v>
      </c>
      <c r="N196" s="17" t="s">
        <v>117</v>
      </c>
      <c r="O196" s="21">
        <v>2.1750000000000003</v>
      </c>
      <c r="P196" s="21">
        <v>5.6245500000000002</v>
      </c>
    </row>
    <row r="197" spans="1:16" ht="16.5" x14ac:dyDescent="0.25">
      <c r="A197" s="2"/>
      <c r="B197" s="4"/>
      <c r="C197" s="18"/>
      <c r="E197" s="20">
        <v>45709</v>
      </c>
      <c r="F197" s="17" t="s">
        <v>102</v>
      </c>
      <c r="G197" s="21">
        <v>25.695999999999998</v>
      </c>
      <c r="H197" s="21">
        <v>42.5</v>
      </c>
      <c r="I197" s="25">
        <v>0.11608823529411773</v>
      </c>
      <c r="J197" s="21">
        <v>4.25</v>
      </c>
      <c r="K197" s="21">
        <v>3.504</v>
      </c>
      <c r="L197" s="21">
        <v>2.9750000000000001</v>
      </c>
      <c r="M197" s="17" t="s">
        <v>120</v>
      </c>
      <c r="N197" s="17" t="s">
        <v>117</v>
      </c>
      <c r="O197" s="21">
        <v>2.125</v>
      </c>
      <c r="P197" s="21">
        <v>5.4952499999999995</v>
      </c>
    </row>
    <row r="198" spans="1:16" ht="16.5" x14ac:dyDescent="0.25">
      <c r="A198" s="2"/>
      <c r="B198" s="4"/>
      <c r="C198" s="18"/>
      <c r="E198" s="20">
        <v>45709</v>
      </c>
      <c r="F198" s="17" t="s">
        <v>102</v>
      </c>
      <c r="G198" s="21">
        <v>25.695999999999998</v>
      </c>
      <c r="H198" s="21">
        <v>41.5</v>
      </c>
      <c r="I198" s="25">
        <v>0.10151927710843384</v>
      </c>
      <c r="J198" s="21">
        <v>4.1500000000000004</v>
      </c>
      <c r="K198" s="21">
        <v>3.504</v>
      </c>
      <c r="L198" s="21">
        <v>2.9050000000000002</v>
      </c>
      <c r="M198" s="17" t="s">
        <v>113</v>
      </c>
      <c r="N198" s="17" t="s">
        <v>117</v>
      </c>
      <c r="O198" s="21">
        <v>2.0750000000000002</v>
      </c>
      <c r="P198" s="21">
        <v>5.3659499999999998</v>
      </c>
    </row>
    <row r="199" spans="1:16" ht="16.5" x14ac:dyDescent="0.25">
      <c r="A199" s="2"/>
      <c r="B199" s="4"/>
      <c r="C199" s="18"/>
      <c r="E199" s="20">
        <v>45709</v>
      </c>
      <c r="F199" s="17" t="s">
        <v>101</v>
      </c>
      <c r="G199" s="21">
        <v>13.728</v>
      </c>
      <c r="H199" s="21">
        <v>24.5</v>
      </c>
      <c r="I199" s="25">
        <v>0.16037346938775507</v>
      </c>
      <c r="J199" s="21">
        <v>2.4500000000000002</v>
      </c>
      <c r="K199" s="21">
        <v>1.8719999999999999</v>
      </c>
      <c r="L199" s="21">
        <v>1.7150000000000001</v>
      </c>
      <c r="M199" s="17" t="s">
        <v>121</v>
      </c>
      <c r="N199" s="17" t="s">
        <v>117</v>
      </c>
      <c r="O199" s="21">
        <v>1.2250000000000001</v>
      </c>
      <c r="P199" s="21">
        <v>3.1678500000000001</v>
      </c>
    </row>
    <row r="200" spans="1:16" ht="16.5" x14ac:dyDescent="0.25">
      <c r="A200" s="2"/>
      <c r="B200" s="4"/>
      <c r="C200" s="18"/>
      <c r="E200" s="20">
        <v>45709</v>
      </c>
      <c r="F200" s="17" t="s">
        <v>101</v>
      </c>
      <c r="G200" s="21">
        <v>13.728</v>
      </c>
      <c r="H200" s="21">
        <v>23.5</v>
      </c>
      <c r="I200" s="25">
        <v>0.13652978723404255</v>
      </c>
      <c r="J200" s="21">
        <v>2.35</v>
      </c>
      <c r="K200" s="21">
        <v>1.8719999999999999</v>
      </c>
      <c r="L200" s="21">
        <v>1.6450000000000002</v>
      </c>
      <c r="M200" s="17" t="s">
        <v>120</v>
      </c>
      <c r="N200" s="17" t="s">
        <v>117</v>
      </c>
      <c r="O200" s="21">
        <v>1.175</v>
      </c>
      <c r="P200" s="21">
        <v>3.0385499999999999</v>
      </c>
    </row>
    <row r="201" spans="1:16" ht="16.5" x14ac:dyDescent="0.25">
      <c r="A201" s="2"/>
      <c r="B201" s="4"/>
      <c r="C201" s="18"/>
      <c r="E201" s="20">
        <v>45709</v>
      </c>
      <c r="F201" s="17" t="s">
        <v>101</v>
      </c>
      <c r="G201" s="21">
        <v>13.728</v>
      </c>
      <c r="H201" s="21">
        <v>22.5</v>
      </c>
      <c r="I201" s="25">
        <v>0.11056666666666667</v>
      </c>
      <c r="J201" s="21">
        <v>2.25</v>
      </c>
      <c r="K201" s="21">
        <v>1.8719999999999999</v>
      </c>
      <c r="L201" s="21">
        <v>1.5750000000000002</v>
      </c>
      <c r="M201" s="17" t="s">
        <v>113</v>
      </c>
      <c r="N201" s="17" t="s">
        <v>117</v>
      </c>
      <c r="O201" s="21">
        <v>1.125</v>
      </c>
      <c r="P201" s="21">
        <v>2.9092500000000001</v>
      </c>
    </row>
    <row r="202" spans="1:16" ht="16.5" x14ac:dyDescent="0.25">
      <c r="A202" s="2"/>
      <c r="B202" s="4"/>
      <c r="C202" s="18"/>
      <c r="E202" s="20">
        <v>45693</v>
      </c>
      <c r="F202" s="17" t="s">
        <v>100</v>
      </c>
      <c r="G202" s="21">
        <v>19.75</v>
      </c>
      <c r="H202" s="21">
        <v>34</v>
      </c>
      <c r="I202" s="25">
        <v>8.981764705882353E-2</v>
      </c>
      <c r="J202" s="21">
        <v>3.4000000000000004</v>
      </c>
      <c r="K202" s="21">
        <v>0.25</v>
      </c>
      <c r="L202" s="21">
        <v>4.08</v>
      </c>
      <c r="M202" s="17" t="s">
        <v>121</v>
      </c>
      <c r="N202" s="17" t="s">
        <v>117</v>
      </c>
      <c r="O202" s="21">
        <v>1.7000000000000002</v>
      </c>
      <c r="P202" s="21">
        <v>6.0962000000000005</v>
      </c>
    </row>
    <row r="203" spans="1:16" ht="16.5" x14ac:dyDescent="0.25">
      <c r="A203" s="2"/>
      <c r="B203" s="4"/>
      <c r="C203" s="18"/>
      <c r="E203" s="20">
        <v>45693</v>
      </c>
      <c r="F203" s="17" t="s">
        <v>100</v>
      </c>
      <c r="G203" s="21">
        <v>19.75</v>
      </c>
      <c r="H203" s="21">
        <v>33.5</v>
      </c>
      <c r="I203" s="25">
        <v>8.1147761194029833E-2</v>
      </c>
      <c r="J203" s="21">
        <v>3.35</v>
      </c>
      <c r="K203" s="21">
        <v>0.25</v>
      </c>
      <c r="L203" s="21">
        <v>4.0199999999999996</v>
      </c>
      <c r="M203" s="17" t="s">
        <v>120</v>
      </c>
      <c r="N203" s="17" t="s">
        <v>117</v>
      </c>
      <c r="O203" s="21">
        <v>1.675</v>
      </c>
      <c r="P203" s="21">
        <v>6.0065500000000007</v>
      </c>
    </row>
    <row r="204" spans="1:16" ht="16.5" x14ac:dyDescent="0.25">
      <c r="A204" s="2"/>
      <c r="B204" s="4"/>
      <c r="C204" s="18"/>
      <c r="E204" s="20">
        <v>45693</v>
      </c>
      <c r="F204" s="17" t="s">
        <v>100</v>
      </c>
      <c r="G204" s="21">
        <v>19.75</v>
      </c>
      <c r="H204" s="21">
        <v>33</v>
      </c>
      <c r="I204" s="25">
        <v>7.2215151515151552E-2</v>
      </c>
      <c r="J204" s="21">
        <v>3.3000000000000003</v>
      </c>
      <c r="K204" s="21">
        <v>0.25</v>
      </c>
      <c r="L204" s="21">
        <v>3.96</v>
      </c>
      <c r="M204" s="17" t="s">
        <v>113</v>
      </c>
      <c r="N204" s="17" t="s">
        <v>117</v>
      </c>
      <c r="O204" s="21">
        <v>1.6500000000000001</v>
      </c>
      <c r="P204" s="21">
        <v>5.9169</v>
      </c>
    </row>
    <row r="205" spans="1:16" ht="16.5" x14ac:dyDescent="0.25">
      <c r="A205" s="2"/>
      <c r="B205" s="4"/>
      <c r="C205" s="18"/>
      <c r="E205" s="20">
        <v>45693</v>
      </c>
      <c r="F205" s="17" t="s">
        <v>100</v>
      </c>
      <c r="G205" s="21">
        <v>20</v>
      </c>
      <c r="H205" s="21">
        <v>29</v>
      </c>
      <c r="I205" s="25">
        <v>0.10534482758620692</v>
      </c>
      <c r="J205" s="21">
        <v>2.9000000000000004</v>
      </c>
      <c r="K205" s="21">
        <v>0</v>
      </c>
      <c r="L205" s="21">
        <v>1.595</v>
      </c>
      <c r="M205" s="17" t="s">
        <v>121</v>
      </c>
      <c r="N205" s="17" t="s">
        <v>116</v>
      </c>
      <c r="O205" s="21">
        <v>1.4500000000000002</v>
      </c>
      <c r="P205" s="21">
        <v>1.595</v>
      </c>
    </row>
    <row r="206" spans="1:16" ht="16.5" x14ac:dyDescent="0.25">
      <c r="A206" s="2"/>
      <c r="B206" s="4"/>
      <c r="C206" s="18"/>
      <c r="E206" s="20">
        <v>45693</v>
      </c>
      <c r="F206" s="17" t="s">
        <v>100</v>
      </c>
      <c r="G206" s="21">
        <v>20</v>
      </c>
      <c r="H206" s="21">
        <v>28.5</v>
      </c>
      <c r="I206" s="25">
        <v>9.3245614035087757E-2</v>
      </c>
      <c r="J206" s="21">
        <v>2.85</v>
      </c>
      <c r="K206" s="21">
        <v>0</v>
      </c>
      <c r="L206" s="21">
        <v>1.5675000000000001</v>
      </c>
      <c r="M206" s="17" t="s">
        <v>120</v>
      </c>
      <c r="N206" s="17" t="s">
        <v>116</v>
      </c>
      <c r="O206" s="21">
        <v>1.425</v>
      </c>
      <c r="P206" s="21">
        <v>1.5675000000000001</v>
      </c>
    </row>
    <row r="207" spans="1:16" ht="16.5" x14ac:dyDescent="0.25">
      <c r="A207" s="2"/>
      <c r="B207" s="4"/>
      <c r="C207" s="18"/>
      <c r="E207" s="20">
        <v>45693</v>
      </c>
      <c r="F207" s="17" t="s">
        <v>100</v>
      </c>
      <c r="G207" s="21">
        <v>20</v>
      </c>
      <c r="H207" s="21">
        <v>28</v>
      </c>
      <c r="I207" s="25">
        <v>8.0714285714285725E-2</v>
      </c>
      <c r="J207" s="21">
        <v>2.8000000000000003</v>
      </c>
      <c r="K207" s="21">
        <v>0</v>
      </c>
      <c r="L207" s="21">
        <v>1.54</v>
      </c>
      <c r="M207" s="17" t="s">
        <v>113</v>
      </c>
      <c r="N207" s="17" t="s">
        <v>116</v>
      </c>
      <c r="O207" s="21">
        <v>1.4000000000000001</v>
      </c>
      <c r="P207" s="21">
        <v>1.54</v>
      </c>
    </row>
    <row r="208" spans="1:16" ht="16.5" x14ac:dyDescent="0.25">
      <c r="A208" s="2"/>
      <c r="B208" s="4"/>
      <c r="C208" s="18"/>
      <c r="E208" s="20">
        <v>45693</v>
      </c>
      <c r="F208" s="17" t="s">
        <v>100</v>
      </c>
      <c r="G208" s="21">
        <v>20</v>
      </c>
      <c r="H208" s="21">
        <v>27</v>
      </c>
      <c r="I208" s="25">
        <v>0.10925925925925926</v>
      </c>
      <c r="J208" s="21">
        <v>2.7</v>
      </c>
      <c r="K208" s="21">
        <v>0.25</v>
      </c>
      <c r="L208" s="21">
        <v>0</v>
      </c>
      <c r="M208" s="17" t="s">
        <v>121</v>
      </c>
      <c r="N208" s="17" t="s">
        <v>115</v>
      </c>
      <c r="O208" s="21">
        <v>1.35</v>
      </c>
      <c r="P208" s="21">
        <v>0</v>
      </c>
    </row>
    <row r="209" spans="1:16" ht="16.5" x14ac:dyDescent="0.25">
      <c r="A209" s="2"/>
      <c r="B209" s="4"/>
      <c r="C209" s="18"/>
      <c r="E209" s="20">
        <v>45693</v>
      </c>
      <c r="F209" s="17" t="s">
        <v>100</v>
      </c>
      <c r="G209" s="21">
        <v>20</v>
      </c>
      <c r="H209" s="21">
        <v>26.5</v>
      </c>
      <c r="I209" s="25">
        <v>9.5283018867924507E-2</v>
      </c>
      <c r="J209" s="21">
        <v>2.6500000000000004</v>
      </c>
      <c r="K209" s="21">
        <v>0.25</v>
      </c>
      <c r="L209" s="21">
        <v>0</v>
      </c>
      <c r="M209" s="17" t="s">
        <v>120</v>
      </c>
      <c r="N209" s="17" t="s">
        <v>115</v>
      </c>
      <c r="O209" s="21">
        <v>1.3250000000000002</v>
      </c>
      <c r="P209" s="21">
        <v>0</v>
      </c>
    </row>
    <row r="210" spans="1:16" ht="16.5" x14ac:dyDescent="0.25">
      <c r="A210" s="2"/>
      <c r="B210" s="4"/>
      <c r="C210" s="18"/>
      <c r="E210" s="20">
        <v>45693</v>
      </c>
      <c r="F210" s="17" t="s">
        <v>100</v>
      </c>
      <c r="G210" s="21">
        <v>20</v>
      </c>
      <c r="H210" s="21">
        <v>26</v>
      </c>
      <c r="I210" s="25">
        <v>8.0769230769230774E-2</v>
      </c>
      <c r="J210" s="21">
        <v>2.6</v>
      </c>
      <c r="K210" s="21">
        <v>0.25</v>
      </c>
      <c r="L210" s="21">
        <v>0</v>
      </c>
      <c r="M210" s="17" t="s">
        <v>113</v>
      </c>
      <c r="N210" s="17" t="s">
        <v>115</v>
      </c>
      <c r="O210" s="21">
        <v>1.3</v>
      </c>
      <c r="P210" s="21">
        <v>0</v>
      </c>
    </row>
    <row r="211" spans="1:16" ht="16.5" x14ac:dyDescent="0.25">
      <c r="A211" s="2"/>
      <c r="B211" s="4"/>
      <c r="C211" s="18"/>
      <c r="E211" s="20">
        <v>45693</v>
      </c>
      <c r="F211" s="17" t="s">
        <v>99</v>
      </c>
      <c r="G211" s="21">
        <v>13.824999999999999</v>
      </c>
      <c r="H211" s="21">
        <v>24</v>
      </c>
      <c r="I211" s="25">
        <v>9.465833333333333E-2</v>
      </c>
      <c r="J211" s="21">
        <v>2.4000000000000004</v>
      </c>
      <c r="K211" s="21">
        <v>0.17500000000000002</v>
      </c>
      <c r="L211" s="21">
        <v>2.88</v>
      </c>
      <c r="M211" s="17" t="s">
        <v>121</v>
      </c>
      <c r="N211" s="17" t="s">
        <v>117</v>
      </c>
      <c r="O211" s="21">
        <v>1.2000000000000002</v>
      </c>
      <c r="P211" s="21">
        <v>4.3032000000000004</v>
      </c>
    </row>
    <row r="212" spans="1:16" ht="16.5" x14ac:dyDescent="0.25">
      <c r="A212" s="2"/>
      <c r="B212" s="4"/>
      <c r="C212" s="18"/>
      <c r="E212" s="20">
        <v>45693</v>
      </c>
      <c r="F212" s="17" t="s">
        <v>99</v>
      </c>
      <c r="G212" s="21">
        <v>13.824999999999999</v>
      </c>
      <c r="H212" s="21">
        <v>23.5</v>
      </c>
      <c r="I212" s="25">
        <v>8.2402127659574442E-2</v>
      </c>
      <c r="J212" s="21">
        <v>2.35</v>
      </c>
      <c r="K212" s="21">
        <v>0.17500000000000002</v>
      </c>
      <c r="L212" s="21">
        <v>2.82</v>
      </c>
      <c r="M212" s="17" t="s">
        <v>120</v>
      </c>
      <c r="N212" s="17" t="s">
        <v>117</v>
      </c>
      <c r="O212" s="21">
        <v>1.175</v>
      </c>
      <c r="P212" s="21">
        <v>4.2135500000000006</v>
      </c>
    </row>
    <row r="213" spans="1:16" ht="16.5" x14ac:dyDescent="0.25">
      <c r="A213" s="2"/>
      <c r="B213" s="4"/>
      <c r="C213" s="18"/>
      <c r="E213" s="20">
        <v>45693</v>
      </c>
      <c r="F213" s="17" t="s">
        <v>99</v>
      </c>
      <c r="G213" s="21">
        <v>13.824999999999999</v>
      </c>
      <c r="H213" s="21">
        <v>23</v>
      </c>
      <c r="I213" s="25">
        <v>6.9613043478260916E-2</v>
      </c>
      <c r="J213" s="21">
        <v>2.3000000000000003</v>
      </c>
      <c r="K213" s="21">
        <v>0.17500000000000002</v>
      </c>
      <c r="L213" s="21">
        <v>2.76</v>
      </c>
      <c r="M213" s="17" t="s">
        <v>113</v>
      </c>
      <c r="N213" s="17" t="s">
        <v>117</v>
      </c>
      <c r="O213" s="21">
        <v>1.1500000000000001</v>
      </c>
      <c r="P213" s="21">
        <v>4.1239000000000008</v>
      </c>
    </row>
    <row r="214" spans="1:16" ht="16.5" x14ac:dyDescent="0.25">
      <c r="A214" s="2"/>
      <c r="B214" s="4"/>
      <c r="C214" s="18"/>
      <c r="E214" s="20">
        <v>45693</v>
      </c>
      <c r="F214" s="17" t="s">
        <v>99</v>
      </c>
      <c r="G214" s="21">
        <v>14</v>
      </c>
      <c r="H214" s="21">
        <v>20.5</v>
      </c>
      <c r="I214" s="25">
        <v>0.11207317073170722</v>
      </c>
      <c r="J214" s="21">
        <v>2.0500000000000003</v>
      </c>
      <c r="K214" s="21">
        <v>0</v>
      </c>
      <c r="L214" s="21">
        <v>1.1274999999999999</v>
      </c>
      <c r="M214" s="17" t="s">
        <v>121</v>
      </c>
      <c r="N214" s="17" t="s">
        <v>116</v>
      </c>
      <c r="O214" s="21">
        <v>1.0250000000000001</v>
      </c>
      <c r="P214" s="21">
        <v>1.1274999999999999</v>
      </c>
    </row>
    <row r="215" spans="1:16" ht="16.5" x14ac:dyDescent="0.25">
      <c r="A215" s="2"/>
      <c r="B215" s="4"/>
      <c r="C215" s="18"/>
      <c r="E215" s="20">
        <v>45693</v>
      </c>
      <c r="F215" s="17" t="s">
        <v>99</v>
      </c>
      <c r="G215" s="21">
        <v>14</v>
      </c>
      <c r="H215" s="21">
        <v>20</v>
      </c>
      <c r="I215" s="25">
        <v>9.4999999999999932E-2</v>
      </c>
      <c r="J215" s="21">
        <v>2</v>
      </c>
      <c r="K215" s="21">
        <v>0</v>
      </c>
      <c r="L215" s="21">
        <v>1.1000000000000001</v>
      </c>
      <c r="M215" s="17" t="s">
        <v>120</v>
      </c>
      <c r="N215" s="17" t="s">
        <v>116</v>
      </c>
      <c r="O215" s="21">
        <v>1</v>
      </c>
      <c r="P215" s="21">
        <v>1.1000000000000001</v>
      </c>
    </row>
    <row r="216" spans="1:16" ht="16.5" x14ac:dyDescent="0.25">
      <c r="A216" s="2"/>
      <c r="B216" s="4"/>
      <c r="C216" s="18"/>
      <c r="E216" s="20">
        <v>45693</v>
      </c>
      <c r="F216" s="17" t="s">
        <v>99</v>
      </c>
      <c r="G216" s="21">
        <v>14</v>
      </c>
      <c r="H216" s="21">
        <v>19.5</v>
      </c>
      <c r="I216" s="25">
        <v>7.7051282051281964E-2</v>
      </c>
      <c r="J216" s="21">
        <v>1.9500000000000002</v>
      </c>
      <c r="K216" s="21">
        <v>0</v>
      </c>
      <c r="L216" s="21">
        <v>1.0725</v>
      </c>
      <c r="M216" s="17" t="s">
        <v>113</v>
      </c>
      <c r="N216" s="17" t="s">
        <v>116</v>
      </c>
      <c r="O216" s="21">
        <v>0.97500000000000009</v>
      </c>
      <c r="P216" s="21">
        <v>1.0725</v>
      </c>
    </row>
    <row r="217" spans="1:16" ht="16.5" x14ac:dyDescent="0.25">
      <c r="A217" s="2"/>
      <c r="B217" s="4"/>
      <c r="C217" s="18"/>
      <c r="E217" s="20">
        <v>45693</v>
      </c>
      <c r="F217" s="17" t="s">
        <v>99</v>
      </c>
      <c r="G217" s="21">
        <v>14</v>
      </c>
      <c r="H217" s="21">
        <v>20</v>
      </c>
      <c r="I217" s="25">
        <v>0.15</v>
      </c>
      <c r="J217" s="21">
        <v>2</v>
      </c>
      <c r="K217" s="21">
        <v>0.17500000000000002</v>
      </c>
      <c r="L217" s="21">
        <v>0</v>
      </c>
      <c r="M217" s="17" t="s">
        <v>121</v>
      </c>
      <c r="N217" s="17" t="s">
        <v>115</v>
      </c>
      <c r="O217" s="21">
        <v>1</v>
      </c>
      <c r="P217" s="21">
        <v>0</v>
      </c>
    </row>
    <row r="218" spans="1:16" ht="16.5" x14ac:dyDescent="0.25">
      <c r="A218" s="2"/>
      <c r="B218" s="4"/>
      <c r="C218" s="18"/>
      <c r="E218" s="20">
        <v>45693</v>
      </c>
      <c r="F218" s="17" t="s">
        <v>99</v>
      </c>
      <c r="G218" s="21">
        <v>14</v>
      </c>
      <c r="H218" s="21">
        <v>19.5</v>
      </c>
      <c r="I218" s="25">
        <v>0.13205128205128205</v>
      </c>
      <c r="J218" s="21">
        <v>1.9500000000000002</v>
      </c>
      <c r="K218" s="21">
        <v>0.17500000000000002</v>
      </c>
      <c r="L218" s="21">
        <v>0</v>
      </c>
      <c r="M218" s="17" t="s">
        <v>120</v>
      </c>
      <c r="N218" s="17" t="s">
        <v>115</v>
      </c>
      <c r="O218" s="21">
        <v>0.97500000000000009</v>
      </c>
      <c r="P218" s="21">
        <v>0</v>
      </c>
    </row>
    <row r="219" spans="1:16" ht="16.5" x14ac:dyDescent="0.25">
      <c r="A219" s="2"/>
      <c r="B219" s="4"/>
      <c r="C219" s="18"/>
      <c r="E219" s="20">
        <v>45693</v>
      </c>
      <c r="F219" s="17" t="s">
        <v>99</v>
      </c>
      <c r="G219" s="21">
        <v>14</v>
      </c>
      <c r="H219" s="21">
        <v>18.5</v>
      </c>
      <c r="I219" s="25">
        <v>9.3243243243243248E-2</v>
      </c>
      <c r="J219" s="21">
        <v>1.85</v>
      </c>
      <c r="K219" s="21">
        <v>0.17500000000000002</v>
      </c>
      <c r="L219" s="21">
        <v>0</v>
      </c>
      <c r="M219" s="17" t="s">
        <v>113</v>
      </c>
      <c r="N219" s="17" t="s">
        <v>115</v>
      </c>
      <c r="O219" s="21">
        <v>0.92500000000000004</v>
      </c>
      <c r="P219" s="21">
        <v>0</v>
      </c>
    </row>
    <row r="220" spans="1:16" ht="16.5" x14ac:dyDescent="0.25">
      <c r="A220" s="2"/>
      <c r="B220" s="4"/>
      <c r="C220" s="18"/>
      <c r="E220" s="20">
        <v>45693</v>
      </c>
      <c r="F220" s="17" t="s">
        <v>186</v>
      </c>
      <c r="G220" s="21">
        <v>9.2765141335888455</v>
      </c>
      <c r="H220" s="21">
        <v>19</v>
      </c>
      <c r="I220" s="25">
        <v>0.12246241402163961</v>
      </c>
      <c r="J220" s="21">
        <v>1.9000000000000001</v>
      </c>
      <c r="K220" s="21">
        <v>0.52427083333333335</v>
      </c>
      <c r="L220" s="21">
        <v>3.42</v>
      </c>
      <c r="M220" s="17" t="s">
        <v>121</v>
      </c>
      <c r="N220" s="17" t="s">
        <v>117</v>
      </c>
      <c r="O220" s="21">
        <v>0.95000000000000007</v>
      </c>
      <c r="P220" s="21">
        <v>4.5467000000000004</v>
      </c>
    </row>
    <row r="221" spans="1:16" ht="16.5" x14ac:dyDescent="0.25">
      <c r="A221" s="2"/>
      <c r="B221" s="4"/>
      <c r="C221" s="18"/>
      <c r="E221" s="20">
        <v>45693</v>
      </c>
      <c r="F221" s="17" t="s">
        <v>186</v>
      </c>
      <c r="G221" s="21">
        <v>9.2765141335888455</v>
      </c>
      <c r="H221" s="21">
        <v>18.5</v>
      </c>
      <c r="I221" s="25">
        <v>0.10926680358979207</v>
      </c>
      <c r="J221" s="21">
        <v>1.85</v>
      </c>
      <c r="K221" s="21">
        <v>0.52427083333333335</v>
      </c>
      <c r="L221" s="21">
        <v>3.33</v>
      </c>
      <c r="M221" s="17" t="s">
        <v>120</v>
      </c>
      <c r="N221" s="17" t="s">
        <v>117</v>
      </c>
      <c r="O221" s="21">
        <v>0.92500000000000004</v>
      </c>
      <c r="P221" s="21">
        <v>4.4270500000000004</v>
      </c>
    </row>
    <row r="222" spans="1:16" ht="16.5" x14ac:dyDescent="0.25">
      <c r="A222" s="2"/>
      <c r="B222" s="4"/>
      <c r="C222" s="18"/>
      <c r="E222" s="20">
        <v>45693</v>
      </c>
      <c r="F222" s="17" t="s">
        <v>186</v>
      </c>
      <c r="G222" s="21">
        <v>9.2765141335888455</v>
      </c>
      <c r="H222" s="21">
        <v>18</v>
      </c>
      <c r="I222" s="25">
        <v>9.5338103689508513E-2</v>
      </c>
      <c r="J222" s="21">
        <v>1.8</v>
      </c>
      <c r="K222" s="21">
        <v>0.52427083333333335</v>
      </c>
      <c r="L222" s="21">
        <v>3.2399999999999998</v>
      </c>
      <c r="M222" s="17" t="s">
        <v>113</v>
      </c>
      <c r="N222" s="17" t="s">
        <v>117</v>
      </c>
      <c r="O222" s="21">
        <v>0.9</v>
      </c>
      <c r="P222" s="21">
        <v>4.3074000000000003</v>
      </c>
    </row>
    <row r="223" spans="1:16" ht="16.5" x14ac:dyDescent="0.25">
      <c r="A223" s="2"/>
      <c r="B223" s="4"/>
      <c r="C223" s="18"/>
      <c r="E223" s="20">
        <v>45693</v>
      </c>
      <c r="F223" s="17" t="s">
        <v>184</v>
      </c>
      <c r="G223" s="21">
        <v>9.9704516335888442</v>
      </c>
      <c r="H223" s="21">
        <v>20</v>
      </c>
      <c r="I223" s="25">
        <v>0.11217741832055772</v>
      </c>
      <c r="J223" s="21">
        <v>2</v>
      </c>
      <c r="K223" s="21">
        <v>0.94908333333333339</v>
      </c>
      <c r="L223" s="21">
        <v>3.5999999999999996</v>
      </c>
      <c r="M223" s="17" t="s">
        <v>121</v>
      </c>
      <c r="N223" s="17" t="s">
        <v>117</v>
      </c>
      <c r="O223" s="21">
        <v>1</v>
      </c>
      <c r="P223" s="21">
        <v>4.7860000000000005</v>
      </c>
    </row>
    <row r="224" spans="1:16" ht="16.5" x14ac:dyDescent="0.25">
      <c r="A224" s="2"/>
      <c r="B224" s="4"/>
      <c r="C224" s="18"/>
      <c r="E224" s="20">
        <v>45693</v>
      </c>
      <c r="F224" s="17" t="s">
        <v>184</v>
      </c>
      <c r="G224" s="21">
        <v>9.9704516335888442</v>
      </c>
      <c r="H224" s="21">
        <v>19.5</v>
      </c>
      <c r="I224" s="25">
        <v>9.9394788021084826E-2</v>
      </c>
      <c r="J224" s="21">
        <v>1.9500000000000002</v>
      </c>
      <c r="K224" s="21">
        <v>0.94908333333333339</v>
      </c>
      <c r="L224" s="21">
        <v>3.51</v>
      </c>
      <c r="M224" s="17" t="s">
        <v>120</v>
      </c>
      <c r="N224" s="17" t="s">
        <v>117</v>
      </c>
      <c r="O224" s="21">
        <v>0.97500000000000009</v>
      </c>
      <c r="P224" s="21">
        <v>4.6663500000000004</v>
      </c>
    </row>
    <row r="225" spans="1:16" ht="16.5" x14ac:dyDescent="0.25">
      <c r="A225" s="2"/>
      <c r="B225" s="4"/>
      <c r="C225" s="18"/>
      <c r="E225" s="20">
        <v>45693</v>
      </c>
      <c r="F225" s="17" t="s">
        <v>184</v>
      </c>
      <c r="G225" s="21">
        <v>9.9704516335888442</v>
      </c>
      <c r="H225" s="21">
        <v>19</v>
      </c>
      <c r="I225" s="25">
        <v>8.5939387705850218E-2</v>
      </c>
      <c r="J225" s="21">
        <v>1.9000000000000001</v>
      </c>
      <c r="K225" s="21">
        <v>0.94908333333333339</v>
      </c>
      <c r="L225" s="21">
        <v>3.42</v>
      </c>
      <c r="M225" s="17" t="s">
        <v>113</v>
      </c>
      <c r="N225" s="17" t="s">
        <v>117</v>
      </c>
      <c r="O225" s="21">
        <v>0.95000000000000007</v>
      </c>
      <c r="P225" s="21">
        <v>4.5467000000000004</v>
      </c>
    </row>
    <row r="226" spans="1:16" ht="16.5" x14ac:dyDescent="0.25">
      <c r="A226" s="2"/>
      <c r="B226" s="4"/>
      <c r="C226" s="18"/>
      <c r="E226" s="20">
        <v>45693</v>
      </c>
      <c r="F226" s="17" t="s">
        <v>88</v>
      </c>
      <c r="G226" s="21">
        <v>9.2765141335888455</v>
      </c>
      <c r="H226" s="21">
        <v>16.5</v>
      </c>
      <c r="I226" s="25">
        <v>0.15848702220673661</v>
      </c>
      <c r="J226" s="21">
        <v>1.6500000000000001</v>
      </c>
      <c r="K226" s="21">
        <v>0.52427083333333335</v>
      </c>
      <c r="L226" s="21">
        <v>1.155</v>
      </c>
      <c r="M226" s="17" t="s">
        <v>121</v>
      </c>
      <c r="N226" s="17" t="s">
        <v>117</v>
      </c>
      <c r="O226" s="21">
        <v>0.82500000000000007</v>
      </c>
      <c r="P226" s="21">
        <v>2.1334499999999998</v>
      </c>
    </row>
    <row r="227" spans="1:16" ht="16.5" x14ac:dyDescent="0.25">
      <c r="A227" s="2"/>
      <c r="B227" s="4"/>
      <c r="C227" s="18"/>
      <c r="E227" s="20">
        <v>45693</v>
      </c>
      <c r="F227" s="17" t="s">
        <v>88</v>
      </c>
      <c r="G227" s="21">
        <v>9.2765141335888455</v>
      </c>
      <c r="H227" s="21">
        <v>16</v>
      </c>
      <c r="I227" s="25">
        <v>0.14091786665069719</v>
      </c>
      <c r="J227" s="21">
        <v>1.6</v>
      </c>
      <c r="K227" s="21">
        <v>0.52427083333333335</v>
      </c>
      <c r="L227" s="21">
        <v>1.1200000000000001</v>
      </c>
      <c r="M227" s="17" t="s">
        <v>120</v>
      </c>
      <c r="N227" s="17" t="s">
        <v>117</v>
      </c>
      <c r="O227" s="21">
        <v>0.8</v>
      </c>
      <c r="P227" s="21">
        <v>2.0688</v>
      </c>
    </row>
    <row r="228" spans="1:16" ht="16.5" x14ac:dyDescent="0.25">
      <c r="A228" s="2"/>
      <c r="B228" s="4"/>
      <c r="C228" s="18"/>
      <c r="E228" s="20">
        <v>45693</v>
      </c>
      <c r="F228" s="17" t="s">
        <v>88</v>
      </c>
      <c r="G228" s="21">
        <v>9.2765141335888455</v>
      </c>
      <c r="H228" s="21">
        <v>15.5</v>
      </c>
      <c r="I228" s="25">
        <v>0.12221521718781647</v>
      </c>
      <c r="J228" s="21">
        <v>1.55</v>
      </c>
      <c r="K228" s="21">
        <v>0.52427083333333335</v>
      </c>
      <c r="L228" s="21">
        <v>1.0850000000000002</v>
      </c>
      <c r="M228" s="17" t="s">
        <v>113</v>
      </c>
      <c r="N228" s="17" t="s">
        <v>117</v>
      </c>
      <c r="O228" s="21">
        <v>0.77500000000000002</v>
      </c>
      <c r="P228" s="21">
        <v>2.0041500000000001</v>
      </c>
    </row>
    <row r="229" spans="1:16" ht="16.5" x14ac:dyDescent="0.25">
      <c r="A229" s="2"/>
      <c r="B229" s="4"/>
      <c r="C229" s="18"/>
      <c r="E229" s="20">
        <v>45693</v>
      </c>
      <c r="F229" s="17" t="s">
        <v>88</v>
      </c>
      <c r="G229" s="21">
        <v>9.800784966922178</v>
      </c>
      <c r="H229" s="21">
        <v>15</v>
      </c>
      <c r="I229" s="25">
        <v>0.19661433553852145</v>
      </c>
      <c r="J229" s="21">
        <v>1.5</v>
      </c>
      <c r="K229" s="21">
        <v>0.52427083333333335</v>
      </c>
      <c r="L229" s="21">
        <v>0</v>
      </c>
      <c r="M229" s="17" t="s">
        <v>121</v>
      </c>
      <c r="N229" s="17" t="s">
        <v>115</v>
      </c>
      <c r="O229" s="21">
        <v>0.75</v>
      </c>
      <c r="P229" s="21">
        <v>0</v>
      </c>
    </row>
    <row r="230" spans="1:16" ht="16.5" x14ac:dyDescent="0.25">
      <c r="A230" s="2"/>
      <c r="B230" s="4"/>
      <c r="C230" s="18"/>
      <c r="E230" s="20">
        <v>45693</v>
      </c>
      <c r="F230" s="17" t="s">
        <v>88</v>
      </c>
      <c r="G230" s="21">
        <v>9.800784966922178</v>
      </c>
      <c r="H230" s="21">
        <v>14.5</v>
      </c>
      <c r="I230" s="25">
        <v>0.17408379538467736</v>
      </c>
      <c r="J230" s="21">
        <v>1.4500000000000002</v>
      </c>
      <c r="K230" s="21">
        <v>0.52427083333333335</v>
      </c>
      <c r="L230" s="21">
        <v>0</v>
      </c>
      <c r="M230" s="17" t="s">
        <v>120</v>
      </c>
      <c r="N230" s="17" t="s">
        <v>115</v>
      </c>
      <c r="O230" s="21">
        <v>0.72500000000000009</v>
      </c>
      <c r="P230" s="21">
        <v>0</v>
      </c>
    </row>
    <row r="231" spans="1:16" ht="16.5" x14ac:dyDescent="0.25">
      <c r="A231" s="2"/>
      <c r="B231" s="4"/>
      <c r="C231" s="18"/>
      <c r="E231" s="20">
        <v>45693</v>
      </c>
      <c r="F231" s="17" t="s">
        <v>88</v>
      </c>
      <c r="G231" s="21">
        <v>9.800784966922178</v>
      </c>
      <c r="H231" s="21">
        <v>14</v>
      </c>
      <c r="I231" s="25">
        <v>0.14994393093413011</v>
      </c>
      <c r="J231" s="21">
        <v>1.4000000000000001</v>
      </c>
      <c r="K231" s="21">
        <v>0.52427083333333335</v>
      </c>
      <c r="L231" s="21">
        <v>0</v>
      </c>
      <c r="M231" s="17" t="s">
        <v>113</v>
      </c>
      <c r="N231" s="17" t="s">
        <v>115</v>
      </c>
      <c r="O231" s="21">
        <v>0.70000000000000007</v>
      </c>
      <c r="P231" s="21">
        <v>0</v>
      </c>
    </row>
    <row r="232" spans="1:16" ht="16.5" x14ac:dyDescent="0.25">
      <c r="A232" s="2"/>
      <c r="B232" s="4"/>
      <c r="C232" s="18"/>
      <c r="E232" s="20">
        <v>45693</v>
      </c>
      <c r="F232" s="17" t="s">
        <v>87</v>
      </c>
      <c r="G232" s="21">
        <v>4.3322759485114979</v>
      </c>
      <c r="H232" s="21">
        <v>10</v>
      </c>
      <c r="I232" s="25">
        <v>0.28747240514885031</v>
      </c>
      <c r="J232" s="21">
        <v>1</v>
      </c>
      <c r="K232" s="21">
        <v>0.47454166666666669</v>
      </c>
      <c r="L232" s="21">
        <v>0.70000000000000007</v>
      </c>
      <c r="M232" s="17" t="s">
        <v>121</v>
      </c>
      <c r="N232" s="17" t="s">
        <v>117</v>
      </c>
      <c r="O232" s="21">
        <v>0.5</v>
      </c>
      <c r="P232" s="21">
        <v>1.2929999999999999</v>
      </c>
    </row>
    <row r="233" spans="1:16" ht="16.5" x14ac:dyDescent="0.25">
      <c r="A233" s="2"/>
      <c r="B233" s="4"/>
      <c r="C233" s="18"/>
      <c r="E233" s="20">
        <v>45693</v>
      </c>
      <c r="F233" s="17" t="s">
        <v>87</v>
      </c>
      <c r="G233" s="21">
        <v>4.3322759485114979</v>
      </c>
      <c r="H233" s="21">
        <v>9.5</v>
      </c>
      <c r="I233" s="25">
        <v>0.2646709527882633</v>
      </c>
      <c r="J233" s="21">
        <v>0.95000000000000007</v>
      </c>
      <c r="K233" s="21">
        <v>0.47454166666666669</v>
      </c>
      <c r="L233" s="21">
        <v>0.66500000000000004</v>
      </c>
      <c r="M233" s="17" t="s">
        <v>120</v>
      </c>
      <c r="N233" s="17" t="s">
        <v>117</v>
      </c>
      <c r="O233" s="21">
        <v>0.47500000000000003</v>
      </c>
      <c r="P233" s="21">
        <v>1.2283500000000001</v>
      </c>
    </row>
    <row r="234" spans="1:16" ht="16.5" x14ac:dyDescent="0.25">
      <c r="A234" s="2"/>
      <c r="B234" s="4"/>
      <c r="C234" s="18"/>
      <c r="E234" s="20">
        <v>45693</v>
      </c>
      <c r="F234" s="17" t="s">
        <v>87</v>
      </c>
      <c r="G234" s="21">
        <v>4.3322759485114979</v>
      </c>
      <c r="H234" s="21">
        <v>9</v>
      </c>
      <c r="I234" s="25">
        <v>0.23933600572094463</v>
      </c>
      <c r="J234" s="21">
        <v>0.9</v>
      </c>
      <c r="K234" s="21">
        <v>0.47454166666666669</v>
      </c>
      <c r="L234" s="21">
        <v>0.63000000000000012</v>
      </c>
      <c r="M234" s="17" t="s">
        <v>113</v>
      </c>
      <c r="N234" s="17" t="s">
        <v>117</v>
      </c>
      <c r="O234" s="21">
        <v>0.45</v>
      </c>
      <c r="P234" s="21">
        <v>1.1637</v>
      </c>
    </row>
    <row r="235" spans="1:16" ht="16.5" x14ac:dyDescent="0.25">
      <c r="A235" s="2"/>
      <c r="B235" s="4"/>
      <c r="C235" s="18"/>
      <c r="E235" s="20">
        <v>45693</v>
      </c>
      <c r="F235" s="17" t="s">
        <v>87</v>
      </c>
      <c r="G235" s="21">
        <v>4.806817615178165</v>
      </c>
      <c r="H235" s="21">
        <v>9</v>
      </c>
      <c r="I235" s="25">
        <v>0.3159091538690928</v>
      </c>
      <c r="J235" s="21">
        <v>0.9</v>
      </c>
      <c r="K235" s="21">
        <v>0.47454166666666669</v>
      </c>
      <c r="L235" s="21">
        <v>0</v>
      </c>
      <c r="M235" s="17" t="s">
        <v>121</v>
      </c>
      <c r="N235" s="17" t="s">
        <v>115</v>
      </c>
      <c r="O235" s="21">
        <v>0.45</v>
      </c>
      <c r="P235" s="21">
        <v>0</v>
      </c>
    </row>
    <row r="236" spans="1:16" ht="16.5" x14ac:dyDescent="0.25">
      <c r="A236" s="2"/>
      <c r="B236" s="4"/>
      <c r="C236" s="18"/>
      <c r="E236" s="20">
        <v>45693</v>
      </c>
      <c r="F236" s="17" t="s">
        <v>87</v>
      </c>
      <c r="G236" s="21">
        <v>4.806817615178165</v>
      </c>
      <c r="H236" s="21">
        <v>8.5</v>
      </c>
      <c r="I236" s="25">
        <v>0.28449204527315708</v>
      </c>
      <c r="J236" s="21">
        <v>0.85000000000000009</v>
      </c>
      <c r="K236" s="21">
        <v>0.47454166666666669</v>
      </c>
      <c r="L236" s="21">
        <v>0</v>
      </c>
      <c r="M236" s="17" t="s">
        <v>120</v>
      </c>
      <c r="N236" s="17" t="s">
        <v>115</v>
      </c>
      <c r="O236" s="21">
        <v>0.42500000000000004</v>
      </c>
      <c r="P236" s="21">
        <v>0</v>
      </c>
    </row>
    <row r="237" spans="1:16" ht="16.5" x14ac:dyDescent="0.25">
      <c r="A237" s="2"/>
      <c r="B237" s="4"/>
      <c r="C237" s="18"/>
      <c r="E237" s="20">
        <v>45693</v>
      </c>
      <c r="F237" s="17" t="s">
        <v>87</v>
      </c>
      <c r="G237" s="21">
        <v>4.806817615178165</v>
      </c>
      <c r="H237" s="21">
        <v>8</v>
      </c>
      <c r="I237" s="25">
        <v>0.24914779810272938</v>
      </c>
      <c r="J237" s="21">
        <v>0.8</v>
      </c>
      <c r="K237" s="21">
        <v>0.47454166666666669</v>
      </c>
      <c r="L237" s="21">
        <v>0</v>
      </c>
      <c r="M237" s="17" t="s">
        <v>113</v>
      </c>
      <c r="N237" s="17" t="s">
        <v>115</v>
      </c>
      <c r="O237" s="21">
        <v>0.4</v>
      </c>
      <c r="P237" s="21">
        <v>0</v>
      </c>
    </row>
    <row r="238" spans="1:16" ht="16.5" x14ac:dyDescent="0.25">
      <c r="A238" s="2"/>
      <c r="B238" s="4"/>
      <c r="C238" s="18"/>
      <c r="E238" s="20">
        <v>45693</v>
      </c>
      <c r="F238" s="17" t="s">
        <v>87</v>
      </c>
      <c r="G238" s="21">
        <v>4.3322759485114979</v>
      </c>
      <c r="H238" s="21">
        <v>9</v>
      </c>
      <c r="I238" s="25">
        <v>0.23933600572094463</v>
      </c>
      <c r="J238" s="21">
        <v>0.9</v>
      </c>
      <c r="K238" s="21">
        <v>0.47454166666666669</v>
      </c>
      <c r="L238" s="21">
        <v>0.63000000000000012</v>
      </c>
      <c r="M238" s="17" t="s">
        <v>121</v>
      </c>
      <c r="N238" s="17" t="s">
        <v>117</v>
      </c>
      <c r="O238" s="21">
        <v>0.45</v>
      </c>
      <c r="P238" s="21">
        <v>1.1637</v>
      </c>
    </row>
    <row r="239" spans="1:16" ht="16.5" x14ac:dyDescent="0.25">
      <c r="A239" s="2"/>
      <c r="B239" s="4"/>
      <c r="C239" s="18"/>
      <c r="E239" s="20">
        <v>45693</v>
      </c>
      <c r="F239" s="17" t="s">
        <v>87</v>
      </c>
      <c r="G239" s="21">
        <v>4.3322759485114979</v>
      </c>
      <c r="H239" s="21">
        <v>8.5</v>
      </c>
      <c r="I239" s="25">
        <v>0.21102047664570614</v>
      </c>
      <c r="J239" s="21">
        <v>0.85000000000000009</v>
      </c>
      <c r="K239" s="21">
        <v>0.47454166666666669</v>
      </c>
      <c r="L239" s="21">
        <v>0.59500000000000008</v>
      </c>
      <c r="M239" s="17" t="s">
        <v>120</v>
      </c>
      <c r="N239" s="17" t="s">
        <v>117</v>
      </c>
      <c r="O239" s="21">
        <v>0.42500000000000004</v>
      </c>
      <c r="P239" s="21">
        <v>1.0990500000000001</v>
      </c>
    </row>
    <row r="240" spans="1:16" ht="16.5" x14ac:dyDescent="0.25">
      <c r="A240" s="2"/>
      <c r="B240" s="4"/>
      <c r="C240" s="18"/>
      <c r="E240" s="20">
        <v>45693</v>
      </c>
      <c r="F240" s="17" t="s">
        <v>87</v>
      </c>
      <c r="G240" s="21">
        <v>4.3322759485114979</v>
      </c>
      <c r="H240" s="21">
        <v>8</v>
      </c>
      <c r="I240" s="25">
        <v>0.1791655064360628</v>
      </c>
      <c r="J240" s="21">
        <v>0.8</v>
      </c>
      <c r="K240" s="21">
        <v>0.47454166666666669</v>
      </c>
      <c r="L240" s="21">
        <v>0.56000000000000005</v>
      </c>
      <c r="M240" s="17" t="s">
        <v>113</v>
      </c>
      <c r="N240" s="17" t="s">
        <v>117</v>
      </c>
      <c r="O240" s="21">
        <v>0.4</v>
      </c>
      <c r="P240" s="21">
        <v>1.0344</v>
      </c>
    </row>
    <row r="241" spans="1:16" ht="16.5" x14ac:dyDescent="0.25">
      <c r="A241" s="2"/>
      <c r="B241" s="4"/>
      <c r="C241" s="18"/>
      <c r="E241" s="20">
        <v>45693</v>
      </c>
      <c r="F241" s="17" t="s">
        <v>86</v>
      </c>
      <c r="G241" s="21">
        <v>10.919534966922178</v>
      </c>
      <c r="H241" s="21">
        <v>16</v>
      </c>
      <c r="I241" s="25">
        <v>0.16752906456736386</v>
      </c>
      <c r="J241" s="21">
        <v>1.6</v>
      </c>
      <c r="K241" s="21">
        <v>0.94908333333333339</v>
      </c>
      <c r="L241" s="21">
        <v>0</v>
      </c>
      <c r="M241" s="17" t="s">
        <v>121</v>
      </c>
      <c r="N241" s="17" t="s">
        <v>115</v>
      </c>
      <c r="O241" s="21">
        <v>0.8</v>
      </c>
      <c r="P241" s="21">
        <v>0</v>
      </c>
    </row>
    <row r="242" spans="1:16" ht="16.5" x14ac:dyDescent="0.25">
      <c r="A242" s="2"/>
      <c r="B242" s="4"/>
      <c r="C242" s="18"/>
      <c r="E242" s="20">
        <v>45693</v>
      </c>
      <c r="F242" s="17" t="s">
        <v>86</v>
      </c>
      <c r="G242" s="21">
        <v>10.919534966922178</v>
      </c>
      <c r="H242" s="21">
        <v>15.5</v>
      </c>
      <c r="I242" s="25">
        <v>0.14551387310179492</v>
      </c>
      <c r="J242" s="21">
        <v>1.55</v>
      </c>
      <c r="K242" s="21">
        <v>0.94908333333333339</v>
      </c>
      <c r="L242" s="21">
        <v>0</v>
      </c>
      <c r="M242" s="17" t="s">
        <v>120</v>
      </c>
      <c r="N242" s="17" t="s">
        <v>115</v>
      </c>
      <c r="O242" s="21">
        <v>0.77500000000000002</v>
      </c>
      <c r="P242" s="21">
        <v>0</v>
      </c>
    </row>
    <row r="243" spans="1:16" ht="16.5" x14ac:dyDescent="0.25">
      <c r="A243" s="2"/>
      <c r="B243" s="4"/>
      <c r="C243" s="18"/>
      <c r="E243" s="20">
        <v>45693</v>
      </c>
      <c r="F243" s="17" t="s">
        <v>86</v>
      </c>
      <c r="G243" s="21">
        <v>10.919534966922178</v>
      </c>
      <c r="H243" s="21">
        <v>15</v>
      </c>
      <c r="I243" s="25">
        <v>0.1220310022051881</v>
      </c>
      <c r="J243" s="21">
        <v>1.5</v>
      </c>
      <c r="K243" s="21">
        <v>0.94908333333333339</v>
      </c>
      <c r="L243" s="21">
        <v>0</v>
      </c>
      <c r="M243" s="17" t="s">
        <v>113</v>
      </c>
      <c r="N243" s="17" t="s">
        <v>115</v>
      </c>
      <c r="O243" s="21">
        <v>0.75</v>
      </c>
      <c r="P243" s="21">
        <v>0</v>
      </c>
    </row>
    <row r="244" spans="1:16" ht="16.5" x14ac:dyDescent="0.25">
      <c r="A244" s="2"/>
      <c r="B244" s="4"/>
      <c r="C244" s="18"/>
      <c r="E244" s="20">
        <v>45693</v>
      </c>
      <c r="F244" s="17" t="s">
        <v>86</v>
      </c>
      <c r="G244" s="21">
        <v>9.9704516335888442</v>
      </c>
      <c r="H244" s="21">
        <v>17.5</v>
      </c>
      <c r="I244" s="25">
        <v>0.15095990665206602</v>
      </c>
      <c r="J244" s="21">
        <v>1.75</v>
      </c>
      <c r="K244" s="21">
        <v>0.94908333333333339</v>
      </c>
      <c r="L244" s="21">
        <v>1.2250000000000001</v>
      </c>
      <c r="M244" s="17" t="s">
        <v>121</v>
      </c>
      <c r="N244" s="17" t="s">
        <v>117</v>
      </c>
      <c r="O244" s="21">
        <v>0.875</v>
      </c>
      <c r="P244" s="21">
        <v>2.26275</v>
      </c>
    </row>
    <row r="245" spans="1:16" ht="16.5" x14ac:dyDescent="0.25">
      <c r="A245" s="2"/>
      <c r="B245" s="4"/>
      <c r="C245" s="18"/>
      <c r="E245" s="20">
        <v>45693</v>
      </c>
      <c r="F245" s="17" t="s">
        <v>86</v>
      </c>
      <c r="G245" s="21">
        <v>9.9704516335888442</v>
      </c>
      <c r="H245" s="21">
        <v>17</v>
      </c>
      <c r="I245" s="25">
        <v>0.13420284508300914</v>
      </c>
      <c r="J245" s="21">
        <v>1.7000000000000002</v>
      </c>
      <c r="K245" s="21">
        <v>0.94908333333333339</v>
      </c>
      <c r="L245" s="21">
        <v>1.1900000000000002</v>
      </c>
      <c r="M245" s="17" t="s">
        <v>120</v>
      </c>
      <c r="N245" s="17" t="s">
        <v>117</v>
      </c>
      <c r="O245" s="21">
        <v>0.85000000000000009</v>
      </c>
      <c r="P245" s="21">
        <v>2.1981000000000002</v>
      </c>
    </row>
    <row r="246" spans="1:16" ht="16.5" x14ac:dyDescent="0.25">
      <c r="A246" s="2"/>
      <c r="B246" s="4"/>
      <c r="C246" s="18"/>
      <c r="E246" s="20">
        <v>45693</v>
      </c>
      <c r="F246" s="17" t="s">
        <v>86</v>
      </c>
      <c r="G246" s="21">
        <v>9.9704516335888442</v>
      </c>
      <c r="H246" s="21">
        <v>16.5</v>
      </c>
      <c r="I246" s="25">
        <v>0.11643020402491852</v>
      </c>
      <c r="J246" s="21">
        <v>1.6500000000000001</v>
      </c>
      <c r="K246" s="21">
        <v>0.94908333333333339</v>
      </c>
      <c r="L246" s="21">
        <v>1.155</v>
      </c>
      <c r="M246" s="17" t="s">
        <v>113</v>
      </c>
      <c r="N246" s="17" t="s">
        <v>117</v>
      </c>
      <c r="O246" s="21">
        <v>0.82500000000000007</v>
      </c>
      <c r="P246" s="21">
        <v>2.1334499999999998</v>
      </c>
    </row>
    <row r="247" spans="1:16" ht="16.5" x14ac:dyDescent="0.25">
      <c r="A247" s="2"/>
      <c r="B247" s="4"/>
      <c r="C247" s="18"/>
      <c r="E247" s="20">
        <v>45693</v>
      </c>
      <c r="F247" s="17" t="s">
        <v>194</v>
      </c>
      <c r="G247" s="21">
        <v>10</v>
      </c>
      <c r="H247" s="21">
        <v>15.9</v>
      </c>
      <c r="I247" s="25">
        <v>0.16606918238993718</v>
      </c>
      <c r="J247" s="21">
        <v>1.59</v>
      </c>
      <c r="K247" s="21">
        <v>0</v>
      </c>
      <c r="L247" s="21">
        <v>0.87450000000000006</v>
      </c>
      <c r="M247" s="17" t="s">
        <v>121</v>
      </c>
      <c r="N247" s="17" t="s">
        <v>116</v>
      </c>
      <c r="O247" s="21">
        <v>0.79500000000000004</v>
      </c>
      <c r="P247" s="21">
        <v>0.87450000000000006</v>
      </c>
    </row>
    <row r="248" spans="1:16" ht="16.5" x14ac:dyDescent="0.25">
      <c r="A248" s="2"/>
      <c r="B248" s="4"/>
      <c r="C248" s="18"/>
      <c r="E248" s="20">
        <v>45693</v>
      </c>
      <c r="F248" s="17" t="s">
        <v>194</v>
      </c>
      <c r="G248" s="21">
        <v>10</v>
      </c>
      <c r="H248" s="21">
        <v>14.9</v>
      </c>
      <c r="I248" s="25">
        <v>0.12385906040268459</v>
      </c>
      <c r="J248" s="21">
        <v>1.4900000000000002</v>
      </c>
      <c r="K248" s="21">
        <v>0</v>
      </c>
      <c r="L248" s="21">
        <v>0.81950000000000001</v>
      </c>
      <c r="M248" s="17" t="s">
        <v>120</v>
      </c>
      <c r="N248" s="17" t="s">
        <v>116</v>
      </c>
      <c r="O248" s="21">
        <v>0.74500000000000011</v>
      </c>
      <c r="P248" s="21">
        <v>0.81950000000000001</v>
      </c>
    </row>
    <row r="249" spans="1:16" ht="16.5" x14ac:dyDescent="0.25">
      <c r="A249" s="2"/>
      <c r="B249" s="4"/>
      <c r="C249" s="18"/>
      <c r="E249" s="20">
        <v>45693</v>
      </c>
      <c r="F249" s="17" t="s">
        <v>194</v>
      </c>
      <c r="G249" s="21">
        <v>10</v>
      </c>
      <c r="H249" s="21">
        <v>13.9</v>
      </c>
      <c r="I249" s="25">
        <v>7.5575539568345326E-2</v>
      </c>
      <c r="J249" s="21">
        <v>1.3900000000000001</v>
      </c>
      <c r="K249" s="21">
        <v>0</v>
      </c>
      <c r="L249" s="21">
        <v>0.76450000000000007</v>
      </c>
      <c r="M249" s="17" t="s">
        <v>113</v>
      </c>
      <c r="N249" s="17" t="s">
        <v>116</v>
      </c>
      <c r="O249" s="21">
        <v>0.69500000000000006</v>
      </c>
      <c r="P249" s="21">
        <v>0.76450000000000007</v>
      </c>
    </row>
    <row r="250" spans="1:16" ht="16.5" x14ac:dyDescent="0.25">
      <c r="A250" s="2"/>
      <c r="B250" s="4"/>
      <c r="C250" s="18"/>
      <c r="E250" s="20">
        <v>45693</v>
      </c>
      <c r="F250" s="17" t="s">
        <v>193</v>
      </c>
      <c r="G250" s="21">
        <v>11.7</v>
      </c>
      <c r="H250" s="21">
        <v>17.899999999999999</v>
      </c>
      <c r="I250" s="25">
        <v>0.14136871508379883</v>
      </c>
      <c r="J250" s="21">
        <v>1.79</v>
      </c>
      <c r="K250" s="21">
        <v>0</v>
      </c>
      <c r="L250" s="21">
        <v>0.98449999999999993</v>
      </c>
      <c r="M250" s="17" t="s">
        <v>121</v>
      </c>
      <c r="N250" s="17" t="s">
        <v>116</v>
      </c>
      <c r="O250" s="21">
        <v>0.89500000000000002</v>
      </c>
      <c r="P250" s="21">
        <v>0.98449999999999993</v>
      </c>
    </row>
    <row r="251" spans="1:16" ht="16.5" x14ac:dyDescent="0.25">
      <c r="A251" s="2"/>
      <c r="B251" s="4"/>
      <c r="C251" s="18"/>
      <c r="E251" s="20">
        <v>45693</v>
      </c>
      <c r="F251" s="17" t="s">
        <v>193</v>
      </c>
      <c r="G251" s="21">
        <v>11.7</v>
      </c>
      <c r="H251" s="21">
        <v>16.899999999999999</v>
      </c>
      <c r="I251" s="25">
        <v>0.10269230769230774</v>
      </c>
      <c r="J251" s="21">
        <v>1.69</v>
      </c>
      <c r="K251" s="21">
        <v>0</v>
      </c>
      <c r="L251" s="21">
        <v>0.92949999999999988</v>
      </c>
      <c r="M251" s="17" t="s">
        <v>120</v>
      </c>
      <c r="N251" s="17" t="s">
        <v>116</v>
      </c>
      <c r="O251" s="21">
        <v>0.84499999999999997</v>
      </c>
      <c r="P251" s="21">
        <v>0.92949999999999988</v>
      </c>
    </row>
    <row r="252" spans="1:16" ht="16.5" x14ac:dyDescent="0.25">
      <c r="A252" s="2"/>
      <c r="B252" s="4"/>
      <c r="C252" s="18"/>
      <c r="E252" s="20">
        <v>45693</v>
      </c>
      <c r="F252" s="17" t="s">
        <v>193</v>
      </c>
      <c r="G252" s="21">
        <v>11.7</v>
      </c>
      <c r="H252" s="21">
        <v>15.9</v>
      </c>
      <c r="I252" s="25">
        <v>5.9150943396226521E-2</v>
      </c>
      <c r="J252" s="21">
        <v>1.59</v>
      </c>
      <c r="K252" s="21">
        <v>0</v>
      </c>
      <c r="L252" s="21">
        <v>0.87450000000000006</v>
      </c>
      <c r="M252" s="17" t="s">
        <v>113</v>
      </c>
      <c r="N252" s="17" t="s">
        <v>116</v>
      </c>
      <c r="O252" s="21">
        <v>0.79500000000000004</v>
      </c>
      <c r="P252" s="21">
        <v>0.87450000000000006</v>
      </c>
    </row>
    <row r="253" spans="1:16" ht="16.5" x14ac:dyDescent="0.25">
      <c r="A253" s="2"/>
      <c r="B253" s="4"/>
      <c r="C253" s="18"/>
      <c r="E253" s="20">
        <v>45693</v>
      </c>
      <c r="F253" s="17" t="s">
        <v>196</v>
      </c>
      <c r="G253" s="21">
        <v>8.8000000000000007</v>
      </c>
      <c r="H253" s="21">
        <v>17.899999999999999</v>
      </c>
      <c r="I253" s="25">
        <v>0.11907988826815634</v>
      </c>
      <c r="J253" s="21">
        <v>1.79</v>
      </c>
      <c r="K253" s="21">
        <v>1.2</v>
      </c>
      <c r="L253" s="21">
        <v>3.2219999999999995</v>
      </c>
      <c r="M253" s="17" t="s">
        <v>121</v>
      </c>
      <c r="N253" s="17" t="s">
        <v>117</v>
      </c>
      <c r="O253" s="21">
        <v>0.89500000000000002</v>
      </c>
      <c r="P253" s="21">
        <v>4.2834699999999994</v>
      </c>
    </row>
    <row r="254" spans="1:16" ht="16.5" x14ac:dyDescent="0.25">
      <c r="A254" s="2"/>
      <c r="B254" s="4"/>
      <c r="C254" s="18"/>
      <c r="E254" s="20">
        <v>45693</v>
      </c>
      <c r="F254" s="17" t="s">
        <v>196</v>
      </c>
      <c r="G254" s="21">
        <v>8.8000000000000007</v>
      </c>
      <c r="H254" s="21">
        <v>16.899999999999999</v>
      </c>
      <c r="I254" s="25">
        <v>8.9989940828402198E-2</v>
      </c>
      <c r="J254" s="21">
        <v>1.69</v>
      </c>
      <c r="K254" s="21">
        <v>1.2</v>
      </c>
      <c r="L254" s="21">
        <v>3.0419999999999998</v>
      </c>
      <c r="M254" s="17" t="s">
        <v>120</v>
      </c>
      <c r="N254" s="17" t="s">
        <v>117</v>
      </c>
      <c r="O254" s="21">
        <v>0.84499999999999997</v>
      </c>
      <c r="P254" s="21">
        <v>4.0441700000000003</v>
      </c>
    </row>
    <row r="255" spans="1:16" ht="16.5" x14ac:dyDescent="0.25">
      <c r="A255" s="2"/>
      <c r="B255" s="4"/>
      <c r="C255" s="18"/>
      <c r="E255" s="20">
        <v>45693</v>
      </c>
      <c r="F255" s="17" t="s">
        <v>196</v>
      </c>
      <c r="G255" s="21">
        <v>8.8000000000000007</v>
      </c>
      <c r="H255" s="21">
        <v>15.9</v>
      </c>
      <c r="I255" s="25">
        <v>5.7240880503144673E-2</v>
      </c>
      <c r="J255" s="21">
        <v>1.59</v>
      </c>
      <c r="K255" s="21">
        <v>1.2</v>
      </c>
      <c r="L255" s="21">
        <v>2.8620000000000001</v>
      </c>
      <c r="M255" s="17" t="s">
        <v>113</v>
      </c>
      <c r="N255" s="17" t="s">
        <v>117</v>
      </c>
      <c r="O255" s="21">
        <v>0.79500000000000004</v>
      </c>
      <c r="P255" s="21">
        <v>3.8048700000000002</v>
      </c>
    </row>
    <row r="256" spans="1:16" ht="16.5" x14ac:dyDescent="0.25">
      <c r="A256" s="2"/>
      <c r="B256" s="4"/>
      <c r="C256" s="18"/>
      <c r="E256" s="20">
        <v>45693</v>
      </c>
      <c r="F256" s="17" t="s">
        <v>195</v>
      </c>
      <c r="G256" s="21">
        <v>10.295999999999999</v>
      </c>
      <c r="H256" s="21">
        <v>20.9</v>
      </c>
      <c r="I256" s="25">
        <v>0.11806842105263157</v>
      </c>
      <c r="J256" s="21">
        <v>2.09</v>
      </c>
      <c r="K256" s="21">
        <v>1.4039999999999999</v>
      </c>
      <c r="L256" s="21">
        <v>3.7619999999999996</v>
      </c>
      <c r="M256" s="17" t="s">
        <v>121</v>
      </c>
      <c r="N256" s="17" t="s">
        <v>117</v>
      </c>
      <c r="O256" s="21">
        <v>1.0449999999999999</v>
      </c>
      <c r="P256" s="21">
        <v>5.0013699999999996</v>
      </c>
    </row>
    <row r="257" spans="1:16" ht="16.5" x14ac:dyDescent="0.25">
      <c r="A257" s="2"/>
      <c r="B257" s="4"/>
      <c r="C257" s="18"/>
      <c r="E257" s="20">
        <v>45693</v>
      </c>
      <c r="F257" s="17" t="s">
        <v>195</v>
      </c>
      <c r="G257" s="21">
        <v>10.295999999999999</v>
      </c>
      <c r="H257" s="21">
        <v>19.899999999999999</v>
      </c>
      <c r="I257" s="25">
        <v>9.3313065326633152E-2</v>
      </c>
      <c r="J257" s="21">
        <v>1.99</v>
      </c>
      <c r="K257" s="21">
        <v>1.4039999999999999</v>
      </c>
      <c r="L257" s="21">
        <v>3.5819999999999994</v>
      </c>
      <c r="M257" s="17" t="s">
        <v>120</v>
      </c>
      <c r="N257" s="17" t="s">
        <v>117</v>
      </c>
      <c r="O257" s="21">
        <v>0.995</v>
      </c>
      <c r="P257" s="21">
        <v>4.7620699999999996</v>
      </c>
    </row>
    <row r="258" spans="1:16" ht="16.5" x14ac:dyDescent="0.25">
      <c r="A258" s="2"/>
      <c r="B258" s="4"/>
      <c r="C258" s="18"/>
      <c r="E258" s="20">
        <v>45693</v>
      </c>
      <c r="F258" s="17" t="s">
        <v>195</v>
      </c>
      <c r="G258" s="21">
        <v>10.295999999999999</v>
      </c>
      <c r="H258" s="21">
        <v>18.899999999999999</v>
      </c>
      <c r="I258" s="25">
        <v>6.593809523809524E-2</v>
      </c>
      <c r="J258" s="21">
        <v>1.89</v>
      </c>
      <c r="K258" s="21">
        <v>1.4039999999999999</v>
      </c>
      <c r="L258" s="21">
        <v>3.4019999999999997</v>
      </c>
      <c r="M258" s="17" t="s">
        <v>113</v>
      </c>
      <c r="N258" s="17" t="s">
        <v>117</v>
      </c>
      <c r="O258" s="21">
        <v>0.94499999999999995</v>
      </c>
      <c r="P258" s="21">
        <v>4.5227699999999995</v>
      </c>
    </row>
    <row r="259" spans="1:16" ht="16.5" x14ac:dyDescent="0.25">
      <c r="A259" s="2"/>
      <c r="B259" s="4"/>
      <c r="C259" s="18"/>
      <c r="E259" s="20">
        <v>45693</v>
      </c>
      <c r="F259" s="17" t="s">
        <v>194</v>
      </c>
      <c r="G259" s="21">
        <v>8.8000000000000007</v>
      </c>
      <c r="H259" s="21">
        <v>16.899999999999999</v>
      </c>
      <c r="I259" s="25">
        <v>0.14998994082840228</v>
      </c>
      <c r="J259" s="21">
        <v>1.69</v>
      </c>
      <c r="K259" s="21">
        <v>1.2</v>
      </c>
      <c r="L259" s="21">
        <v>2.0279999999999996</v>
      </c>
      <c r="M259" s="17" t="s">
        <v>121</v>
      </c>
      <c r="N259" s="17" t="s">
        <v>117</v>
      </c>
      <c r="O259" s="21">
        <v>0.84499999999999997</v>
      </c>
      <c r="P259" s="21">
        <v>3.03017</v>
      </c>
    </row>
    <row r="260" spans="1:16" ht="16.5" x14ac:dyDescent="0.25">
      <c r="A260" s="2"/>
      <c r="B260" s="4"/>
      <c r="C260" s="18"/>
      <c r="E260" s="20">
        <v>45693</v>
      </c>
      <c r="F260" s="17" t="s">
        <v>194</v>
      </c>
      <c r="G260" s="21">
        <v>8.8000000000000007</v>
      </c>
      <c r="H260" s="21">
        <v>15.9</v>
      </c>
      <c r="I260" s="25">
        <v>0.1172408805031446</v>
      </c>
      <c r="J260" s="21">
        <v>1.59</v>
      </c>
      <c r="K260" s="21">
        <v>1.2</v>
      </c>
      <c r="L260" s="21">
        <v>1.9079999999999999</v>
      </c>
      <c r="M260" s="17" t="s">
        <v>120</v>
      </c>
      <c r="N260" s="17" t="s">
        <v>117</v>
      </c>
      <c r="O260" s="21">
        <v>0.79500000000000004</v>
      </c>
      <c r="P260" s="21">
        <v>2.8508700000000005</v>
      </c>
    </row>
    <row r="261" spans="1:16" ht="16.5" x14ac:dyDescent="0.25">
      <c r="A261" s="2"/>
      <c r="B261" s="4"/>
      <c r="C261" s="18"/>
      <c r="E261" s="20">
        <v>45693</v>
      </c>
      <c r="F261" s="17" t="s">
        <v>194</v>
      </c>
      <c r="G261" s="21">
        <v>8.8000000000000007</v>
      </c>
      <c r="H261" s="21">
        <v>14.9</v>
      </c>
      <c r="I261" s="25">
        <v>8.0095973154362315E-2</v>
      </c>
      <c r="J261" s="21">
        <v>1.4900000000000002</v>
      </c>
      <c r="K261" s="21">
        <v>1.2</v>
      </c>
      <c r="L261" s="21">
        <v>1.788</v>
      </c>
      <c r="M261" s="17" t="s">
        <v>113</v>
      </c>
      <c r="N261" s="17" t="s">
        <v>117</v>
      </c>
      <c r="O261" s="21">
        <v>0.74500000000000011</v>
      </c>
      <c r="P261" s="21">
        <v>2.6715700000000004</v>
      </c>
    </row>
    <row r="262" spans="1:16" ht="16.5" x14ac:dyDescent="0.25">
      <c r="A262" s="2"/>
      <c r="B262" s="4"/>
      <c r="C262" s="18"/>
      <c r="E262" s="20">
        <v>45693</v>
      </c>
      <c r="F262" s="17" t="s">
        <v>193</v>
      </c>
      <c r="G262" s="21">
        <v>10.295999999999999</v>
      </c>
      <c r="H262" s="21">
        <v>18.899999999999999</v>
      </c>
      <c r="I262" s="25">
        <v>0.12593809523809515</v>
      </c>
      <c r="J262" s="21">
        <v>1.89</v>
      </c>
      <c r="K262" s="21">
        <v>1.4039999999999999</v>
      </c>
      <c r="L262" s="21">
        <v>2.2679999999999998</v>
      </c>
      <c r="M262" s="17" t="s">
        <v>121</v>
      </c>
      <c r="N262" s="17" t="s">
        <v>117</v>
      </c>
      <c r="O262" s="21">
        <v>0.94499999999999995</v>
      </c>
      <c r="P262" s="21">
        <v>3.3887700000000001</v>
      </c>
    </row>
    <row r="263" spans="1:16" ht="16.5" x14ac:dyDescent="0.25">
      <c r="A263" s="2"/>
      <c r="B263" s="4"/>
      <c r="C263" s="18"/>
      <c r="E263" s="20">
        <v>45693</v>
      </c>
      <c r="F263" s="17" t="s">
        <v>193</v>
      </c>
      <c r="G263" s="21">
        <v>10.295999999999999</v>
      </c>
      <c r="H263" s="21">
        <v>17.899999999999999</v>
      </c>
      <c r="I263" s="25">
        <v>9.5504469273742995E-2</v>
      </c>
      <c r="J263" s="21">
        <v>1.79</v>
      </c>
      <c r="K263" s="21">
        <v>1.4039999999999999</v>
      </c>
      <c r="L263" s="21">
        <v>2.1479999999999997</v>
      </c>
      <c r="M263" s="17" t="s">
        <v>120</v>
      </c>
      <c r="N263" s="17" t="s">
        <v>117</v>
      </c>
      <c r="O263" s="21">
        <v>0.89500000000000002</v>
      </c>
      <c r="P263" s="21">
        <v>3.20947</v>
      </c>
    </row>
    <row r="264" spans="1:16" ht="16.5" x14ac:dyDescent="0.25">
      <c r="A264" s="2"/>
      <c r="B264" s="4"/>
      <c r="C264" s="18"/>
      <c r="E264" s="20">
        <v>45693</v>
      </c>
      <c r="F264" s="17" t="s">
        <v>193</v>
      </c>
      <c r="G264" s="21">
        <v>10.295999999999999</v>
      </c>
      <c r="H264" s="21">
        <v>16.899999999999999</v>
      </c>
      <c r="I264" s="25">
        <v>6.1469230769230741E-2</v>
      </c>
      <c r="J264" s="21">
        <v>1.69</v>
      </c>
      <c r="K264" s="21">
        <v>1.4039999999999999</v>
      </c>
      <c r="L264" s="21">
        <v>2.0279999999999996</v>
      </c>
      <c r="M264" s="17" t="s">
        <v>113</v>
      </c>
      <c r="N264" s="17" t="s">
        <v>117</v>
      </c>
      <c r="O264" s="21">
        <v>0.84499999999999997</v>
      </c>
      <c r="P264" s="21">
        <v>3.03017</v>
      </c>
    </row>
    <row r="265" spans="1:16" ht="16.5" x14ac:dyDescent="0.25">
      <c r="A265" s="2"/>
      <c r="B265" s="4"/>
      <c r="C265" s="18"/>
      <c r="E265" s="20">
        <v>45586</v>
      </c>
      <c r="F265" s="17" t="s">
        <v>136</v>
      </c>
      <c r="G265" s="21">
        <v>12.32</v>
      </c>
      <c r="H265" s="21">
        <v>20.5</v>
      </c>
      <c r="I265" s="25">
        <v>0.10622439024390246</v>
      </c>
      <c r="J265" s="21">
        <v>2.0500000000000003</v>
      </c>
      <c r="K265" s="21">
        <v>1.68</v>
      </c>
      <c r="L265" s="21">
        <v>2.46</v>
      </c>
      <c r="M265" s="17" t="s">
        <v>122</v>
      </c>
      <c r="N265" s="17" t="s">
        <v>117</v>
      </c>
      <c r="O265" s="21">
        <v>1.0250000000000001</v>
      </c>
      <c r="P265" s="21">
        <v>2.9274</v>
      </c>
    </row>
    <row r="266" spans="1:16" ht="16.5" x14ac:dyDescent="0.25">
      <c r="A266" s="2"/>
      <c r="B266" s="4"/>
      <c r="C266" s="18"/>
      <c r="E266" s="20">
        <v>45586</v>
      </c>
      <c r="F266" s="17" t="s">
        <v>136</v>
      </c>
      <c r="G266" s="21">
        <v>12.32</v>
      </c>
      <c r="H266" s="21">
        <v>20</v>
      </c>
      <c r="I266" s="25">
        <v>9.1199999999999906E-2</v>
      </c>
      <c r="J266" s="21">
        <v>2</v>
      </c>
      <c r="K266" s="21">
        <v>1.68</v>
      </c>
      <c r="L266" s="21">
        <v>2.4</v>
      </c>
      <c r="M266" s="17" t="s">
        <v>121</v>
      </c>
      <c r="N266" s="17" t="s">
        <v>117</v>
      </c>
      <c r="O266" s="21">
        <v>1</v>
      </c>
      <c r="P266" s="21">
        <v>2.8560000000000003</v>
      </c>
    </row>
    <row r="267" spans="1:16" ht="16.5" x14ac:dyDescent="0.25">
      <c r="A267" s="2"/>
      <c r="B267" s="4"/>
      <c r="C267" s="18"/>
      <c r="E267" s="20">
        <v>45586</v>
      </c>
      <c r="F267" s="17" t="s">
        <v>136</v>
      </c>
      <c r="G267" s="21">
        <v>12.32</v>
      </c>
      <c r="H267" s="21">
        <v>19.5</v>
      </c>
      <c r="I267" s="25">
        <v>7.5405128205128125E-2</v>
      </c>
      <c r="J267" s="21">
        <v>1.9500000000000002</v>
      </c>
      <c r="K267" s="21">
        <v>1.68</v>
      </c>
      <c r="L267" s="21">
        <v>2.34</v>
      </c>
      <c r="M267" s="17" t="s">
        <v>120</v>
      </c>
      <c r="N267" s="17" t="s">
        <v>117</v>
      </c>
      <c r="O267" s="21">
        <v>0.97500000000000009</v>
      </c>
      <c r="P267" s="21">
        <v>2.7846000000000002</v>
      </c>
    </row>
    <row r="268" spans="1:16" ht="16.5" x14ac:dyDescent="0.25">
      <c r="A268" s="2"/>
      <c r="B268" s="4"/>
      <c r="C268" s="18"/>
      <c r="E268" s="20">
        <v>45586</v>
      </c>
      <c r="F268" s="17" t="s">
        <v>136</v>
      </c>
      <c r="G268" s="21">
        <v>12.32</v>
      </c>
      <c r="H268" s="21">
        <v>19</v>
      </c>
      <c r="I268" s="25">
        <v>5.8778947368420993E-2</v>
      </c>
      <c r="J268" s="21">
        <v>1.9000000000000001</v>
      </c>
      <c r="K268" s="21">
        <v>1.68</v>
      </c>
      <c r="L268" s="21">
        <v>2.2799999999999998</v>
      </c>
      <c r="M268" s="17" t="s">
        <v>113</v>
      </c>
      <c r="N268" s="17" t="s">
        <v>117</v>
      </c>
      <c r="O268" s="21">
        <v>0.95000000000000007</v>
      </c>
      <c r="P268" s="21">
        <v>2.7132000000000001</v>
      </c>
    </row>
    <row r="269" spans="1:16" ht="16.5" x14ac:dyDescent="0.25">
      <c r="A269" s="2"/>
      <c r="B269" s="4"/>
      <c r="C269" s="18"/>
      <c r="E269" s="20">
        <v>45586</v>
      </c>
      <c r="F269" s="17" t="s">
        <v>136</v>
      </c>
      <c r="G269" s="21">
        <v>14</v>
      </c>
      <c r="H269" s="21">
        <v>19.5</v>
      </c>
      <c r="I269" s="25">
        <v>0.13205128205128205</v>
      </c>
      <c r="J269" s="21">
        <v>1.9500000000000002</v>
      </c>
      <c r="K269" s="21">
        <v>1.68</v>
      </c>
      <c r="L269" s="21">
        <v>0</v>
      </c>
      <c r="M269" s="17" t="s">
        <v>122</v>
      </c>
      <c r="N269" s="17" t="s">
        <v>115</v>
      </c>
      <c r="O269" s="21">
        <v>0.97500000000000009</v>
      </c>
      <c r="P269" s="21">
        <v>0</v>
      </c>
    </row>
    <row r="270" spans="1:16" ht="16.5" x14ac:dyDescent="0.25">
      <c r="A270" s="2"/>
      <c r="B270" s="4"/>
      <c r="C270" s="18"/>
      <c r="E270" s="20">
        <v>45586</v>
      </c>
      <c r="F270" s="17" t="s">
        <v>136</v>
      </c>
      <c r="G270" s="21">
        <v>14</v>
      </c>
      <c r="H270" s="21">
        <v>19</v>
      </c>
      <c r="I270" s="25">
        <v>0.11315789473684208</v>
      </c>
      <c r="J270" s="21">
        <v>1.9000000000000001</v>
      </c>
      <c r="K270" s="21">
        <v>1.68</v>
      </c>
      <c r="L270" s="21">
        <v>0</v>
      </c>
      <c r="M270" s="17" t="s">
        <v>121</v>
      </c>
      <c r="N270" s="17" t="s">
        <v>115</v>
      </c>
      <c r="O270" s="21">
        <v>0.95000000000000007</v>
      </c>
      <c r="P270" s="21">
        <v>0</v>
      </c>
    </row>
    <row r="271" spans="1:16" ht="16.5" x14ac:dyDescent="0.25">
      <c r="A271" s="2"/>
      <c r="B271" s="4"/>
      <c r="C271" s="18"/>
      <c r="E271" s="20">
        <v>45586</v>
      </c>
      <c r="F271" s="17" t="s">
        <v>136</v>
      </c>
      <c r="G271" s="21">
        <v>14</v>
      </c>
      <c r="H271" s="21">
        <v>18.5</v>
      </c>
      <c r="I271" s="25">
        <v>9.3243243243243248E-2</v>
      </c>
      <c r="J271" s="21">
        <v>1.85</v>
      </c>
      <c r="K271" s="21">
        <v>1.68</v>
      </c>
      <c r="L271" s="21">
        <v>0</v>
      </c>
      <c r="M271" s="17" t="s">
        <v>120</v>
      </c>
      <c r="N271" s="17" t="s">
        <v>115</v>
      </c>
      <c r="O271" s="21">
        <v>0.92500000000000004</v>
      </c>
      <c r="P271" s="21">
        <v>0</v>
      </c>
    </row>
    <row r="272" spans="1:16" ht="16.5" x14ac:dyDescent="0.25">
      <c r="A272" s="2"/>
      <c r="B272" s="4"/>
      <c r="C272" s="18"/>
      <c r="E272" s="20">
        <v>45586</v>
      </c>
      <c r="F272" s="17" t="s">
        <v>136</v>
      </c>
      <c r="G272" s="21">
        <v>14</v>
      </c>
      <c r="H272" s="21">
        <v>18</v>
      </c>
      <c r="I272" s="25">
        <v>7.2222222222222229E-2</v>
      </c>
      <c r="J272" s="21">
        <v>1.8</v>
      </c>
      <c r="K272" s="21">
        <v>1.68</v>
      </c>
      <c r="L272" s="21">
        <v>0</v>
      </c>
      <c r="M272" s="17" t="s">
        <v>113</v>
      </c>
      <c r="N272" s="17" t="s">
        <v>115</v>
      </c>
      <c r="O272" s="21">
        <v>0.9</v>
      </c>
      <c r="P272" s="21">
        <v>0</v>
      </c>
    </row>
    <row r="273" spans="1:16" ht="16.5" x14ac:dyDescent="0.25">
      <c r="A273" s="2"/>
      <c r="B273" s="4"/>
      <c r="C273" s="18"/>
      <c r="E273" s="20">
        <v>45586</v>
      </c>
      <c r="F273" s="17" t="s">
        <v>137</v>
      </c>
      <c r="G273" s="21">
        <v>7.04</v>
      </c>
      <c r="H273" s="21">
        <v>13</v>
      </c>
      <c r="I273" s="25">
        <v>0.16566153846153839</v>
      </c>
      <c r="J273" s="21">
        <v>1.3</v>
      </c>
      <c r="K273" s="21">
        <v>0.96</v>
      </c>
      <c r="L273" s="21">
        <v>1.56</v>
      </c>
      <c r="M273" s="17" t="s">
        <v>122</v>
      </c>
      <c r="N273" s="17" t="s">
        <v>117</v>
      </c>
      <c r="O273" s="21">
        <v>0.65</v>
      </c>
      <c r="P273" s="21">
        <v>1.8564000000000001</v>
      </c>
    </row>
    <row r="274" spans="1:16" ht="16.5" x14ac:dyDescent="0.25">
      <c r="A274" s="2"/>
      <c r="B274" s="4"/>
      <c r="C274" s="18"/>
      <c r="E274" s="20">
        <v>45586</v>
      </c>
      <c r="F274" s="17" t="s">
        <v>137</v>
      </c>
      <c r="G274" s="21">
        <v>7.04</v>
      </c>
      <c r="H274" s="21">
        <v>12.5</v>
      </c>
      <c r="I274" s="25">
        <v>0.14399999999999999</v>
      </c>
      <c r="J274" s="21">
        <v>1.25</v>
      </c>
      <c r="K274" s="21">
        <v>0.96</v>
      </c>
      <c r="L274" s="21">
        <v>1.5</v>
      </c>
      <c r="M274" s="17" t="s">
        <v>121</v>
      </c>
      <c r="N274" s="17" t="s">
        <v>117</v>
      </c>
      <c r="O274" s="21">
        <v>0.625</v>
      </c>
      <c r="P274" s="21">
        <v>1.7850000000000001</v>
      </c>
    </row>
    <row r="275" spans="1:16" ht="16.5" x14ac:dyDescent="0.25">
      <c r="A275" s="2"/>
      <c r="B275" s="4"/>
      <c r="C275" s="18"/>
      <c r="E275" s="20">
        <v>45586</v>
      </c>
      <c r="F275" s="17" t="s">
        <v>137</v>
      </c>
      <c r="G275" s="21">
        <v>7.04</v>
      </c>
      <c r="H275" s="21">
        <v>12</v>
      </c>
      <c r="I275" s="25">
        <v>0.12053333333333334</v>
      </c>
      <c r="J275" s="21">
        <v>1.2000000000000002</v>
      </c>
      <c r="K275" s="21">
        <v>0.96</v>
      </c>
      <c r="L275" s="21">
        <v>1.44</v>
      </c>
      <c r="M275" s="17" t="s">
        <v>120</v>
      </c>
      <c r="N275" s="17" t="s">
        <v>117</v>
      </c>
      <c r="O275" s="21">
        <v>0.60000000000000009</v>
      </c>
      <c r="P275" s="21">
        <v>1.7136</v>
      </c>
    </row>
    <row r="276" spans="1:16" ht="16.5" x14ac:dyDescent="0.25">
      <c r="A276" s="2"/>
      <c r="B276" s="4"/>
      <c r="C276" s="18"/>
      <c r="E276" s="20">
        <v>45586</v>
      </c>
      <c r="F276" s="17" t="s">
        <v>137</v>
      </c>
      <c r="G276" s="21">
        <v>7.04</v>
      </c>
      <c r="H276" s="21">
        <v>11.5</v>
      </c>
      <c r="I276" s="25">
        <v>9.5026086956521635E-2</v>
      </c>
      <c r="J276" s="21">
        <v>1.1500000000000001</v>
      </c>
      <c r="K276" s="21">
        <v>0.96</v>
      </c>
      <c r="L276" s="21">
        <v>1.38</v>
      </c>
      <c r="M276" s="17" t="s">
        <v>113</v>
      </c>
      <c r="N276" s="17" t="s">
        <v>117</v>
      </c>
      <c r="O276" s="21">
        <v>0.57500000000000007</v>
      </c>
      <c r="P276" s="21">
        <v>1.6422000000000001</v>
      </c>
    </row>
    <row r="277" spans="1:16" ht="16.5" x14ac:dyDescent="0.25">
      <c r="A277" s="2"/>
      <c r="B277" s="4"/>
      <c r="C277" s="18"/>
      <c r="E277" s="20">
        <v>45586</v>
      </c>
      <c r="F277" s="17" t="s">
        <v>137</v>
      </c>
      <c r="G277" s="21">
        <v>8</v>
      </c>
      <c r="H277" s="21">
        <v>12</v>
      </c>
      <c r="I277" s="25">
        <v>0.18333333333333332</v>
      </c>
      <c r="J277" s="21">
        <v>1.2000000000000002</v>
      </c>
      <c r="K277" s="21">
        <v>0.96</v>
      </c>
      <c r="L277" s="21">
        <v>0</v>
      </c>
      <c r="M277" s="17" t="s">
        <v>122</v>
      </c>
      <c r="N277" s="17" t="s">
        <v>115</v>
      </c>
      <c r="O277" s="21">
        <v>0.60000000000000009</v>
      </c>
      <c r="P277" s="21">
        <v>0</v>
      </c>
    </row>
    <row r="278" spans="1:16" ht="16.5" x14ac:dyDescent="0.25">
      <c r="A278" s="2"/>
      <c r="B278" s="4"/>
      <c r="C278" s="18"/>
      <c r="E278" s="20">
        <v>45586</v>
      </c>
      <c r="F278" s="17" t="s">
        <v>137</v>
      </c>
      <c r="G278" s="21">
        <v>8</v>
      </c>
      <c r="H278" s="21">
        <v>11.5</v>
      </c>
      <c r="I278" s="25">
        <v>0.15434782608695649</v>
      </c>
      <c r="J278" s="21">
        <v>1.1500000000000001</v>
      </c>
      <c r="K278" s="21">
        <v>0.96</v>
      </c>
      <c r="L278" s="21">
        <v>0</v>
      </c>
      <c r="M278" s="17" t="s">
        <v>121</v>
      </c>
      <c r="N278" s="17" t="s">
        <v>115</v>
      </c>
      <c r="O278" s="21">
        <v>0.57500000000000007</v>
      </c>
      <c r="P278" s="21">
        <v>0</v>
      </c>
    </row>
    <row r="279" spans="1:16" ht="16.5" x14ac:dyDescent="0.25">
      <c r="A279" s="2"/>
      <c r="B279" s="4"/>
      <c r="C279" s="18"/>
      <c r="E279" s="20">
        <v>45586</v>
      </c>
      <c r="F279" s="17" t="s">
        <v>137</v>
      </c>
      <c r="G279" s="21">
        <v>8</v>
      </c>
      <c r="H279" s="21">
        <v>11</v>
      </c>
      <c r="I279" s="25">
        <v>0.12272727272727274</v>
      </c>
      <c r="J279" s="21">
        <v>1.1000000000000001</v>
      </c>
      <c r="K279" s="21">
        <v>0.96</v>
      </c>
      <c r="L279" s="21">
        <v>0</v>
      </c>
      <c r="M279" s="17" t="s">
        <v>120</v>
      </c>
      <c r="N279" s="17" t="s">
        <v>115</v>
      </c>
      <c r="O279" s="21">
        <v>0.55000000000000004</v>
      </c>
      <c r="P279" s="21">
        <v>0</v>
      </c>
    </row>
    <row r="280" spans="1:16" ht="16.5" x14ac:dyDescent="0.25">
      <c r="A280" s="2"/>
      <c r="B280" s="4"/>
      <c r="C280" s="18"/>
      <c r="E280" s="20">
        <v>45586</v>
      </c>
      <c r="F280" s="17" t="s">
        <v>137</v>
      </c>
      <c r="G280" s="21">
        <v>8</v>
      </c>
      <c r="H280" s="21">
        <v>10.5</v>
      </c>
      <c r="I280" s="25">
        <v>8.8095238095238101E-2</v>
      </c>
      <c r="J280" s="21">
        <v>1.05</v>
      </c>
      <c r="K280" s="21">
        <v>0.96</v>
      </c>
      <c r="L280" s="21">
        <v>0</v>
      </c>
      <c r="M280" s="17" t="s">
        <v>113</v>
      </c>
      <c r="N280" s="17" t="s">
        <v>115</v>
      </c>
      <c r="O280" s="21">
        <v>0.52500000000000002</v>
      </c>
      <c r="P280" s="21">
        <v>0</v>
      </c>
    </row>
    <row r="281" spans="1:16" ht="16.5" x14ac:dyDescent="0.25">
      <c r="A281" s="2"/>
      <c r="B281" s="4"/>
      <c r="C281" s="18"/>
      <c r="E281" s="20">
        <v>45586</v>
      </c>
      <c r="F281" s="17" t="s">
        <v>203</v>
      </c>
      <c r="G281" s="21">
        <v>14.616</v>
      </c>
      <c r="H281" s="21">
        <v>24</v>
      </c>
      <c r="I281" s="25">
        <v>9.8200000000000023E-2</v>
      </c>
      <c r="J281" s="21">
        <v>2.4000000000000004</v>
      </c>
      <c r="K281" s="21">
        <v>0.38400000000000001</v>
      </c>
      <c r="L281" s="21">
        <v>2.88</v>
      </c>
      <c r="M281" s="17" t="s">
        <v>122</v>
      </c>
      <c r="N281" s="17" t="s">
        <v>117</v>
      </c>
      <c r="O281" s="21">
        <v>1.2000000000000002</v>
      </c>
      <c r="P281" s="21">
        <v>3.4272</v>
      </c>
    </row>
    <row r="282" spans="1:16" ht="16.5" x14ac:dyDescent="0.25">
      <c r="A282" s="2"/>
      <c r="B282" s="4"/>
      <c r="C282" s="18"/>
      <c r="E282" s="20">
        <v>45586</v>
      </c>
      <c r="F282" s="17" t="s">
        <v>203</v>
      </c>
      <c r="G282" s="21">
        <v>14.616</v>
      </c>
      <c r="H282" s="21">
        <v>23.5</v>
      </c>
      <c r="I282" s="25">
        <v>8.5242553191489295E-2</v>
      </c>
      <c r="J282" s="21">
        <v>2.35</v>
      </c>
      <c r="K282" s="21">
        <v>0.38400000000000001</v>
      </c>
      <c r="L282" s="21">
        <v>2.82</v>
      </c>
      <c r="M282" s="17" t="s">
        <v>121</v>
      </c>
      <c r="N282" s="17" t="s">
        <v>117</v>
      </c>
      <c r="O282" s="21">
        <v>1.175</v>
      </c>
      <c r="P282" s="21">
        <v>3.3558000000000003</v>
      </c>
    </row>
    <row r="283" spans="1:16" ht="16.5" x14ac:dyDescent="0.25">
      <c r="A283" s="2"/>
      <c r="B283" s="4"/>
      <c r="C283" s="18"/>
      <c r="E283" s="20">
        <v>45586</v>
      </c>
      <c r="F283" s="17" t="s">
        <v>203</v>
      </c>
      <c r="G283" s="21">
        <v>14.616</v>
      </c>
      <c r="H283" s="21">
        <v>23</v>
      </c>
      <c r="I283" s="25">
        <v>7.1721739130434697E-2</v>
      </c>
      <c r="J283" s="21">
        <v>2.3000000000000003</v>
      </c>
      <c r="K283" s="21">
        <v>0.38400000000000001</v>
      </c>
      <c r="L283" s="21">
        <v>2.76</v>
      </c>
      <c r="M283" s="17" t="s">
        <v>120</v>
      </c>
      <c r="N283" s="17" t="s">
        <v>117</v>
      </c>
      <c r="O283" s="21">
        <v>1.1500000000000001</v>
      </c>
      <c r="P283" s="21">
        <v>3.2844000000000002</v>
      </c>
    </row>
    <row r="284" spans="1:16" ht="16.5" x14ac:dyDescent="0.25">
      <c r="A284" s="2"/>
      <c r="B284" s="4"/>
      <c r="C284" s="18"/>
      <c r="E284" s="20">
        <v>45586</v>
      </c>
      <c r="F284" s="17" t="s">
        <v>203</v>
      </c>
      <c r="G284" s="21">
        <v>14.616</v>
      </c>
      <c r="H284" s="21">
        <v>22.5</v>
      </c>
      <c r="I284" s="25">
        <v>5.7599999999999971E-2</v>
      </c>
      <c r="J284" s="21">
        <v>2.25</v>
      </c>
      <c r="K284" s="21">
        <v>0.38400000000000001</v>
      </c>
      <c r="L284" s="21">
        <v>2.6999999999999997</v>
      </c>
      <c r="M284" s="17" t="s">
        <v>113</v>
      </c>
      <c r="N284" s="17" t="s">
        <v>117</v>
      </c>
      <c r="O284" s="21">
        <v>1.125</v>
      </c>
      <c r="P284" s="21">
        <v>3.2130000000000001</v>
      </c>
    </row>
    <row r="285" spans="1:16" ht="16.5" x14ac:dyDescent="0.25">
      <c r="A285" s="2"/>
      <c r="B285" s="4"/>
      <c r="C285" s="18"/>
      <c r="E285" s="20">
        <v>45586</v>
      </c>
      <c r="F285" s="17" t="s">
        <v>203</v>
      </c>
      <c r="G285" s="21">
        <v>15</v>
      </c>
      <c r="H285" s="21">
        <v>22.5</v>
      </c>
      <c r="I285" s="25">
        <v>0.1283333333333333</v>
      </c>
      <c r="J285" s="21">
        <v>2.25</v>
      </c>
      <c r="K285" s="21">
        <v>0</v>
      </c>
      <c r="L285" s="21">
        <v>1.2375</v>
      </c>
      <c r="M285" s="17" t="s">
        <v>122</v>
      </c>
      <c r="N285" s="17" t="s">
        <v>116</v>
      </c>
      <c r="O285" s="21">
        <v>1.125</v>
      </c>
      <c r="P285" s="21">
        <v>1.2375</v>
      </c>
    </row>
    <row r="286" spans="1:16" ht="16.5" x14ac:dyDescent="0.25">
      <c r="A286" s="2"/>
      <c r="B286" s="4"/>
      <c r="C286" s="18"/>
      <c r="E286" s="20">
        <v>45586</v>
      </c>
      <c r="F286" s="17" t="s">
        <v>203</v>
      </c>
      <c r="G286" s="21">
        <v>15</v>
      </c>
      <c r="H286" s="21">
        <v>22</v>
      </c>
      <c r="I286" s="25">
        <v>0.11318181818181815</v>
      </c>
      <c r="J286" s="21">
        <v>2.2000000000000002</v>
      </c>
      <c r="K286" s="21">
        <v>0</v>
      </c>
      <c r="L286" s="21">
        <v>1.21</v>
      </c>
      <c r="M286" s="17" t="s">
        <v>121</v>
      </c>
      <c r="N286" s="17" t="s">
        <v>116</v>
      </c>
      <c r="O286" s="21">
        <v>1.1000000000000001</v>
      </c>
      <c r="P286" s="21">
        <v>1.21</v>
      </c>
    </row>
    <row r="287" spans="1:16" ht="16.5" x14ac:dyDescent="0.25">
      <c r="A287" s="2"/>
      <c r="B287" s="4"/>
      <c r="C287" s="18"/>
      <c r="E287" s="20">
        <v>45586</v>
      </c>
      <c r="F287" s="17" t="s">
        <v>203</v>
      </c>
      <c r="G287" s="21">
        <v>15</v>
      </c>
      <c r="H287" s="21">
        <v>21.5</v>
      </c>
      <c r="I287" s="25">
        <v>9.732558139534879E-2</v>
      </c>
      <c r="J287" s="21">
        <v>2.15</v>
      </c>
      <c r="K287" s="21">
        <v>0</v>
      </c>
      <c r="L287" s="21">
        <v>1.1825000000000001</v>
      </c>
      <c r="M287" s="17" t="s">
        <v>120</v>
      </c>
      <c r="N287" s="17" t="s">
        <v>116</v>
      </c>
      <c r="O287" s="21">
        <v>1.075</v>
      </c>
      <c r="P287" s="21">
        <v>1.1825000000000001</v>
      </c>
    </row>
    <row r="288" spans="1:16" ht="16.5" x14ac:dyDescent="0.25">
      <c r="A288" s="2"/>
      <c r="B288" s="4"/>
      <c r="C288" s="18"/>
      <c r="E288" s="20">
        <v>45586</v>
      </c>
      <c r="F288" s="17" t="s">
        <v>203</v>
      </c>
      <c r="G288" s="21">
        <v>15</v>
      </c>
      <c r="H288" s="21">
        <v>21</v>
      </c>
      <c r="I288" s="25">
        <v>8.0714285714285669E-2</v>
      </c>
      <c r="J288" s="21">
        <v>2.1</v>
      </c>
      <c r="K288" s="21">
        <v>0</v>
      </c>
      <c r="L288" s="21">
        <v>1.155</v>
      </c>
      <c r="M288" s="17" t="s">
        <v>113</v>
      </c>
      <c r="N288" s="17" t="s">
        <v>116</v>
      </c>
      <c r="O288" s="21">
        <v>1.05</v>
      </c>
      <c r="P288" s="21">
        <v>1.155</v>
      </c>
    </row>
    <row r="289" spans="1:16" ht="16.5" x14ac:dyDescent="0.25">
      <c r="A289" s="2"/>
      <c r="B289" s="4"/>
      <c r="C289" s="18"/>
      <c r="E289" s="20">
        <v>45586</v>
      </c>
      <c r="F289" s="17" t="s">
        <v>203</v>
      </c>
      <c r="G289" s="21">
        <v>15</v>
      </c>
      <c r="H289" s="21">
        <v>20.5</v>
      </c>
      <c r="I289" s="25">
        <v>0.11829268292682923</v>
      </c>
      <c r="J289" s="21">
        <v>2.0500000000000003</v>
      </c>
      <c r="K289" s="21">
        <v>0.38400000000000001</v>
      </c>
      <c r="L289" s="21">
        <v>0</v>
      </c>
      <c r="M289" s="17" t="s">
        <v>122</v>
      </c>
      <c r="N289" s="17" t="s">
        <v>115</v>
      </c>
      <c r="O289" s="21">
        <v>1.0250000000000001</v>
      </c>
      <c r="P289" s="21">
        <v>0</v>
      </c>
    </row>
    <row r="290" spans="1:16" ht="16.5" x14ac:dyDescent="0.25">
      <c r="A290" s="2"/>
      <c r="B290" s="4"/>
      <c r="C290" s="18"/>
      <c r="E290" s="20">
        <v>45586</v>
      </c>
      <c r="F290" s="17" t="s">
        <v>203</v>
      </c>
      <c r="G290" s="21">
        <v>15</v>
      </c>
      <c r="H290" s="21">
        <v>20</v>
      </c>
      <c r="I290" s="25">
        <v>0.1</v>
      </c>
      <c r="J290" s="21">
        <v>2</v>
      </c>
      <c r="K290" s="21">
        <v>0.38400000000000001</v>
      </c>
      <c r="L290" s="21">
        <v>0</v>
      </c>
      <c r="M290" s="17" t="s">
        <v>121</v>
      </c>
      <c r="N290" s="17" t="s">
        <v>115</v>
      </c>
      <c r="O290" s="21">
        <v>1</v>
      </c>
      <c r="P290" s="21">
        <v>0</v>
      </c>
    </row>
    <row r="291" spans="1:16" ht="16.5" x14ac:dyDescent="0.25">
      <c r="A291" s="2"/>
      <c r="B291" s="4"/>
      <c r="C291" s="18"/>
      <c r="E291" s="20">
        <v>45586</v>
      </c>
      <c r="F291" s="17" t="s">
        <v>203</v>
      </c>
      <c r="G291" s="21">
        <v>15</v>
      </c>
      <c r="H291" s="21">
        <v>19.5</v>
      </c>
      <c r="I291" s="25">
        <v>8.076923076923076E-2</v>
      </c>
      <c r="J291" s="21">
        <v>1.9500000000000002</v>
      </c>
      <c r="K291" s="21">
        <v>0.38400000000000001</v>
      </c>
      <c r="L291" s="21">
        <v>0</v>
      </c>
      <c r="M291" s="17" t="s">
        <v>120</v>
      </c>
      <c r="N291" s="17" t="s">
        <v>115</v>
      </c>
      <c r="O291" s="21">
        <v>0.97500000000000009</v>
      </c>
      <c r="P291" s="21">
        <v>0</v>
      </c>
    </row>
    <row r="292" spans="1:16" ht="16.5" x14ac:dyDescent="0.25">
      <c r="A292" s="2"/>
      <c r="B292" s="4"/>
      <c r="C292" s="18"/>
      <c r="E292" s="20">
        <v>45586</v>
      </c>
      <c r="F292" s="17" t="s">
        <v>203</v>
      </c>
      <c r="G292" s="21">
        <v>15</v>
      </c>
      <c r="H292" s="21">
        <v>19</v>
      </c>
      <c r="I292" s="25">
        <v>6.0526315789473671E-2</v>
      </c>
      <c r="J292" s="21">
        <v>1.9000000000000001</v>
      </c>
      <c r="K292" s="21">
        <v>0.38400000000000001</v>
      </c>
      <c r="L292" s="21">
        <v>0</v>
      </c>
      <c r="M292" s="17" t="s">
        <v>113</v>
      </c>
      <c r="N292" s="17" t="s">
        <v>115</v>
      </c>
      <c r="O292" s="21">
        <v>0.95000000000000007</v>
      </c>
      <c r="P292" s="21">
        <v>0</v>
      </c>
    </row>
    <row r="293" spans="1:16" ht="16.5" x14ac:dyDescent="0.25">
      <c r="A293" s="2"/>
      <c r="B293" s="4"/>
      <c r="C293" s="18"/>
      <c r="E293" s="20">
        <v>45586</v>
      </c>
      <c r="F293" s="17" t="s">
        <v>95</v>
      </c>
      <c r="G293" s="21">
        <v>7.3079999999999998</v>
      </c>
      <c r="H293" s="21">
        <v>12.5</v>
      </c>
      <c r="I293" s="25">
        <v>0.12256</v>
      </c>
      <c r="J293" s="21">
        <v>1.25</v>
      </c>
      <c r="K293" s="21">
        <v>0.192</v>
      </c>
      <c r="L293" s="21">
        <v>1.5</v>
      </c>
      <c r="M293" s="17" t="s">
        <v>122</v>
      </c>
      <c r="N293" s="17" t="s">
        <v>117</v>
      </c>
      <c r="O293" s="21">
        <v>0.625</v>
      </c>
      <c r="P293" s="21">
        <v>1.7850000000000001</v>
      </c>
    </row>
    <row r="294" spans="1:16" ht="16.5" x14ac:dyDescent="0.25">
      <c r="A294" s="2"/>
      <c r="B294" s="4"/>
      <c r="C294" s="18"/>
      <c r="E294" s="20">
        <v>45586</v>
      </c>
      <c r="F294" s="17" t="s">
        <v>95</v>
      </c>
      <c r="G294" s="21">
        <v>7.3079999999999998</v>
      </c>
      <c r="H294" s="21">
        <v>12.2</v>
      </c>
      <c r="I294" s="25">
        <v>0.10818360655737701</v>
      </c>
      <c r="J294" s="21">
        <v>1.22</v>
      </c>
      <c r="K294" s="21">
        <v>0.192</v>
      </c>
      <c r="L294" s="21">
        <v>1.464</v>
      </c>
      <c r="M294" s="17" t="s">
        <v>121</v>
      </c>
      <c r="N294" s="17" t="s">
        <v>117</v>
      </c>
      <c r="O294" s="21">
        <v>0.61</v>
      </c>
      <c r="P294" s="21">
        <v>1.7421599999999999</v>
      </c>
    </row>
    <row r="295" spans="1:16" ht="16.5" x14ac:dyDescent="0.25">
      <c r="A295" s="2"/>
      <c r="B295" s="4"/>
      <c r="C295" s="18"/>
      <c r="E295" s="20">
        <v>45586</v>
      </c>
      <c r="F295" s="17" t="s">
        <v>95</v>
      </c>
      <c r="G295" s="21">
        <v>7.3079999999999998</v>
      </c>
      <c r="H295" s="21">
        <v>11.8</v>
      </c>
      <c r="I295" s="25">
        <v>8.7877966101694918E-2</v>
      </c>
      <c r="J295" s="21">
        <v>1.1800000000000002</v>
      </c>
      <c r="K295" s="21">
        <v>0.192</v>
      </c>
      <c r="L295" s="21">
        <v>1.4159999999999999</v>
      </c>
      <c r="M295" s="17" t="s">
        <v>120</v>
      </c>
      <c r="N295" s="17" t="s">
        <v>117</v>
      </c>
      <c r="O295" s="21">
        <v>0.59000000000000008</v>
      </c>
      <c r="P295" s="21">
        <v>1.6850400000000003</v>
      </c>
    </row>
    <row r="296" spans="1:16" ht="16.5" x14ac:dyDescent="0.25">
      <c r="A296" s="2"/>
      <c r="B296" s="4"/>
      <c r="C296" s="18"/>
      <c r="E296" s="20">
        <v>45586</v>
      </c>
      <c r="F296" s="17" t="s">
        <v>95</v>
      </c>
      <c r="G296" s="21">
        <v>7.3079999999999998</v>
      </c>
      <c r="H296" s="21">
        <v>11.5</v>
      </c>
      <c r="I296" s="25">
        <v>7.1721739130434697E-2</v>
      </c>
      <c r="J296" s="21">
        <v>1.1500000000000001</v>
      </c>
      <c r="K296" s="21">
        <v>0.192</v>
      </c>
      <c r="L296" s="21">
        <v>1.38</v>
      </c>
      <c r="M296" s="17" t="s">
        <v>113</v>
      </c>
      <c r="N296" s="17" t="s">
        <v>117</v>
      </c>
      <c r="O296" s="21">
        <v>0.57500000000000007</v>
      </c>
      <c r="P296" s="21">
        <v>1.6422000000000001</v>
      </c>
    </row>
    <row r="297" spans="1:16" ht="16.5" x14ac:dyDescent="0.25">
      <c r="A297" s="2"/>
      <c r="B297" s="4"/>
      <c r="C297" s="18"/>
      <c r="E297" s="20">
        <v>45586</v>
      </c>
      <c r="F297" s="17" t="s">
        <v>95</v>
      </c>
      <c r="G297" s="21">
        <v>7.5</v>
      </c>
      <c r="H297" s="21">
        <v>11.2</v>
      </c>
      <c r="I297" s="25">
        <v>0.12535714285714283</v>
      </c>
      <c r="J297" s="21">
        <v>1.1199999999999999</v>
      </c>
      <c r="K297" s="21">
        <v>0</v>
      </c>
      <c r="L297" s="21">
        <v>0.61599999999999999</v>
      </c>
      <c r="M297" s="17" t="s">
        <v>121</v>
      </c>
      <c r="N297" s="17" t="s">
        <v>116</v>
      </c>
      <c r="O297" s="21">
        <v>0.55999999999999994</v>
      </c>
      <c r="P297" s="21">
        <v>0.61599999999999999</v>
      </c>
    </row>
    <row r="298" spans="1:16" ht="16.5" x14ac:dyDescent="0.25">
      <c r="A298" s="2"/>
      <c r="B298" s="4"/>
      <c r="C298" s="18"/>
      <c r="E298" s="20">
        <v>45586</v>
      </c>
      <c r="F298" s="17" t="s">
        <v>95</v>
      </c>
      <c r="G298" s="21">
        <v>7.5</v>
      </c>
      <c r="H298" s="21">
        <v>11.5</v>
      </c>
      <c r="I298" s="25">
        <v>0.14282608695652169</v>
      </c>
      <c r="J298" s="21">
        <v>1.1500000000000001</v>
      </c>
      <c r="K298" s="21">
        <v>0</v>
      </c>
      <c r="L298" s="21">
        <v>0.63249999999999995</v>
      </c>
      <c r="M298" s="17" t="s">
        <v>122</v>
      </c>
      <c r="N298" s="17" t="s">
        <v>116</v>
      </c>
      <c r="O298" s="21">
        <v>0.57500000000000007</v>
      </c>
      <c r="P298" s="21">
        <v>0.63249999999999995</v>
      </c>
    </row>
    <row r="299" spans="1:16" ht="16.5" x14ac:dyDescent="0.25">
      <c r="A299" s="2"/>
      <c r="B299" s="4"/>
      <c r="C299" s="18"/>
      <c r="E299" s="20">
        <v>45586</v>
      </c>
      <c r="F299" s="17" t="s">
        <v>95</v>
      </c>
      <c r="G299" s="21">
        <v>7.5</v>
      </c>
      <c r="H299" s="21">
        <v>11.3</v>
      </c>
      <c r="I299" s="25">
        <v>0.13128318584070808</v>
      </c>
      <c r="J299" s="21">
        <v>1.1300000000000001</v>
      </c>
      <c r="K299" s="21">
        <v>0</v>
      </c>
      <c r="L299" s="21">
        <v>0.62150000000000005</v>
      </c>
      <c r="M299" s="17" t="s">
        <v>121</v>
      </c>
      <c r="N299" s="17" t="s">
        <v>116</v>
      </c>
      <c r="O299" s="21">
        <v>0.56500000000000006</v>
      </c>
      <c r="P299" s="21">
        <v>0.62150000000000005</v>
      </c>
    </row>
    <row r="300" spans="1:16" ht="16.5" x14ac:dyDescent="0.25">
      <c r="A300" s="2"/>
      <c r="B300" s="4"/>
      <c r="C300" s="18"/>
      <c r="E300" s="20">
        <v>45586</v>
      </c>
      <c r="F300" s="17" t="s">
        <v>95</v>
      </c>
      <c r="G300" s="21">
        <v>7.5</v>
      </c>
      <c r="H300" s="21">
        <v>10.8</v>
      </c>
      <c r="I300" s="25">
        <v>0.10055555555555566</v>
      </c>
      <c r="J300" s="21">
        <v>1.08</v>
      </c>
      <c r="K300" s="21">
        <v>0</v>
      </c>
      <c r="L300" s="21">
        <v>0.59400000000000008</v>
      </c>
      <c r="M300" s="17" t="s">
        <v>120</v>
      </c>
      <c r="N300" s="17" t="s">
        <v>116</v>
      </c>
      <c r="O300" s="21">
        <v>0.54</v>
      </c>
      <c r="P300" s="21">
        <v>0.59400000000000008</v>
      </c>
    </row>
    <row r="301" spans="1:16" ht="16.5" x14ac:dyDescent="0.25">
      <c r="A301" s="2"/>
      <c r="B301" s="4"/>
      <c r="C301" s="18"/>
      <c r="E301" s="20">
        <v>45586</v>
      </c>
      <c r="F301" s="17" t="s">
        <v>95</v>
      </c>
      <c r="G301" s="21">
        <v>7.5</v>
      </c>
      <c r="H301" s="21">
        <v>10.5</v>
      </c>
      <c r="I301" s="25">
        <v>8.0714285714285669E-2</v>
      </c>
      <c r="J301" s="21">
        <v>1.05</v>
      </c>
      <c r="K301" s="21">
        <v>0</v>
      </c>
      <c r="L301" s="21">
        <v>0.57750000000000001</v>
      </c>
      <c r="M301" s="17" t="s">
        <v>113</v>
      </c>
      <c r="N301" s="17" t="s">
        <v>116</v>
      </c>
      <c r="O301" s="21">
        <v>0.52500000000000002</v>
      </c>
      <c r="P301" s="21">
        <v>0.57750000000000001</v>
      </c>
    </row>
    <row r="302" spans="1:16" ht="16.5" x14ac:dyDescent="0.25">
      <c r="A302" s="2"/>
      <c r="B302" s="4"/>
      <c r="C302" s="18"/>
      <c r="E302" s="20">
        <v>45586</v>
      </c>
      <c r="F302" s="17" t="s">
        <v>95</v>
      </c>
      <c r="G302" s="21">
        <v>7.5</v>
      </c>
      <c r="H302" s="21">
        <v>10.9</v>
      </c>
      <c r="I302" s="25">
        <v>0.16192660550458718</v>
      </c>
      <c r="J302" s="21">
        <v>1.0900000000000001</v>
      </c>
      <c r="K302" s="21">
        <v>0.192</v>
      </c>
      <c r="L302" s="21">
        <v>0</v>
      </c>
      <c r="M302" s="17" t="s">
        <v>122</v>
      </c>
      <c r="N302" s="17" t="s">
        <v>115</v>
      </c>
      <c r="O302" s="21">
        <v>0.54500000000000004</v>
      </c>
      <c r="P302" s="21">
        <v>0</v>
      </c>
    </row>
    <row r="303" spans="1:16" ht="16.5" x14ac:dyDescent="0.25">
      <c r="A303" s="2"/>
      <c r="B303" s="4"/>
      <c r="C303" s="18"/>
      <c r="E303" s="20">
        <v>45586</v>
      </c>
      <c r="F303" s="17" t="s">
        <v>95</v>
      </c>
      <c r="G303" s="21">
        <v>7.5</v>
      </c>
      <c r="H303" s="21">
        <v>10.5</v>
      </c>
      <c r="I303" s="25">
        <v>0.13571428571428573</v>
      </c>
      <c r="J303" s="21">
        <v>1.05</v>
      </c>
      <c r="K303" s="21">
        <v>0.192</v>
      </c>
      <c r="L303" s="21">
        <v>0</v>
      </c>
      <c r="M303" s="17" t="s">
        <v>121</v>
      </c>
      <c r="N303" s="17" t="s">
        <v>115</v>
      </c>
      <c r="O303" s="21">
        <v>0.52500000000000002</v>
      </c>
      <c r="P303" s="21">
        <v>0</v>
      </c>
    </row>
    <row r="304" spans="1:16" ht="16.5" x14ac:dyDescent="0.25">
      <c r="A304" s="2"/>
      <c r="B304" s="4"/>
      <c r="C304" s="18"/>
      <c r="E304" s="20">
        <v>45586</v>
      </c>
      <c r="F304" s="17" t="s">
        <v>95</v>
      </c>
      <c r="G304" s="21">
        <v>7.5</v>
      </c>
      <c r="H304" s="21">
        <v>10.3</v>
      </c>
      <c r="I304" s="25">
        <v>0.12184466019417481</v>
      </c>
      <c r="J304" s="21">
        <v>1.03</v>
      </c>
      <c r="K304" s="21">
        <v>0.192</v>
      </c>
      <c r="L304" s="21">
        <v>0</v>
      </c>
      <c r="M304" s="17" t="s">
        <v>120</v>
      </c>
      <c r="N304" s="17" t="s">
        <v>115</v>
      </c>
      <c r="O304" s="21">
        <v>0.51500000000000001</v>
      </c>
      <c r="P304" s="21">
        <v>0</v>
      </c>
    </row>
    <row r="305" spans="1:16" ht="16.5" x14ac:dyDescent="0.25">
      <c r="A305" s="2"/>
      <c r="B305" s="4"/>
      <c r="C305" s="18"/>
      <c r="E305" s="20">
        <v>45586</v>
      </c>
      <c r="F305" s="17" t="s">
        <v>95</v>
      </c>
      <c r="G305" s="21">
        <v>7.5</v>
      </c>
      <c r="H305" s="21">
        <v>10.5</v>
      </c>
      <c r="I305" s="25">
        <v>0.13571428571428573</v>
      </c>
      <c r="J305" s="21">
        <v>1.05</v>
      </c>
      <c r="K305" s="21">
        <v>0.192</v>
      </c>
      <c r="L305" s="21">
        <v>0</v>
      </c>
      <c r="M305" s="17" t="s">
        <v>120</v>
      </c>
      <c r="N305" s="17" t="s">
        <v>115</v>
      </c>
      <c r="O305" s="21">
        <v>0.52500000000000002</v>
      </c>
      <c r="P305" s="21">
        <v>0</v>
      </c>
    </row>
    <row r="306" spans="1:16" ht="16.5" x14ac:dyDescent="0.25">
      <c r="A306" s="2"/>
      <c r="B306" s="4"/>
      <c r="C306" s="18"/>
      <c r="E306" s="20">
        <v>45586</v>
      </c>
      <c r="F306" s="17" t="s">
        <v>95</v>
      </c>
      <c r="G306" s="21">
        <v>7.5</v>
      </c>
      <c r="H306" s="21">
        <v>10</v>
      </c>
      <c r="I306" s="25">
        <v>0.1</v>
      </c>
      <c r="J306" s="21">
        <v>1</v>
      </c>
      <c r="K306" s="21">
        <v>0.192</v>
      </c>
      <c r="L306" s="21">
        <v>0</v>
      </c>
      <c r="M306" s="17" t="s">
        <v>113</v>
      </c>
      <c r="N306" s="17" t="s">
        <v>115</v>
      </c>
      <c r="O306" s="21">
        <v>0.5</v>
      </c>
      <c r="P306" s="21">
        <v>0</v>
      </c>
    </row>
    <row r="307" spans="1:16" ht="16.5" x14ac:dyDescent="0.25">
      <c r="A307" s="2"/>
      <c r="B307" s="4"/>
      <c r="C307" s="18"/>
      <c r="E307" s="20">
        <v>45586</v>
      </c>
      <c r="F307" s="17" t="s">
        <v>94</v>
      </c>
      <c r="G307" s="21">
        <v>3.80016</v>
      </c>
      <c r="H307" s="21">
        <v>6.9</v>
      </c>
      <c r="I307" s="25">
        <v>0.15645217391304353</v>
      </c>
      <c r="J307" s="21">
        <v>0.69000000000000006</v>
      </c>
      <c r="K307" s="21">
        <v>9.9839999999999998E-2</v>
      </c>
      <c r="L307" s="21">
        <v>0.82799999999999996</v>
      </c>
      <c r="M307" s="17" t="s">
        <v>122</v>
      </c>
      <c r="N307" s="17" t="s">
        <v>117</v>
      </c>
      <c r="O307" s="21">
        <v>0.34500000000000003</v>
      </c>
      <c r="P307" s="21">
        <v>0.98532000000000008</v>
      </c>
    </row>
    <row r="308" spans="1:16" ht="16.5" x14ac:dyDescent="0.25">
      <c r="A308" s="2"/>
      <c r="B308" s="4"/>
      <c r="C308" s="18"/>
      <c r="E308" s="20">
        <v>45586</v>
      </c>
      <c r="F308" s="17" t="s">
        <v>94</v>
      </c>
      <c r="G308" s="21">
        <v>3.80016</v>
      </c>
      <c r="H308" s="21">
        <v>6.5</v>
      </c>
      <c r="I308" s="25">
        <v>0.12255999999999995</v>
      </c>
      <c r="J308" s="21">
        <v>0.65</v>
      </c>
      <c r="K308" s="21">
        <v>9.9839999999999998E-2</v>
      </c>
      <c r="L308" s="21">
        <v>0.78</v>
      </c>
      <c r="M308" s="17" t="s">
        <v>121</v>
      </c>
      <c r="N308" s="17" t="s">
        <v>117</v>
      </c>
      <c r="O308" s="21">
        <v>0.32500000000000001</v>
      </c>
      <c r="P308" s="21">
        <v>0.92820000000000003</v>
      </c>
    </row>
    <row r="309" spans="1:16" ht="16.5" x14ac:dyDescent="0.25">
      <c r="A309" s="2"/>
      <c r="B309" s="4"/>
      <c r="C309" s="18"/>
      <c r="E309" s="20">
        <v>45586</v>
      </c>
      <c r="F309" s="17" t="s">
        <v>94</v>
      </c>
      <c r="G309" s="21">
        <v>3.80016</v>
      </c>
      <c r="H309" s="21">
        <v>6.3</v>
      </c>
      <c r="I309" s="25">
        <v>0.10400000000000002</v>
      </c>
      <c r="J309" s="21">
        <v>0.63</v>
      </c>
      <c r="K309" s="21">
        <v>9.9839999999999998E-2</v>
      </c>
      <c r="L309" s="21">
        <v>0.75600000000000001</v>
      </c>
      <c r="M309" s="17" t="s">
        <v>120</v>
      </c>
      <c r="N309" s="17" t="s">
        <v>117</v>
      </c>
      <c r="O309" s="21">
        <v>0.315</v>
      </c>
      <c r="P309" s="21">
        <v>0.89964</v>
      </c>
    </row>
    <row r="310" spans="1:16" ht="16.5" x14ac:dyDescent="0.25">
      <c r="A310" s="2"/>
      <c r="B310" s="4"/>
      <c r="C310" s="18"/>
      <c r="E310" s="20">
        <v>45586</v>
      </c>
      <c r="F310" s="17" t="s">
        <v>94</v>
      </c>
      <c r="G310" s="21">
        <v>3.80016</v>
      </c>
      <c r="H310" s="21">
        <v>6</v>
      </c>
      <c r="I310" s="25">
        <v>7.3840000000000017E-2</v>
      </c>
      <c r="J310" s="21">
        <v>0.60000000000000009</v>
      </c>
      <c r="K310" s="21">
        <v>9.9839999999999998E-2</v>
      </c>
      <c r="L310" s="21">
        <v>0.72</v>
      </c>
      <c r="M310" s="17" t="s">
        <v>113</v>
      </c>
      <c r="N310" s="17" t="s">
        <v>117</v>
      </c>
      <c r="O310" s="21">
        <v>0.30000000000000004</v>
      </c>
      <c r="P310" s="21">
        <v>0.85680000000000001</v>
      </c>
    </row>
    <row r="311" spans="1:16" ht="16.5" x14ac:dyDescent="0.25">
      <c r="A311" s="2"/>
      <c r="B311" s="4"/>
      <c r="C311" s="18"/>
      <c r="E311" s="20">
        <v>45586</v>
      </c>
      <c r="F311" s="17" t="s">
        <v>94</v>
      </c>
      <c r="G311" s="21">
        <v>3.80016</v>
      </c>
      <c r="H311" s="21">
        <v>6</v>
      </c>
      <c r="I311" s="25">
        <v>7.3840000000000017E-2</v>
      </c>
      <c r="J311" s="21">
        <v>0.60000000000000009</v>
      </c>
      <c r="K311" s="21">
        <v>9.9839999999999998E-2</v>
      </c>
      <c r="L311" s="21">
        <v>0.72</v>
      </c>
      <c r="M311" s="17" t="s">
        <v>122</v>
      </c>
      <c r="N311" s="17" t="s">
        <v>117</v>
      </c>
      <c r="O311" s="21">
        <v>0.30000000000000004</v>
      </c>
      <c r="P311" s="21">
        <v>0.85680000000000001</v>
      </c>
    </row>
    <row r="312" spans="1:16" ht="16.5" x14ac:dyDescent="0.25">
      <c r="A312" s="2"/>
      <c r="B312" s="4"/>
      <c r="C312" s="18"/>
      <c r="E312" s="20">
        <v>45586</v>
      </c>
      <c r="F312" s="17" t="s">
        <v>94</v>
      </c>
      <c r="G312" s="21">
        <v>3.9</v>
      </c>
      <c r="H312" s="21">
        <v>6.2</v>
      </c>
      <c r="I312" s="25">
        <v>0.16596774193548386</v>
      </c>
      <c r="J312" s="21">
        <v>0.62000000000000011</v>
      </c>
      <c r="K312" s="21">
        <v>0</v>
      </c>
      <c r="L312" s="21">
        <v>0.34100000000000003</v>
      </c>
      <c r="M312" s="17" t="s">
        <v>122</v>
      </c>
      <c r="N312" s="17" t="s">
        <v>116</v>
      </c>
      <c r="O312" s="21">
        <v>0.31000000000000005</v>
      </c>
      <c r="P312" s="21">
        <v>0.34100000000000003</v>
      </c>
    </row>
    <row r="313" spans="1:16" ht="16.5" x14ac:dyDescent="0.25">
      <c r="A313" s="2"/>
      <c r="B313" s="4"/>
      <c r="C313" s="18"/>
      <c r="E313" s="20">
        <v>45586</v>
      </c>
      <c r="F313" s="17" t="s">
        <v>94</v>
      </c>
      <c r="G313" s="21">
        <v>3.9</v>
      </c>
      <c r="H313" s="21">
        <v>6</v>
      </c>
      <c r="I313" s="25">
        <v>0.14499999999999999</v>
      </c>
      <c r="J313" s="21">
        <v>0.60000000000000009</v>
      </c>
      <c r="K313" s="21">
        <v>0</v>
      </c>
      <c r="L313" s="21">
        <v>0.33</v>
      </c>
      <c r="M313" s="17" t="s">
        <v>121</v>
      </c>
      <c r="N313" s="17" t="s">
        <v>116</v>
      </c>
      <c r="O313" s="21">
        <v>0.30000000000000004</v>
      </c>
      <c r="P313" s="21">
        <v>0.33</v>
      </c>
    </row>
    <row r="314" spans="1:16" ht="16.5" x14ac:dyDescent="0.25">
      <c r="A314" s="2"/>
      <c r="B314" s="4"/>
      <c r="C314" s="18"/>
      <c r="E314" s="20">
        <v>45586</v>
      </c>
      <c r="F314" s="17" t="s">
        <v>94</v>
      </c>
      <c r="G314" s="21">
        <v>3.9</v>
      </c>
      <c r="H314" s="21">
        <v>5.8</v>
      </c>
      <c r="I314" s="25">
        <v>0.12258620689655172</v>
      </c>
      <c r="J314" s="21">
        <v>0.57999999999999996</v>
      </c>
      <c r="K314" s="21">
        <v>0</v>
      </c>
      <c r="L314" s="21">
        <v>0.31900000000000001</v>
      </c>
      <c r="M314" s="17" t="s">
        <v>120</v>
      </c>
      <c r="N314" s="17" t="s">
        <v>116</v>
      </c>
      <c r="O314" s="21">
        <v>0.28999999999999998</v>
      </c>
      <c r="P314" s="21">
        <v>0.31900000000000001</v>
      </c>
    </row>
    <row r="315" spans="1:16" ht="16.5" x14ac:dyDescent="0.25">
      <c r="A315" s="2"/>
      <c r="B315" s="4"/>
      <c r="C315" s="18"/>
      <c r="E315" s="20">
        <v>45586</v>
      </c>
      <c r="F315" s="17" t="s">
        <v>94</v>
      </c>
      <c r="G315" s="21">
        <v>3.9</v>
      </c>
      <c r="H315" s="21">
        <v>5.6</v>
      </c>
      <c r="I315" s="25">
        <v>9.857142857142856E-2</v>
      </c>
      <c r="J315" s="21">
        <v>0.55999999999999994</v>
      </c>
      <c r="K315" s="21">
        <v>0</v>
      </c>
      <c r="L315" s="21">
        <v>0.308</v>
      </c>
      <c r="M315" s="17" t="s">
        <v>113</v>
      </c>
      <c r="N315" s="17" t="s">
        <v>116</v>
      </c>
      <c r="O315" s="21">
        <v>0.27999999999999997</v>
      </c>
      <c r="P315" s="21">
        <v>0.308</v>
      </c>
    </row>
    <row r="316" spans="1:16" ht="16.5" x14ac:dyDescent="0.25">
      <c r="A316" s="2"/>
      <c r="B316" s="4"/>
      <c r="C316" s="18"/>
      <c r="E316" s="20">
        <v>45586</v>
      </c>
      <c r="F316" s="17" t="s">
        <v>94</v>
      </c>
      <c r="G316" s="21">
        <v>3.9</v>
      </c>
      <c r="H316" s="21">
        <v>5.9</v>
      </c>
      <c r="I316" s="25">
        <v>0.1889830508474577</v>
      </c>
      <c r="J316" s="21">
        <v>0.59000000000000008</v>
      </c>
      <c r="K316" s="21">
        <v>9.9839999999999998E-2</v>
      </c>
      <c r="L316" s="21">
        <v>0</v>
      </c>
      <c r="M316" s="17" t="s">
        <v>122</v>
      </c>
      <c r="N316" s="17" t="s">
        <v>115</v>
      </c>
      <c r="O316" s="21">
        <v>0.29500000000000004</v>
      </c>
      <c r="P316" s="21">
        <v>0</v>
      </c>
    </row>
    <row r="317" spans="1:16" ht="16.5" x14ac:dyDescent="0.25">
      <c r="A317" s="2"/>
      <c r="B317" s="4"/>
      <c r="C317" s="18"/>
      <c r="E317" s="20">
        <v>45586</v>
      </c>
      <c r="F317" s="17" t="s">
        <v>94</v>
      </c>
      <c r="G317" s="21">
        <v>3.9</v>
      </c>
      <c r="H317" s="21">
        <v>5.6</v>
      </c>
      <c r="I317" s="25">
        <v>0.15357142857142853</v>
      </c>
      <c r="J317" s="21">
        <v>0.55999999999999994</v>
      </c>
      <c r="K317" s="21">
        <v>9.9839999999999998E-2</v>
      </c>
      <c r="L317" s="21">
        <v>0</v>
      </c>
      <c r="M317" s="17" t="s">
        <v>121</v>
      </c>
      <c r="N317" s="17" t="s">
        <v>115</v>
      </c>
      <c r="O317" s="21">
        <v>0.27999999999999997</v>
      </c>
      <c r="P317" s="21">
        <v>0</v>
      </c>
    </row>
    <row r="318" spans="1:16" ht="16.5" x14ac:dyDescent="0.25">
      <c r="A318" s="2"/>
      <c r="B318" s="4"/>
      <c r="C318" s="18"/>
      <c r="E318" s="20">
        <v>45586</v>
      </c>
      <c r="F318" s="17" t="s">
        <v>94</v>
      </c>
      <c r="G318" s="21">
        <v>3.9</v>
      </c>
      <c r="H318" s="21">
        <v>5.4</v>
      </c>
      <c r="I318" s="25">
        <v>0.12777777777777785</v>
      </c>
      <c r="J318" s="21">
        <v>0.54</v>
      </c>
      <c r="K318" s="21">
        <v>9.9839999999999998E-2</v>
      </c>
      <c r="L318" s="21">
        <v>0</v>
      </c>
      <c r="M318" s="17" t="s">
        <v>120</v>
      </c>
      <c r="N318" s="17" t="s">
        <v>115</v>
      </c>
      <c r="O318" s="21">
        <v>0.27</v>
      </c>
      <c r="P318" s="21">
        <v>0</v>
      </c>
    </row>
    <row r="319" spans="1:16" ht="16.5" x14ac:dyDescent="0.25">
      <c r="A319" s="2"/>
      <c r="B319" s="4"/>
      <c r="C319" s="18"/>
      <c r="E319" s="20">
        <v>45586</v>
      </c>
      <c r="F319" s="17" t="s">
        <v>94</v>
      </c>
      <c r="G319" s="21">
        <v>3.9</v>
      </c>
      <c r="H319" s="21">
        <v>5.2</v>
      </c>
      <c r="I319" s="25">
        <v>0.10000000000000005</v>
      </c>
      <c r="J319" s="21">
        <v>0.52</v>
      </c>
      <c r="K319" s="21">
        <v>9.9839999999999998E-2</v>
      </c>
      <c r="L319" s="21">
        <v>0</v>
      </c>
      <c r="M319" s="17" t="s">
        <v>113</v>
      </c>
      <c r="N319" s="17" t="s">
        <v>115</v>
      </c>
      <c r="O319" s="21">
        <v>0.26</v>
      </c>
      <c r="P319" s="21">
        <v>0</v>
      </c>
    </row>
    <row r="320" spans="1:16" ht="16.5" x14ac:dyDescent="0.25">
      <c r="A320" s="2"/>
      <c r="B320" s="4"/>
      <c r="C320" s="18"/>
      <c r="E320" s="20">
        <v>45484</v>
      </c>
      <c r="F320" s="17" t="s">
        <v>199</v>
      </c>
      <c r="G320" s="21">
        <v>31.6</v>
      </c>
      <c r="H320" s="21">
        <v>60</v>
      </c>
      <c r="I320" s="25">
        <v>0.14403333333333326</v>
      </c>
      <c r="J320" s="21">
        <v>6</v>
      </c>
      <c r="K320" s="21">
        <v>0.4</v>
      </c>
      <c r="L320" s="21">
        <v>7.1999999999999993</v>
      </c>
      <c r="M320" s="17" t="s">
        <v>122</v>
      </c>
      <c r="N320" s="17" t="s">
        <v>117</v>
      </c>
      <c r="O320" s="21">
        <v>3</v>
      </c>
      <c r="P320" s="21">
        <v>10.758000000000001</v>
      </c>
    </row>
    <row r="321" spans="1:16" ht="16.5" x14ac:dyDescent="0.25">
      <c r="A321" s="2"/>
      <c r="B321" s="4"/>
      <c r="C321" s="18"/>
      <c r="E321" s="20">
        <v>45484</v>
      </c>
      <c r="F321" s="17" t="s">
        <v>199</v>
      </c>
      <c r="G321" s="21">
        <v>31.6</v>
      </c>
      <c r="H321" s="21">
        <v>58</v>
      </c>
      <c r="I321" s="25">
        <v>0.1258724137931034</v>
      </c>
      <c r="J321" s="21">
        <v>5.8000000000000007</v>
      </c>
      <c r="K321" s="21">
        <v>0.4</v>
      </c>
      <c r="L321" s="21">
        <v>6.96</v>
      </c>
      <c r="M321" s="17" t="s">
        <v>121</v>
      </c>
      <c r="N321" s="17" t="s">
        <v>117</v>
      </c>
      <c r="O321" s="21">
        <v>2.9000000000000004</v>
      </c>
      <c r="P321" s="21">
        <v>10.3994</v>
      </c>
    </row>
    <row r="322" spans="1:16" ht="16.5" x14ac:dyDescent="0.25">
      <c r="A322" s="2"/>
      <c r="B322" s="4"/>
      <c r="C322" s="18"/>
      <c r="E322" s="20">
        <v>45484</v>
      </c>
      <c r="F322" s="17" t="s">
        <v>199</v>
      </c>
      <c r="G322" s="21">
        <v>31.6</v>
      </c>
      <c r="H322" s="21">
        <v>56</v>
      </c>
      <c r="I322" s="25">
        <v>0.10641428571428559</v>
      </c>
      <c r="J322" s="21">
        <v>5.6000000000000005</v>
      </c>
      <c r="K322" s="21">
        <v>0.4</v>
      </c>
      <c r="L322" s="21">
        <v>6.72</v>
      </c>
      <c r="M322" s="17" t="s">
        <v>120</v>
      </c>
      <c r="N322" s="17" t="s">
        <v>117</v>
      </c>
      <c r="O322" s="21">
        <v>2.8000000000000003</v>
      </c>
      <c r="P322" s="21">
        <v>10.040800000000001</v>
      </c>
    </row>
    <row r="323" spans="1:16" ht="16.5" x14ac:dyDescent="0.25">
      <c r="A323" s="2"/>
      <c r="B323" s="4"/>
      <c r="C323" s="18"/>
      <c r="E323" s="20">
        <v>45484</v>
      </c>
      <c r="F323" s="17" t="s">
        <v>199</v>
      </c>
      <c r="G323" s="21">
        <v>31.6</v>
      </c>
      <c r="H323" s="21">
        <v>54</v>
      </c>
      <c r="I323" s="25">
        <v>8.5514814814814766E-2</v>
      </c>
      <c r="J323" s="21">
        <v>5.4</v>
      </c>
      <c r="K323" s="21">
        <v>0.4</v>
      </c>
      <c r="L323" s="21">
        <v>6.4799999999999995</v>
      </c>
      <c r="M323" s="17" t="s">
        <v>113</v>
      </c>
      <c r="N323" s="17" t="s">
        <v>117</v>
      </c>
      <c r="O323" s="21">
        <v>2.7</v>
      </c>
      <c r="P323" s="21">
        <v>9.6822000000000017</v>
      </c>
    </row>
    <row r="324" spans="1:16" ht="16.5" x14ac:dyDescent="0.25">
      <c r="A324" s="2"/>
      <c r="B324" s="4"/>
      <c r="C324" s="18"/>
      <c r="E324" s="20">
        <v>45484</v>
      </c>
      <c r="F324" s="17" t="s">
        <v>199</v>
      </c>
      <c r="G324" s="21">
        <v>32</v>
      </c>
      <c r="H324" s="21">
        <v>57</v>
      </c>
      <c r="I324" s="25">
        <v>0.23359649122807019</v>
      </c>
      <c r="J324" s="21">
        <v>5.7</v>
      </c>
      <c r="K324" s="21">
        <v>0</v>
      </c>
      <c r="L324" s="21">
        <v>3.1350000000000002</v>
      </c>
      <c r="M324" s="17" t="s">
        <v>122</v>
      </c>
      <c r="N324" s="17" t="s">
        <v>116</v>
      </c>
      <c r="O324" s="21">
        <v>2.85</v>
      </c>
      <c r="P324" s="21">
        <v>3.1350000000000002</v>
      </c>
    </row>
    <row r="325" spans="1:16" ht="16.5" x14ac:dyDescent="0.25">
      <c r="A325" s="2"/>
      <c r="B325" s="4"/>
      <c r="C325" s="18"/>
      <c r="E325" s="20">
        <v>45484</v>
      </c>
      <c r="F325" s="17" t="s">
        <v>199</v>
      </c>
      <c r="G325" s="21">
        <v>32</v>
      </c>
      <c r="H325" s="21">
        <v>55</v>
      </c>
      <c r="I325" s="25">
        <v>0.21318181818181819</v>
      </c>
      <c r="J325" s="21">
        <v>5.5</v>
      </c>
      <c r="K325" s="21">
        <v>0</v>
      </c>
      <c r="L325" s="21">
        <v>3.0249999999999999</v>
      </c>
      <c r="M325" s="17" t="s">
        <v>121</v>
      </c>
      <c r="N325" s="17" t="s">
        <v>116</v>
      </c>
      <c r="O325" s="21">
        <v>2.75</v>
      </c>
      <c r="P325" s="21">
        <v>3.0249999999999999</v>
      </c>
    </row>
    <row r="326" spans="1:16" ht="16.5" x14ac:dyDescent="0.25">
      <c r="A326" s="2"/>
      <c r="B326" s="4"/>
      <c r="C326" s="18"/>
      <c r="E326" s="20">
        <v>45484</v>
      </c>
      <c r="F326" s="17" t="s">
        <v>199</v>
      </c>
      <c r="G326" s="21">
        <v>32</v>
      </c>
      <c r="H326" s="21">
        <v>53</v>
      </c>
      <c r="I326" s="25">
        <v>0.19122641509433963</v>
      </c>
      <c r="J326" s="21">
        <v>5.3000000000000007</v>
      </c>
      <c r="K326" s="21">
        <v>0</v>
      </c>
      <c r="L326" s="21">
        <v>2.915</v>
      </c>
      <c r="M326" s="17" t="s">
        <v>120</v>
      </c>
      <c r="N326" s="17" t="s">
        <v>116</v>
      </c>
      <c r="O326" s="21">
        <v>2.6500000000000004</v>
      </c>
      <c r="P326" s="21">
        <v>2.915</v>
      </c>
    </row>
    <row r="327" spans="1:16" ht="16.5" x14ac:dyDescent="0.25">
      <c r="A327" s="2"/>
      <c r="B327" s="4"/>
      <c r="C327" s="18"/>
      <c r="E327" s="20">
        <v>45484</v>
      </c>
      <c r="F327" s="17" t="s">
        <v>199</v>
      </c>
      <c r="G327" s="21">
        <v>32</v>
      </c>
      <c r="H327" s="21">
        <v>51</v>
      </c>
      <c r="I327" s="25">
        <v>0.1675490196078431</v>
      </c>
      <c r="J327" s="21">
        <v>5.1000000000000005</v>
      </c>
      <c r="K327" s="21">
        <v>0</v>
      </c>
      <c r="L327" s="21">
        <v>2.8050000000000002</v>
      </c>
      <c r="M327" s="17" t="s">
        <v>113</v>
      </c>
      <c r="N327" s="17" t="s">
        <v>116</v>
      </c>
      <c r="O327" s="21">
        <v>2.5500000000000003</v>
      </c>
      <c r="P327" s="21">
        <v>2.8050000000000002</v>
      </c>
    </row>
    <row r="328" spans="1:16" ht="16.5" x14ac:dyDescent="0.25">
      <c r="A328" s="2"/>
      <c r="B328" s="4"/>
      <c r="C328" s="18"/>
      <c r="E328" s="20">
        <v>45484</v>
      </c>
      <c r="F328" s="17" t="s">
        <v>199</v>
      </c>
      <c r="G328" s="21">
        <v>32</v>
      </c>
      <c r="H328" s="21">
        <v>50</v>
      </c>
      <c r="I328" s="25">
        <v>0.21</v>
      </c>
      <c r="J328" s="21">
        <v>5</v>
      </c>
      <c r="K328" s="21">
        <v>0.4</v>
      </c>
      <c r="L328" s="21">
        <v>0</v>
      </c>
      <c r="M328" s="17" t="s">
        <v>122</v>
      </c>
      <c r="N328" s="17" t="s">
        <v>115</v>
      </c>
      <c r="O328" s="21">
        <v>2.5</v>
      </c>
      <c r="P328" s="21">
        <v>0</v>
      </c>
    </row>
    <row r="329" spans="1:16" ht="16.5" x14ac:dyDescent="0.25">
      <c r="A329" s="2"/>
      <c r="B329" s="4"/>
      <c r="C329" s="18"/>
      <c r="E329" s="20">
        <v>45484</v>
      </c>
      <c r="F329" s="17" t="s">
        <v>199</v>
      </c>
      <c r="G329" s="21">
        <v>32</v>
      </c>
      <c r="H329" s="21">
        <v>48</v>
      </c>
      <c r="I329" s="25">
        <v>0.18333333333333332</v>
      </c>
      <c r="J329" s="21">
        <v>4.8000000000000007</v>
      </c>
      <c r="K329" s="21">
        <v>0.4</v>
      </c>
      <c r="L329" s="21">
        <v>0</v>
      </c>
      <c r="M329" s="17" t="s">
        <v>121</v>
      </c>
      <c r="N329" s="17" t="s">
        <v>115</v>
      </c>
      <c r="O329" s="21">
        <v>2.4000000000000004</v>
      </c>
      <c r="P329" s="21">
        <v>0</v>
      </c>
    </row>
    <row r="330" spans="1:16" ht="16.5" x14ac:dyDescent="0.25">
      <c r="A330" s="2"/>
      <c r="B330" s="4"/>
      <c r="C330" s="18"/>
      <c r="E330" s="20">
        <v>45484</v>
      </c>
      <c r="F330" s="17" t="s">
        <v>199</v>
      </c>
      <c r="G330" s="21">
        <v>32</v>
      </c>
      <c r="H330" s="21">
        <v>46</v>
      </c>
      <c r="I330" s="25">
        <v>0.15434782608695649</v>
      </c>
      <c r="J330" s="21">
        <v>4.6000000000000005</v>
      </c>
      <c r="K330" s="21">
        <v>0.4</v>
      </c>
      <c r="L330" s="21">
        <v>0</v>
      </c>
      <c r="M330" s="17" t="s">
        <v>120</v>
      </c>
      <c r="N330" s="17" t="s">
        <v>115</v>
      </c>
      <c r="O330" s="21">
        <v>2.3000000000000003</v>
      </c>
      <c r="P330" s="21">
        <v>0</v>
      </c>
    </row>
    <row r="331" spans="1:16" ht="16.5" x14ac:dyDescent="0.25">
      <c r="A331" s="2"/>
      <c r="B331" s="4"/>
      <c r="C331" s="18"/>
      <c r="E331" s="20">
        <v>45484</v>
      </c>
      <c r="F331" s="17" t="s">
        <v>199</v>
      </c>
      <c r="G331" s="21">
        <v>32</v>
      </c>
      <c r="H331" s="21">
        <v>44</v>
      </c>
      <c r="I331" s="25">
        <v>0.12272727272727274</v>
      </c>
      <c r="J331" s="21">
        <v>4.4000000000000004</v>
      </c>
      <c r="K331" s="21">
        <v>0.4</v>
      </c>
      <c r="L331" s="21">
        <v>0</v>
      </c>
      <c r="M331" s="17" t="s">
        <v>113</v>
      </c>
      <c r="N331" s="17" t="s">
        <v>115</v>
      </c>
      <c r="O331" s="21">
        <v>2.2000000000000002</v>
      </c>
      <c r="P331" s="21">
        <v>0</v>
      </c>
    </row>
    <row r="332" spans="1:16" ht="16.5" x14ac:dyDescent="0.25">
      <c r="A332" s="2"/>
      <c r="B332" s="4"/>
      <c r="C332" s="18"/>
      <c r="E332" s="20">
        <v>45484</v>
      </c>
      <c r="F332" s="17" t="s">
        <v>200</v>
      </c>
      <c r="G332" s="21">
        <v>32.587499999999999</v>
      </c>
      <c r="H332" s="21">
        <v>62</v>
      </c>
      <c r="I332" s="25">
        <v>0.14509516129032252</v>
      </c>
      <c r="J332" s="21">
        <v>6.2</v>
      </c>
      <c r="K332" s="21">
        <v>0.41250000000000003</v>
      </c>
      <c r="L332" s="21">
        <v>7.4399999999999995</v>
      </c>
      <c r="M332" s="17" t="s">
        <v>122</v>
      </c>
      <c r="N332" s="17" t="s">
        <v>117</v>
      </c>
      <c r="O332" s="21">
        <v>3.1</v>
      </c>
      <c r="P332" s="21">
        <v>11.116600000000002</v>
      </c>
    </row>
    <row r="333" spans="1:16" ht="16.5" x14ac:dyDescent="0.25">
      <c r="A333" s="2"/>
      <c r="B333" s="4"/>
      <c r="C333" s="18"/>
      <c r="E333" s="20">
        <v>45484</v>
      </c>
      <c r="F333" s="17" t="s">
        <v>200</v>
      </c>
      <c r="G333" s="21">
        <v>32.587499999999999</v>
      </c>
      <c r="H333" s="21">
        <v>60</v>
      </c>
      <c r="I333" s="25">
        <v>0.12757499999999997</v>
      </c>
      <c r="J333" s="21">
        <v>6</v>
      </c>
      <c r="K333" s="21">
        <v>0.41250000000000003</v>
      </c>
      <c r="L333" s="21">
        <v>7.1999999999999993</v>
      </c>
      <c r="M333" s="17" t="s">
        <v>121</v>
      </c>
      <c r="N333" s="17" t="s">
        <v>117</v>
      </c>
      <c r="O333" s="21">
        <v>3</v>
      </c>
      <c r="P333" s="21">
        <v>10.758000000000001</v>
      </c>
    </row>
    <row r="334" spans="1:16" ht="16.5" x14ac:dyDescent="0.25">
      <c r="A334" s="2"/>
      <c r="B334" s="4"/>
      <c r="C334" s="18"/>
      <c r="E334" s="20">
        <v>45484</v>
      </c>
      <c r="F334" s="17" t="s">
        <v>200</v>
      </c>
      <c r="G334" s="21">
        <v>32.587499999999999</v>
      </c>
      <c r="H334" s="21">
        <v>58</v>
      </c>
      <c r="I334" s="25">
        <v>0.10884655172413794</v>
      </c>
      <c r="J334" s="21">
        <v>5.8000000000000007</v>
      </c>
      <c r="K334" s="21">
        <v>0.41250000000000003</v>
      </c>
      <c r="L334" s="21">
        <v>6.96</v>
      </c>
      <c r="M334" s="17" t="s">
        <v>120</v>
      </c>
      <c r="N334" s="17" t="s">
        <v>117</v>
      </c>
      <c r="O334" s="21">
        <v>2.9000000000000004</v>
      </c>
      <c r="P334" s="21">
        <v>10.3994</v>
      </c>
    </row>
    <row r="335" spans="1:16" ht="16.5" x14ac:dyDescent="0.25">
      <c r="A335" s="2"/>
      <c r="B335" s="4"/>
      <c r="C335" s="18"/>
      <c r="E335" s="20">
        <v>45484</v>
      </c>
      <c r="F335" s="17" t="s">
        <v>200</v>
      </c>
      <c r="G335" s="21">
        <v>32.587499999999999</v>
      </c>
      <c r="H335" s="21">
        <v>56</v>
      </c>
      <c r="I335" s="25">
        <v>8.8780357142857064E-2</v>
      </c>
      <c r="J335" s="21">
        <v>5.6000000000000005</v>
      </c>
      <c r="K335" s="21">
        <v>0.41250000000000003</v>
      </c>
      <c r="L335" s="21">
        <v>6.72</v>
      </c>
      <c r="M335" s="17" t="s">
        <v>113</v>
      </c>
      <c r="N335" s="17" t="s">
        <v>117</v>
      </c>
      <c r="O335" s="21">
        <v>2.8000000000000003</v>
      </c>
      <c r="P335" s="21">
        <v>10.040800000000001</v>
      </c>
    </row>
    <row r="336" spans="1:16" ht="16.5" x14ac:dyDescent="0.25">
      <c r="A336" s="2"/>
      <c r="B336" s="4"/>
      <c r="C336" s="18"/>
      <c r="E336" s="20">
        <v>45484</v>
      </c>
      <c r="F336" s="17" t="s">
        <v>200</v>
      </c>
      <c r="G336" s="21">
        <v>33</v>
      </c>
      <c r="H336" s="21">
        <v>58</v>
      </c>
      <c r="I336" s="25">
        <v>0.22603448275862073</v>
      </c>
      <c r="J336" s="21">
        <v>5.8000000000000007</v>
      </c>
      <c r="K336" s="21">
        <v>0</v>
      </c>
      <c r="L336" s="21">
        <v>3.19</v>
      </c>
      <c r="M336" s="17" t="s">
        <v>122</v>
      </c>
      <c r="N336" s="17" t="s">
        <v>116</v>
      </c>
      <c r="O336" s="21">
        <v>2.9000000000000004</v>
      </c>
      <c r="P336" s="21">
        <v>3.19</v>
      </c>
    </row>
    <row r="337" spans="1:16" ht="16.5" x14ac:dyDescent="0.25">
      <c r="A337" s="2"/>
      <c r="B337" s="4"/>
      <c r="C337" s="18"/>
      <c r="E337" s="20">
        <v>45484</v>
      </c>
      <c r="F337" s="17" t="s">
        <v>200</v>
      </c>
      <c r="G337" s="21">
        <v>33</v>
      </c>
      <c r="H337" s="21">
        <v>56</v>
      </c>
      <c r="I337" s="25">
        <v>0.20571428571428571</v>
      </c>
      <c r="J337" s="21">
        <v>5.6000000000000005</v>
      </c>
      <c r="K337" s="21">
        <v>0</v>
      </c>
      <c r="L337" s="21">
        <v>3.08</v>
      </c>
      <c r="M337" s="17" t="s">
        <v>121</v>
      </c>
      <c r="N337" s="17" t="s">
        <v>116</v>
      </c>
      <c r="O337" s="21">
        <v>2.8000000000000003</v>
      </c>
      <c r="P337" s="21">
        <v>3.08</v>
      </c>
    </row>
    <row r="338" spans="1:16" ht="16.5" x14ac:dyDescent="0.25">
      <c r="A338" s="2"/>
      <c r="B338" s="4"/>
      <c r="C338" s="18"/>
      <c r="E338" s="20">
        <v>45484</v>
      </c>
      <c r="F338" s="17" t="s">
        <v>200</v>
      </c>
      <c r="G338" s="21">
        <v>33</v>
      </c>
      <c r="H338" s="21">
        <v>54</v>
      </c>
      <c r="I338" s="25">
        <v>0.18388888888888891</v>
      </c>
      <c r="J338" s="21">
        <v>5.4</v>
      </c>
      <c r="K338" s="21">
        <v>0</v>
      </c>
      <c r="L338" s="21">
        <v>2.97</v>
      </c>
      <c r="M338" s="17" t="s">
        <v>120</v>
      </c>
      <c r="N338" s="17" t="s">
        <v>116</v>
      </c>
      <c r="O338" s="21">
        <v>2.7</v>
      </c>
      <c r="P338" s="21">
        <v>2.97</v>
      </c>
    </row>
    <row r="339" spans="1:16" ht="16.5" x14ac:dyDescent="0.25">
      <c r="A339" s="2"/>
      <c r="B339" s="4"/>
      <c r="C339" s="18"/>
      <c r="E339" s="20">
        <v>45484</v>
      </c>
      <c r="F339" s="17" t="s">
        <v>200</v>
      </c>
      <c r="G339" s="21">
        <v>33</v>
      </c>
      <c r="H339" s="21">
        <v>52</v>
      </c>
      <c r="I339" s="25">
        <v>0.16038461538461538</v>
      </c>
      <c r="J339" s="21">
        <v>5.2</v>
      </c>
      <c r="K339" s="21">
        <v>0</v>
      </c>
      <c r="L339" s="21">
        <v>2.86</v>
      </c>
      <c r="M339" s="17" t="s">
        <v>113</v>
      </c>
      <c r="N339" s="17" t="s">
        <v>116</v>
      </c>
      <c r="O339" s="21">
        <v>2.6</v>
      </c>
      <c r="P339" s="21">
        <v>2.86</v>
      </c>
    </row>
    <row r="340" spans="1:16" ht="16.5" x14ac:dyDescent="0.25">
      <c r="A340" s="2"/>
      <c r="B340" s="4"/>
      <c r="C340" s="18"/>
      <c r="E340" s="20">
        <v>45484</v>
      </c>
      <c r="F340" s="17" t="s">
        <v>200</v>
      </c>
      <c r="G340" s="21">
        <v>33</v>
      </c>
      <c r="H340" s="21">
        <v>53</v>
      </c>
      <c r="I340" s="25">
        <v>0.22735849056603774</v>
      </c>
      <c r="J340" s="21">
        <v>5.3000000000000007</v>
      </c>
      <c r="K340" s="21">
        <v>0.41250000000000003</v>
      </c>
      <c r="L340" s="21">
        <v>0</v>
      </c>
      <c r="M340" s="17" t="s">
        <v>122</v>
      </c>
      <c r="N340" s="17" t="s">
        <v>115</v>
      </c>
      <c r="O340" s="21">
        <v>2.6500000000000004</v>
      </c>
      <c r="P340" s="21">
        <v>0</v>
      </c>
    </row>
    <row r="341" spans="1:16" ht="16.5" x14ac:dyDescent="0.25">
      <c r="A341" s="2"/>
      <c r="B341" s="4"/>
      <c r="C341" s="18"/>
      <c r="E341" s="20">
        <v>45484</v>
      </c>
      <c r="F341" s="17" t="s">
        <v>200</v>
      </c>
      <c r="G341" s="21">
        <v>33</v>
      </c>
      <c r="H341" s="21">
        <v>51</v>
      </c>
      <c r="I341" s="25">
        <v>0.20294117647058818</v>
      </c>
      <c r="J341" s="21">
        <v>5.1000000000000005</v>
      </c>
      <c r="K341" s="21">
        <v>0.41250000000000003</v>
      </c>
      <c r="L341" s="21">
        <v>0</v>
      </c>
      <c r="M341" s="17" t="s">
        <v>121</v>
      </c>
      <c r="N341" s="17" t="s">
        <v>115</v>
      </c>
      <c r="O341" s="21">
        <v>2.5500000000000003</v>
      </c>
      <c r="P341" s="21">
        <v>0</v>
      </c>
    </row>
    <row r="342" spans="1:16" ht="16.5" x14ac:dyDescent="0.25">
      <c r="A342" s="2"/>
      <c r="B342" s="4"/>
      <c r="C342" s="18"/>
      <c r="E342" s="20">
        <v>45484</v>
      </c>
      <c r="F342" s="17" t="s">
        <v>200</v>
      </c>
      <c r="G342" s="21">
        <v>33</v>
      </c>
      <c r="H342" s="21">
        <v>49</v>
      </c>
      <c r="I342" s="25">
        <v>0.17653061224489797</v>
      </c>
      <c r="J342" s="21">
        <v>4.9000000000000004</v>
      </c>
      <c r="K342" s="21">
        <v>0.41250000000000003</v>
      </c>
      <c r="L342" s="21">
        <v>0</v>
      </c>
      <c r="M342" s="17" t="s">
        <v>120</v>
      </c>
      <c r="N342" s="17" t="s">
        <v>115</v>
      </c>
      <c r="O342" s="21">
        <v>2.4500000000000002</v>
      </c>
      <c r="P342" s="21">
        <v>0</v>
      </c>
    </row>
    <row r="343" spans="1:16" ht="16.5" x14ac:dyDescent="0.25">
      <c r="A343" s="2"/>
      <c r="B343" s="4"/>
      <c r="C343" s="18"/>
      <c r="E343" s="20">
        <v>45484</v>
      </c>
      <c r="F343" s="17" t="s">
        <v>200</v>
      </c>
      <c r="G343" s="21">
        <v>33</v>
      </c>
      <c r="H343" s="21">
        <v>47</v>
      </c>
      <c r="I343" s="25">
        <v>0.14787234042553191</v>
      </c>
      <c r="J343" s="21">
        <v>4.7</v>
      </c>
      <c r="K343" s="21">
        <v>0.41250000000000003</v>
      </c>
      <c r="L343" s="21">
        <v>0</v>
      </c>
      <c r="M343" s="17" t="s">
        <v>113</v>
      </c>
      <c r="N343" s="17" t="s">
        <v>115</v>
      </c>
      <c r="O343" s="21">
        <v>2.35</v>
      </c>
      <c r="P343" s="21">
        <v>0</v>
      </c>
    </row>
    <row r="344" spans="1:16" ht="16.5" x14ac:dyDescent="0.25">
      <c r="A344" s="2"/>
      <c r="B344" s="4"/>
      <c r="C344" s="18"/>
      <c r="E344" s="20">
        <v>45484</v>
      </c>
      <c r="F344" s="17" t="s">
        <v>201</v>
      </c>
      <c r="G344" s="21">
        <v>16.787500000000001</v>
      </c>
      <c r="H344" s="21">
        <v>31.5</v>
      </c>
      <c r="I344" s="25">
        <v>0.13776349206349195</v>
      </c>
      <c r="J344" s="21">
        <v>3.1500000000000004</v>
      </c>
      <c r="K344" s="21">
        <v>0.21250000000000002</v>
      </c>
      <c r="L344" s="21">
        <v>3.78</v>
      </c>
      <c r="M344" s="17" t="s">
        <v>122</v>
      </c>
      <c r="N344" s="17" t="s">
        <v>117</v>
      </c>
      <c r="O344" s="21">
        <v>1.5750000000000002</v>
      </c>
      <c r="P344" s="21">
        <v>5.6479500000000007</v>
      </c>
    </row>
    <row r="345" spans="1:16" ht="16.5" x14ac:dyDescent="0.25">
      <c r="A345" s="2"/>
      <c r="B345" s="4"/>
      <c r="C345" s="18"/>
      <c r="E345" s="20">
        <v>45484</v>
      </c>
      <c r="F345" s="17" t="s">
        <v>201</v>
      </c>
      <c r="G345" s="21">
        <v>16.787500000000001</v>
      </c>
      <c r="H345" s="21">
        <v>30.5</v>
      </c>
      <c r="I345" s="25">
        <v>0.12029016393442615</v>
      </c>
      <c r="J345" s="21">
        <v>3.0500000000000003</v>
      </c>
      <c r="K345" s="21">
        <v>0.21250000000000002</v>
      </c>
      <c r="L345" s="21">
        <v>3.6599999999999997</v>
      </c>
      <c r="M345" s="17" t="s">
        <v>121</v>
      </c>
      <c r="N345" s="17" t="s">
        <v>117</v>
      </c>
      <c r="O345" s="21">
        <v>1.5250000000000001</v>
      </c>
      <c r="P345" s="21">
        <v>5.4686500000000002</v>
      </c>
    </row>
    <row r="346" spans="1:16" ht="16.5" x14ac:dyDescent="0.25">
      <c r="A346" s="2"/>
      <c r="B346" s="4"/>
      <c r="C346" s="18"/>
      <c r="E346" s="20">
        <v>45484</v>
      </c>
      <c r="F346" s="17" t="s">
        <v>201</v>
      </c>
      <c r="G346" s="21">
        <v>16.787500000000001</v>
      </c>
      <c r="H346" s="21">
        <v>29.5</v>
      </c>
      <c r="I346" s="25">
        <v>0.10163220338983051</v>
      </c>
      <c r="J346" s="21">
        <v>2.95</v>
      </c>
      <c r="K346" s="21">
        <v>0.21250000000000002</v>
      </c>
      <c r="L346" s="21">
        <v>3.54</v>
      </c>
      <c r="M346" s="17" t="s">
        <v>120</v>
      </c>
      <c r="N346" s="17" t="s">
        <v>117</v>
      </c>
      <c r="O346" s="21">
        <v>1.4750000000000001</v>
      </c>
      <c r="P346" s="21">
        <v>5.2893500000000007</v>
      </c>
    </row>
    <row r="347" spans="1:16" ht="16.5" x14ac:dyDescent="0.25">
      <c r="A347" s="2"/>
      <c r="B347" s="4"/>
      <c r="C347" s="18"/>
      <c r="E347" s="20">
        <v>45484</v>
      </c>
      <c r="F347" s="17" t="s">
        <v>201</v>
      </c>
      <c r="G347" s="21">
        <v>16.787500000000001</v>
      </c>
      <c r="H347" s="21">
        <v>28.5</v>
      </c>
      <c r="I347" s="25">
        <v>8.1664912280701663E-2</v>
      </c>
      <c r="J347" s="21">
        <v>2.85</v>
      </c>
      <c r="K347" s="21">
        <v>0.21250000000000002</v>
      </c>
      <c r="L347" s="21">
        <v>3.42</v>
      </c>
      <c r="M347" s="17" t="s">
        <v>113</v>
      </c>
      <c r="N347" s="17" t="s">
        <v>117</v>
      </c>
      <c r="O347" s="21">
        <v>1.425</v>
      </c>
      <c r="P347" s="21">
        <v>5.1100500000000002</v>
      </c>
    </row>
    <row r="348" spans="1:16" ht="16.5" x14ac:dyDescent="0.25">
      <c r="A348" s="2"/>
      <c r="B348" s="4"/>
      <c r="C348" s="18"/>
      <c r="E348" s="20">
        <v>45484</v>
      </c>
      <c r="F348" s="17" t="s">
        <v>201</v>
      </c>
      <c r="G348" s="21">
        <v>17</v>
      </c>
      <c r="H348" s="21">
        <v>29.5</v>
      </c>
      <c r="I348" s="25">
        <v>0.21872881355932208</v>
      </c>
      <c r="J348" s="21">
        <v>2.95</v>
      </c>
      <c r="K348" s="21">
        <v>0</v>
      </c>
      <c r="L348" s="21">
        <v>1.6225000000000001</v>
      </c>
      <c r="M348" s="17" t="s">
        <v>122</v>
      </c>
      <c r="N348" s="17" t="s">
        <v>116</v>
      </c>
      <c r="O348" s="21">
        <v>1.4750000000000001</v>
      </c>
      <c r="P348" s="21">
        <v>1.6225000000000001</v>
      </c>
    </row>
    <row r="349" spans="1:16" ht="16.5" x14ac:dyDescent="0.25">
      <c r="A349" s="2"/>
      <c r="B349" s="4"/>
      <c r="C349" s="18"/>
      <c r="E349" s="20">
        <v>45484</v>
      </c>
      <c r="F349" s="17" t="s">
        <v>201</v>
      </c>
      <c r="G349" s="21">
        <v>17</v>
      </c>
      <c r="H349" s="21">
        <v>28.5</v>
      </c>
      <c r="I349" s="25">
        <v>0.19850877192982458</v>
      </c>
      <c r="J349" s="21">
        <v>2.85</v>
      </c>
      <c r="K349" s="21">
        <v>0</v>
      </c>
      <c r="L349" s="21">
        <v>1.5675000000000001</v>
      </c>
      <c r="M349" s="17" t="s">
        <v>121</v>
      </c>
      <c r="N349" s="17" t="s">
        <v>116</v>
      </c>
      <c r="O349" s="21">
        <v>1.425</v>
      </c>
      <c r="P349" s="21">
        <v>1.5675000000000001</v>
      </c>
    </row>
    <row r="350" spans="1:16" ht="16.5" x14ac:dyDescent="0.25">
      <c r="A350" s="2"/>
      <c r="B350" s="4"/>
      <c r="C350" s="18"/>
      <c r="E350" s="20">
        <v>45484</v>
      </c>
      <c r="F350" s="17" t="s">
        <v>201</v>
      </c>
      <c r="G350" s="21">
        <v>17</v>
      </c>
      <c r="H350" s="21">
        <v>27.5</v>
      </c>
      <c r="I350" s="25">
        <v>0.17681818181818185</v>
      </c>
      <c r="J350" s="21">
        <v>2.75</v>
      </c>
      <c r="K350" s="21">
        <v>0</v>
      </c>
      <c r="L350" s="21">
        <v>1.5125</v>
      </c>
      <c r="M350" s="17" t="s">
        <v>120</v>
      </c>
      <c r="N350" s="17" t="s">
        <v>116</v>
      </c>
      <c r="O350" s="21">
        <v>1.375</v>
      </c>
      <c r="P350" s="21">
        <v>1.5125</v>
      </c>
    </row>
    <row r="351" spans="1:16" ht="16.5" x14ac:dyDescent="0.25">
      <c r="A351" s="2"/>
      <c r="B351" s="4"/>
      <c r="C351" s="18"/>
      <c r="E351" s="20">
        <v>45484</v>
      </c>
      <c r="F351" s="17" t="s">
        <v>201</v>
      </c>
      <c r="G351" s="21">
        <v>17</v>
      </c>
      <c r="H351" s="21">
        <v>26.5</v>
      </c>
      <c r="I351" s="25">
        <v>0.15349056603773584</v>
      </c>
      <c r="J351" s="21">
        <v>2.6500000000000004</v>
      </c>
      <c r="K351" s="21">
        <v>0</v>
      </c>
      <c r="L351" s="21">
        <v>1.4575</v>
      </c>
      <c r="M351" s="17" t="s">
        <v>113</v>
      </c>
      <c r="N351" s="17" t="s">
        <v>116</v>
      </c>
      <c r="O351" s="21">
        <v>1.3250000000000002</v>
      </c>
      <c r="P351" s="21">
        <v>1.4575</v>
      </c>
    </row>
    <row r="352" spans="1:16" ht="16.5" x14ac:dyDescent="0.25">
      <c r="A352" s="2"/>
      <c r="B352" s="4"/>
      <c r="C352" s="18"/>
      <c r="E352" s="20">
        <v>45484</v>
      </c>
      <c r="F352" s="17" t="s">
        <v>201</v>
      </c>
      <c r="G352" s="21">
        <v>17</v>
      </c>
      <c r="H352" s="21">
        <v>26.5</v>
      </c>
      <c r="I352" s="25">
        <v>0.20849056603773586</v>
      </c>
      <c r="J352" s="21">
        <v>2.6500000000000004</v>
      </c>
      <c r="K352" s="21">
        <v>0.21250000000000002</v>
      </c>
      <c r="L352" s="21">
        <v>0</v>
      </c>
      <c r="M352" s="17" t="s">
        <v>122</v>
      </c>
      <c r="N352" s="17" t="s">
        <v>115</v>
      </c>
      <c r="O352" s="21">
        <v>1.3250000000000002</v>
      </c>
      <c r="P352" s="21">
        <v>0</v>
      </c>
    </row>
    <row r="353" spans="1:16" ht="16.5" x14ac:dyDescent="0.25">
      <c r="A353" s="2"/>
      <c r="B353" s="4"/>
      <c r="C353" s="18"/>
      <c r="E353" s="20">
        <v>45484</v>
      </c>
      <c r="F353" s="17" t="s">
        <v>201</v>
      </c>
      <c r="G353" s="21">
        <v>17</v>
      </c>
      <c r="H353" s="21">
        <v>25.5</v>
      </c>
      <c r="I353" s="25">
        <v>0.18333333333333329</v>
      </c>
      <c r="J353" s="21">
        <v>2.5500000000000003</v>
      </c>
      <c r="K353" s="21">
        <v>0.21250000000000002</v>
      </c>
      <c r="L353" s="21">
        <v>0</v>
      </c>
      <c r="M353" s="17" t="s">
        <v>121</v>
      </c>
      <c r="N353" s="17" t="s">
        <v>115</v>
      </c>
      <c r="O353" s="21">
        <v>1.2750000000000001</v>
      </c>
      <c r="P353" s="21">
        <v>0</v>
      </c>
    </row>
    <row r="354" spans="1:16" ht="16.5" x14ac:dyDescent="0.25">
      <c r="A354" s="2"/>
      <c r="B354" s="4"/>
      <c r="C354" s="18"/>
      <c r="E354" s="20">
        <v>45484</v>
      </c>
      <c r="F354" s="17" t="s">
        <v>201</v>
      </c>
      <c r="G354" s="21">
        <v>17</v>
      </c>
      <c r="H354" s="21">
        <v>24.5</v>
      </c>
      <c r="I354" s="25">
        <v>0.15612244897959185</v>
      </c>
      <c r="J354" s="21">
        <v>2.4500000000000002</v>
      </c>
      <c r="K354" s="21">
        <v>0.21250000000000002</v>
      </c>
      <c r="L354" s="21">
        <v>0</v>
      </c>
      <c r="M354" s="17" t="s">
        <v>120</v>
      </c>
      <c r="N354" s="17" t="s">
        <v>115</v>
      </c>
      <c r="O354" s="21">
        <v>1.2250000000000001</v>
      </c>
      <c r="P354" s="21">
        <v>0</v>
      </c>
    </row>
    <row r="355" spans="1:16" ht="16.5" x14ac:dyDescent="0.25">
      <c r="A355" s="2"/>
      <c r="B355" s="4"/>
      <c r="C355" s="18"/>
      <c r="E355" s="20">
        <v>45484</v>
      </c>
      <c r="F355" s="17" t="s">
        <v>201</v>
      </c>
      <c r="G355" s="21">
        <v>17</v>
      </c>
      <c r="H355" s="21">
        <v>23.5</v>
      </c>
      <c r="I355" s="25">
        <v>0.12659574468085108</v>
      </c>
      <c r="J355" s="21">
        <v>2.35</v>
      </c>
      <c r="K355" s="21">
        <v>0.21250000000000002</v>
      </c>
      <c r="L355" s="21">
        <v>0</v>
      </c>
      <c r="M355" s="17" t="s">
        <v>113</v>
      </c>
      <c r="N355" s="17" t="s">
        <v>115</v>
      </c>
      <c r="O355" s="21">
        <v>1.175</v>
      </c>
      <c r="P355" s="21">
        <v>0</v>
      </c>
    </row>
    <row r="356" spans="1:16" ht="16.5" x14ac:dyDescent="0.25">
      <c r="A356" s="2"/>
      <c r="B356" s="4"/>
      <c r="C356" s="18"/>
      <c r="E356" s="20">
        <v>45464</v>
      </c>
      <c r="F356" s="17" t="s">
        <v>203</v>
      </c>
      <c r="G356" s="21">
        <v>12.667199999999999</v>
      </c>
      <c r="H356" s="21">
        <v>21.5</v>
      </c>
      <c r="I356" s="25">
        <v>0.11802790697674422</v>
      </c>
      <c r="J356" s="21">
        <v>2.15</v>
      </c>
      <c r="K356" s="21">
        <v>0.33280000000000004</v>
      </c>
      <c r="L356" s="21">
        <v>2.58</v>
      </c>
      <c r="M356" s="17" t="s">
        <v>122</v>
      </c>
      <c r="N356" s="17" t="s">
        <v>117</v>
      </c>
      <c r="O356" s="21">
        <v>1.075</v>
      </c>
      <c r="P356" s="21">
        <v>3.0702000000000003</v>
      </c>
    </row>
    <row r="357" spans="1:16" ht="16.5" x14ac:dyDescent="0.25">
      <c r="A357" s="2"/>
      <c r="B357" s="4"/>
      <c r="C357" s="18"/>
      <c r="E357" s="20">
        <v>45464</v>
      </c>
      <c r="F357" s="17" t="s">
        <v>203</v>
      </c>
      <c r="G357" s="21">
        <v>12.667199999999999</v>
      </c>
      <c r="H357" s="21">
        <v>21</v>
      </c>
      <c r="I357" s="25">
        <v>0.10400000000000006</v>
      </c>
      <c r="J357" s="21">
        <v>2.1</v>
      </c>
      <c r="K357" s="21">
        <v>0.33280000000000004</v>
      </c>
      <c r="L357" s="21">
        <v>2.52</v>
      </c>
      <c r="M357" s="17" t="s">
        <v>121</v>
      </c>
      <c r="N357" s="17" t="s">
        <v>117</v>
      </c>
      <c r="O357" s="21">
        <v>1.05</v>
      </c>
      <c r="P357" s="21">
        <v>2.9988000000000001</v>
      </c>
    </row>
    <row r="358" spans="1:16" ht="16.5" x14ac:dyDescent="0.25">
      <c r="A358" s="2"/>
      <c r="B358" s="4"/>
      <c r="C358" s="18"/>
      <c r="E358" s="20">
        <v>45464</v>
      </c>
      <c r="F358" s="17" t="s">
        <v>203</v>
      </c>
      <c r="G358" s="21">
        <v>12.667199999999999</v>
      </c>
      <c r="H358" s="21">
        <v>20.5</v>
      </c>
      <c r="I358" s="25">
        <v>8.928780487804884E-2</v>
      </c>
      <c r="J358" s="21">
        <v>2.0500000000000003</v>
      </c>
      <c r="K358" s="21">
        <v>0.33280000000000004</v>
      </c>
      <c r="L358" s="21">
        <v>2.46</v>
      </c>
      <c r="M358" s="17" t="s">
        <v>120</v>
      </c>
      <c r="N358" s="17" t="s">
        <v>117</v>
      </c>
      <c r="O358" s="21">
        <v>1.0250000000000001</v>
      </c>
      <c r="P358" s="21">
        <v>2.9274</v>
      </c>
    </row>
    <row r="359" spans="1:16" ht="16.5" x14ac:dyDescent="0.25">
      <c r="A359" s="2"/>
      <c r="B359" s="4"/>
      <c r="C359" s="18"/>
      <c r="E359" s="20">
        <v>45464</v>
      </c>
      <c r="F359" s="17" t="s">
        <v>203</v>
      </c>
      <c r="G359" s="21">
        <v>12.667199999999999</v>
      </c>
      <c r="H359" s="21">
        <v>20</v>
      </c>
      <c r="I359" s="25">
        <v>7.3839999999999947E-2</v>
      </c>
      <c r="J359" s="21">
        <v>2</v>
      </c>
      <c r="K359" s="21">
        <v>0.33280000000000004</v>
      </c>
      <c r="L359" s="21">
        <v>2.4</v>
      </c>
      <c r="M359" s="17" t="s">
        <v>113</v>
      </c>
      <c r="N359" s="17" t="s">
        <v>117</v>
      </c>
      <c r="O359" s="21">
        <v>1</v>
      </c>
      <c r="P359" s="21">
        <v>2.8560000000000003</v>
      </c>
    </row>
    <row r="360" spans="1:16" ht="16.5" x14ac:dyDescent="0.25">
      <c r="A360" s="2"/>
      <c r="B360" s="4"/>
      <c r="C360" s="18"/>
      <c r="E360" s="20">
        <v>45464</v>
      </c>
      <c r="F360" s="17" t="s">
        <v>203</v>
      </c>
      <c r="G360" s="21">
        <v>13</v>
      </c>
      <c r="H360" s="21">
        <v>19.5</v>
      </c>
      <c r="I360" s="25">
        <v>0.12833333333333327</v>
      </c>
      <c r="J360" s="21">
        <v>1.9500000000000002</v>
      </c>
      <c r="K360" s="21">
        <v>0</v>
      </c>
      <c r="L360" s="21">
        <v>1.0725</v>
      </c>
      <c r="M360" s="17" t="s">
        <v>122</v>
      </c>
      <c r="N360" s="17" t="s">
        <v>116</v>
      </c>
      <c r="O360" s="21">
        <v>0.97500000000000009</v>
      </c>
      <c r="P360" s="21">
        <v>1.0725</v>
      </c>
    </row>
    <row r="361" spans="1:16" ht="16.5" x14ac:dyDescent="0.25">
      <c r="A361" s="2"/>
      <c r="B361" s="4"/>
      <c r="C361" s="18"/>
      <c r="E361" s="20">
        <v>45464</v>
      </c>
      <c r="F361" s="17" t="s">
        <v>203</v>
      </c>
      <c r="G361" s="21">
        <v>13</v>
      </c>
      <c r="H361" s="21">
        <v>19</v>
      </c>
      <c r="I361" s="25">
        <v>0.11078947368421041</v>
      </c>
      <c r="J361" s="21">
        <v>1.9000000000000001</v>
      </c>
      <c r="K361" s="21">
        <v>0</v>
      </c>
      <c r="L361" s="21">
        <v>1.0449999999999999</v>
      </c>
      <c r="M361" s="17" t="s">
        <v>121</v>
      </c>
      <c r="N361" s="17" t="s">
        <v>116</v>
      </c>
      <c r="O361" s="21">
        <v>0.95000000000000007</v>
      </c>
      <c r="P361" s="21">
        <v>1.0449999999999999</v>
      </c>
    </row>
    <row r="362" spans="1:16" ht="16.5" x14ac:dyDescent="0.25">
      <c r="A362" s="2"/>
      <c r="B362" s="4"/>
      <c r="C362" s="18"/>
      <c r="E362" s="20">
        <v>45464</v>
      </c>
      <c r="F362" s="17" t="s">
        <v>203</v>
      </c>
      <c r="G362" s="21">
        <v>13</v>
      </c>
      <c r="H362" s="21">
        <v>18.5</v>
      </c>
      <c r="I362" s="25">
        <v>9.2297297297297395E-2</v>
      </c>
      <c r="J362" s="21">
        <v>1.85</v>
      </c>
      <c r="K362" s="21">
        <v>0</v>
      </c>
      <c r="L362" s="21">
        <v>1.0175000000000001</v>
      </c>
      <c r="M362" s="17" t="s">
        <v>120</v>
      </c>
      <c r="N362" s="17" t="s">
        <v>116</v>
      </c>
      <c r="O362" s="21">
        <v>0.92500000000000004</v>
      </c>
      <c r="P362" s="21">
        <v>1.0175000000000001</v>
      </c>
    </row>
    <row r="363" spans="1:16" ht="16.5" x14ac:dyDescent="0.25">
      <c r="A363" s="2"/>
      <c r="B363" s="4"/>
      <c r="C363" s="18"/>
      <c r="E363" s="20">
        <v>45464</v>
      </c>
      <c r="F363" s="17" t="s">
        <v>203</v>
      </c>
      <c r="G363" s="21">
        <v>13</v>
      </c>
      <c r="H363" s="21">
        <v>18</v>
      </c>
      <c r="I363" s="25">
        <v>7.2777777777777872E-2</v>
      </c>
      <c r="J363" s="21">
        <v>1.8</v>
      </c>
      <c r="K363" s="21">
        <v>0</v>
      </c>
      <c r="L363" s="21">
        <v>0.99</v>
      </c>
      <c r="M363" s="17" t="s">
        <v>113</v>
      </c>
      <c r="N363" s="17" t="s">
        <v>116</v>
      </c>
      <c r="O363" s="21">
        <v>0.9</v>
      </c>
      <c r="P363" s="21">
        <v>0.99</v>
      </c>
    </row>
    <row r="364" spans="1:16" ht="16.5" x14ac:dyDescent="0.25">
      <c r="A364" s="2"/>
      <c r="B364" s="4"/>
      <c r="C364" s="18"/>
      <c r="E364" s="20">
        <v>45464</v>
      </c>
      <c r="F364" s="17" t="s">
        <v>203</v>
      </c>
      <c r="G364" s="21">
        <v>13</v>
      </c>
      <c r="H364" s="21">
        <v>18.5</v>
      </c>
      <c r="I364" s="25">
        <v>0.14729729729729729</v>
      </c>
      <c r="J364" s="21">
        <v>1.85</v>
      </c>
      <c r="K364" s="21">
        <v>0.33280000000000004</v>
      </c>
      <c r="L364" s="21">
        <v>0</v>
      </c>
      <c r="M364" s="17" t="s">
        <v>122</v>
      </c>
      <c r="N364" s="17" t="s">
        <v>115</v>
      </c>
      <c r="O364" s="21">
        <v>0.92500000000000004</v>
      </c>
      <c r="P364" s="21">
        <v>0</v>
      </c>
    </row>
    <row r="365" spans="1:16" ht="16.5" x14ac:dyDescent="0.25">
      <c r="A365" s="2"/>
      <c r="B365" s="4"/>
      <c r="C365" s="18"/>
      <c r="E365" s="20">
        <v>45464</v>
      </c>
      <c r="F365" s="17" t="s">
        <v>203</v>
      </c>
      <c r="G365" s="21">
        <v>13</v>
      </c>
      <c r="H365" s="21">
        <v>18</v>
      </c>
      <c r="I365" s="25">
        <v>0.12777777777777777</v>
      </c>
      <c r="J365" s="21">
        <v>1.8</v>
      </c>
      <c r="K365" s="21">
        <v>0.33280000000000004</v>
      </c>
      <c r="L365" s="21">
        <v>0</v>
      </c>
      <c r="M365" s="17" t="s">
        <v>121</v>
      </c>
      <c r="N365" s="17" t="s">
        <v>115</v>
      </c>
      <c r="O365" s="21">
        <v>0.9</v>
      </c>
      <c r="P365" s="21">
        <v>0</v>
      </c>
    </row>
    <row r="366" spans="1:16" ht="16.5" x14ac:dyDescent="0.25">
      <c r="A366" s="2"/>
      <c r="B366" s="4"/>
      <c r="C366" s="18"/>
      <c r="E366" s="20">
        <v>45464</v>
      </c>
      <c r="F366" s="17" t="s">
        <v>203</v>
      </c>
      <c r="G366" s="21">
        <v>13</v>
      </c>
      <c r="H366" s="21">
        <v>17.5</v>
      </c>
      <c r="I366" s="25">
        <v>0.10714285714285714</v>
      </c>
      <c r="J366" s="21">
        <v>1.75</v>
      </c>
      <c r="K366" s="21">
        <v>0.33280000000000004</v>
      </c>
      <c r="L366" s="21">
        <v>0</v>
      </c>
      <c r="M366" s="17" t="s">
        <v>120</v>
      </c>
      <c r="N366" s="17" t="s">
        <v>115</v>
      </c>
      <c r="O366" s="21">
        <v>0.875</v>
      </c>
      <c r="P366" s="21">
        <v>0</v>
      </c>
    </row>
    <row r="367" spans="1:16" ht="16.5" x14ac:dyDescent="0.25">
      <c r="A367" s="2"/>
      <c r="B367" s="4"/>
      <c r="C367" s="18"/>
      <c r="E367" s="20">
        <v>45464</v>
      </c>
      <c r="F367" s="17" t="s">
        <v>203</v>
      </c>
      <c r="G367" s="21">
        <v>13</v>
      </c>
      <c r="H367" s="21">
        <v>17</v>
      </c>
      <c r="I367" s="25">
        <v>8.5294117647058812E-2</v>
      </c>
      <c r="J367" s="21">
        <v>1.7000000000000002</v>
      </c>
      <c r="K367" s="21">
        <v>0.33280000000000004</v>
      </c>
      <c r="L367" s="21">
        <v>0</v>
      </c>
      <c r="M367" s="17" t="s">
        <v>113</v>
      </c>
      <c r="N367" s="17" t="s">
        <v>115</v>
      </c>
      <c r="O367" s="21">
        <v>0.85000000000000009</v>
      </c>
      <c r="P367" s="21">
        <v>0</v>
      </c>
    </row>
    <row r="368" spans="1:16" ht="16.5" x14ac:dyDescent="0.25">
      <c r="A368" s="2"/>
      <c r="B368" s="4"/>
      <c r="C368" s="18"/>
      <c r="E368" s="20">
        <v>45464</v>
      </c>
      <c r="F368" s="17" t="s">
        <v>95</v>
      </c>
      <c r="G368" s="21">
        <v>6.3335999999999997</v>
      </c>
      <c r="H368" s="21">
        <v>11.5</v>
      </c>
      <c r="I368" s="25">
        <v>0.15645217391304342</v>
      </c>
      <c r="J368" s="21">
        <v>1.1500000000000001</v>
      </c>
      <c r="K368" s="21">
        <v>0.16640000000000002</v>
      </c>
      <c r="L368" s="21">
        <v>1.38</v>
      </c>
      <c r="M368" s="17" t="s">
        <v>122</v>
      </c>
      <c r="N368" s="17" t="s">
        <v>117</v>
      </c>
      <c r="O368" s="21">
        <v>0.57500000000000007</v>
      </c>
      <c r="P368" s="21">
        <v>1.6422000000000001</v>
      </c>
    </row>
    <row r="369" spans="1:16" ht="16.5" x14ac:dyDescent="0.25">
      <c r="A369" s="2"/>
      <c r="B369" s="4"/>
      <c r="C369" s="18"/>
      <c r="E369" s="20">
        <v>45464</v>
      </c>
      <c r="F369" s="17" t="s">
        <v>95</v>
      </c>
      <c r="G369" s="21">
        <v>6.3335999999999997</v>
      </c>
      <c r="H369" s="21">
        <v>11.2</v>
      </c>
      <c r="I369" s="25">
        <v>0.14169999999999991</v>
      </c>
      <c r="J369" s="21">
        <v>1.1199999999999999</v>
      </c>
      <c r="K369" s="21">
        <v>0.16640000000000002</v>
      </c>
      <c r="L369" s="21">
        <v>1.3439999999999999</v>
      </c>
      <c r="M369" s="17" t="s">
        <v>121</v>
      </c>
      <c r="N369" s="17" t="s">
        <v>117</v>
      </c>
      <c r="O369" s="21">
        <v>0.55999999999999994</v>
      </c>
      <c r="P369" s="21">
        <v>1.5993600000000001</v>
      </c>
    </row>
    <row r="370" spans="1:16" ht="16.5" x14ac:dyDescent="0.25">
      <c r="A370" s="2"/>
      <c r="B370" s="4"/>
      <c r="C370" s="18"/>
      <c r="E370" s="20">
        <v>45464</v>
      </c>
      <c r="F370" s="17" t="s">
        <v>95</v>
      </c>
      <c r="G370" s="21">
        <v>6.3335999999999997</v>
      </c>
      <c r="H370" s="21">
        <v>10.8</v>
      </c>
      <c r="I370" s="25">
        <v>0.12075555555555567</v>
      </c>
      <c r="J370" s="21">
        <v>1.08</v>
      </c>
      <c r="K370" s="21">
        <v>0.16640000000000002</v>
      </c>
      <c r="L370" s="21">
        <v>1.296</v>
      </c>
      <c r="M370" s="17" t="s">
        <v>120</v>
      </c>
      <c r="N370" s="17" t="s">
        <v>117</v>
      </c>
      <c r="O370" s="21">
        <v>0.54</v>
      </c>
      <c r="P370" s="21">
        <v>1.5422400000000003</v>
      </c>
    </row>
    <row r="371" spans="1:16" ht="16.5" x14ac:dyDescent="0.25">
      <c r="A371" s="2"/>
      <c r="B371" s="4"/>
      <c r="C371" s="18"/>
      <c r="E371" s="20">
        <v>45464</v>
      </c>
      <c r="F371" s="17" t="s">
        <v>95</v>
      </c>
      <c r="G371" s="21">
        <v>6.3335999999999997</v>
      </c>
      <c r="H371" s="21">
        <v>10.5</v>
      </c>
      <c r="I371" s="25">
        <v>0.10400000000000006</v>
      </c>
      <c r="J371" s="21">
        <v>1.05</v>
      </c>
      <c r="K371" s="21">
        <v>0.16640000000000002</v>
      </c>
      <c r="L371" s="21">
        <v>1.26</v>
      </c>
      <c r="M371" s="17" t="s">
        <v>113</v>
      </c>
      <c r="N371" s="17" t="s">
        <v>117</v>
      </c>
      <c r="O371" s="21">
        <v>0.52500000000000002</v>
      </c>
      <c r="P371" s="21">
        <v>1.4994000000000001</v>
      </c>
    </row>
    <row r="372" spans="1:16" ht="16.5" x14ac:dyDescent="0.25">
      <c r="A372" s="2"/>
      <c r="B372" s="4"/>
      <c r="C372" s="18"/>
      <c r="E372" s="20">
        <v>45464</v>
      </c>
      <c r="F372" s="17" t="s">
        <v>95</v>
      </c>
      <c r="G372" s="21">
        <v>6.5</v>
      </c>
      <c r="H372" s="21">
        <v>10.5</v>
      </c>
      <c r="I372" s="25">
        <v>0.17595238095238092</v>
      </c>
      <c r="J372" s="21">
        <v>1.05</v>
      </c>
      <c r="K372" s="21">
        <v>0</v>
      </c>
      <c r="L372" s="21">
        <v>0.57750000000000001</v>
      </c>
      <c r="M372" s="17" t="s">
        <v>122</v>
      </c>
      <c r="N372" s="17" t="s">
        <v>116</v>
      </c>
      <c r="O372" s="21">
        <v>0.52500000000000002</v>
      </c>
      <c r="P372" s="21">
        <v>0.57750000000000001</v>
      </c>
    </row>
    <row r="373" spans="1:16" ht="16.5" x14ac:dyDescent="0.25">
      <c r="A373" s="2"/>
      <c r="B373" s="4"/>
      <c r="C373" s="18"/>
      <c r="E373" s="20">
        <v>45464</v>
      </c>
      <c r="F373" s="17" t="s">
        <v>95</v>
      </c>
      <c r="G373" s="21">
        <v>6.5</v>
      </c>
      <c r="H373" s="21">
        <v>10.199999999999999</v>
      </c>
      <c r="I373" s="25">
        <v>0.15774509803921566</v>
      </c>
      <c r="J373" s="21">
        <v>1.02</v>
      </c>
      <c r="K373" s="21">
        <v>0</v>
      </c>
      <c r="L373" s="21">
        <v>0.56099999999999994</v>
      </c>
      <c r="M373" s="17" t="s">
        <v>121</v>
      </c>
      <c r="N373" s="17" t="s">
        <v>116</v>
      </c>
      <c r="O373" s="21">
        <v>0.51</v>
      </c>
      <c r="P373" s="21">
        <v>0.56099999999999994</v>
      </c>
    </row>
    <row r="374" spans="1:16" ht="16.5" x14ac:dyDescent="0.25">
      <c r="A374" s="2"/>
      <c r="B374" s="4"/>
      <c r="C374" s="18"/>
      <c r="E374" s="20">
        <v>45464</v>
      </c>
      <c r="F374" s="17" t="s">
        <v>95</v>
      </c>
      <c r="G374" s="21">
        <v>6.5</v>
      </c>
      <c r="H374" s="21">
        <v>9.8000000000000007</v>
      </c>
      <c r="I374" s="25">
        <v>0.1317346938775511</v>
      </c>
      <c r="J374" s="21">
        <v>0.98000000000000009</v>
      </c>
      <c r="K374" s="21">
        <v>0</v>
      </c>
      <c r="L374" s="21">
        <v>0.53900000000000003</v>
      </c>
      <c r="M374" s="17" t="s">
        <v>120</v>
      </c>
      <c r="N374" s="17" t="s">
        <v>116</v>
      </c>
      <c r="O374" s="21">
        <v>0.49000000000000005</v>
      </c>
      <c r="P374" s="21">
        <v>0.53900000000000003</v>
      </c>
    </row>
    <row r="375" spans="1:16" ht="16.5" x14ac:dyDescent="0.25">
      <c r="A375" s="2"/>
      <c r="B375" s="4"/>
      <c r="C375" s="18"/>
      <c r="E375" s="20">
        <v>45464</v>
      </c>
      <c r="F375" s="17" t="s">
        <v>95</v>
      </c>
      <c r="G375" s="21">
        <v>6.5</v>
      </c>
      <c r="H375" s="21">
        <v>9.5</v>
      </c>
      <c r="I375" s="25">
        <v>0.11078947368421041</v>
      </c>
      <c r="J375" s="21">
        <v>0.95000000000000007</v>
      </c>
      <c r="K375" s="21">
        <v>0</v>
      </c>
      <c r="L375" s="21">
        <v>0.52249999999999996</v>
      </c>
      <c r="M375" s="17" t="s">
        <v>113</v>
      </c>
      <c r="N375" s="17" t="s">
        <v>116</v>
      </c>
      <c r="O375" s="21">
        <v>0.47500000000000003</v>
      </c>
      <c r="P375" s="21">
        <v>0.52249999999999996</v>
      </c>
    </row>
    <row r="376" spans="1:16" ht="16.5" x14ac:dyDescent="0.25">
      <c r="A376" s="2"/>
      <c r="B376" s="4"/>
      <c r="C376" s="18"/>
      <c r="E376" s="20">
        <v>45464</v>
      </c>
      <c r="F376" s="17" t="s">
        <v>95</v>
      </c>
      <c r="G376" s="21">
        <v>6.5</v>
      </c>
      <c r="H376" s="21">
        <v>9.9</v>
      </c>
      <c r="I376" s="25">
        <v>0.19343434343434343</v>
      </c>
      <c r="J376" s="21">
        <v>0.9900000000000001</v>
      </c>
      <c r="K376" s="21">
        <v>0.16640000000000002</v>
      </c>
      <c r="L376" s="21">
        <v>0</v>
      </c>
      <c r="M376" s="17" t="s">
        <v>122</v>
      </c>
      <c r="N376" s="17" t="s">
        <v>115</v>
      </c>
      <c r="O376" s="21">
        <v>0.49500000000000005</v>
      </c>
      <c r="P376" s="21">
        <v>0</v>
      </c>
    </row>
    <row r="377" spans="1:16" ht="16.5" x14ac:dyDescent="0.25">
      <c r="A377" s="2"/>
      <c r="B377" s="4"/>
      <c r="C377" s="18"/>
      <c r="E377" s="20">
        <v>45464</v>
      </c>
      <c r="F377" s="17" t="s">
        <v>95</v>
      </c>
      <c r="G377" s="21">
        <v>6.5</v>
      </c>
      <c r="H377" s="21">
        <v>9.5</v>
      </c>
      <c r="I377" s="25">
        <v>0.16578947368421049</v>
      </c>
      <c r="J377" s="21">
        <v>0.95000000000000007</v>
      </c>
      <c r="K377" s="21">
        <v>0.16640000000000002</v>
      </c>
      <c r="L377" s="21">
        <v>0</v>
      </c>
      <c r="M377" s="17" t="s">
        <v>121</v>
      </c>
      <c r="N377" s="17" t="s">
        <v>115</v>
      </c>
      <c r="O377" s="21">
        <v>0.47500000000000003</v>
      </c>
      <c r="P377" s="21">
        <v>0</v>
      </c>
    </row>
    <row r="378" spans="1:16" ht="16.5" x14ac:dyDescent="0.25">
      <c r="A378" s="2"/>
      <c r="B378" s="4"/>
      <c r="C378" s="18"/>
      <c r="E378" s="20">
        <v>45464</v>
      </c>
      <c r="F378" s="17" t="s">
        <v>95</v>
      </c>
      <c r="G378" s="21">
        <v>6.5</v>
      </c>
      <c r="H378" s="21">
        <v>9.1999999999999993</v>
      </c>
      <c r="I378" s="25">
        <v>0.14347826086956517</v>
      </c>
      <c r="J378" s="21">
        <v>0.91999999999999993</v>
      </c>
      <c r="K378" s="21">
        <v>0.16640000000000002</v>
      </c>
      <c r="L378" s="21">
        <v>0</v>
      </c>
      <c r="M378" s="17" t="s">
        <v>120</v>
      </c>
      <c r="N378" s="17" t="s">
        <v>115</v>
      </c>
      <c r="O378" s="21">
        <v>0.45999999999999996</v>
      </c>
      <c r="P378" s="21">
        <v>0</v>
      </c>
    </row>
    <row r="379" spans="1:16" ht="16.5" x14ac:dyDescent="0.25">
      <c r="A379" s="2"/>
      <c r="B379" s="4"/>
      <c r="C379" s="18"/>
      <c r="E379" s="20">
        <v>45464</v>
      </c>
      <c r="F379" s="17" t="s">
        <v>95</v>
      </c>
      <c r="G379" s="21">
        <v>6.5</v>
      </c>
      <c r="H379" s="21">
        <v>9</v>
      </c>
      <c r="I379" s="25">
        <v>0.12777777777777777</v>
      </c>
      <c r="J379" s="21">
        <v>0.9</v>
      </c>
      <c r="K379" s="21">
        <v>0.16640000000000002</v>
      </c>
      <c r="L379" s="21">
        <v>0</v>
      </c>
      <c r="M379" s="17" t="s">
        <v>113</v>
      </c>
      <c r="N379" s="17" t="s">
        <v>115</v>
      </c>
      <c r="O379" s="21">
        <v>0.45</v>
      </c>
      <c r="P379" s="21">
        <v>0</v>
      </c>
    </row>
    <row r="380" spans="1:16" ht="16.5" x14ac:dyDescent="0.25">
      <c r="A380" s="2"/>
      <c r="B380" s="4"/>
      <c r="C380" s="18"/>
      <c r="E380" s="20">
        <v>45464</v>
      </c>
      <c r="F380" s="17" t="s">
        <v>94</v>
      </c>
      <c r="G380" s="21">
        <v>3.1667999999999998</v>
      </c>
      <c r="H380" s="21">
        <v>6.5</v>
      </c>
      <c r="I380" s="25">
        <v>0.21999999999999995</v>
      </c>
      <c r="J380" s="21">
        <v>0.65</v>
      </c>
      <c r="K380" s="21">
        <v>8.320000000000001E-2</v>
      </c>
      <c r="L380" s="21">
        <v>0.78</v>
      </c>
      <c r="M380" s="17" t="s">
        <v>122</v>
      </c>
      <c r="N380" s="17" t="s">
        <v>117</v>
      </c>
      <c r="O380" s="21">
        <v>0.32500000000000001</v>
      </c>
      <c r="P380" s="21">
        <v>0.92820000000000003</v>
      </c>
    </row>
    <row r="381" spans="1:16" ht="16.5" x14ac:dyDescent="0.25">
      <c r="A381" s="2"/>
      <c r="B381" s="4"/>
      <c r="C381" s="18"/>
      <c r="E381" s="20">
        <v>45464</v>
      </c>
      <c r="F381" s="17" t="s">
        <v>94</v>
      </c>
      <c r="G381" s="21">
        <v>3.1667999999999998</v>
      </c>
      <c r="H381" s="21">
        <v>6.1</v>
      </c>
      <c r="I381" s="25">
        <v>0.18805245901639339</v>
      </c>
      <c r="J381" s="21">
        <v>0.61</v>
      </c>
      <c r="K381" s="21">
        <v>8.320000000000001E-2</v>
      </c>
      <c r="L381" s="21">
        <v>0.73199999999999998</v>
      </c>
      <c r="M381" s="17" t="s">
        <v>121</v>
      </c>
      <c r="N381" s="17" t="s">
        <v>117</v>
      </c>
      <c r="O381" s="21">
        <v>0.30499999999999999</v>
      </c>
      <c r="P381" s="21">
        <v>0.87107999999999997</v>
      </c>
    </row>
    <row r="382" spans="1:16" ht="16.5" x14ac:dyDescent="0.25">
      <c r="A382" s="2"/>
      <c r="B382" s="4"/>
      <c r="C382" s="18"/>
      <c r="E382" s="20">
        <v>45464</v>
      </c>
      <c r="F382" s="17" t="s">
        <v>94</v>
      </c>
      <c r="G382" s="21">
        <v>3.1667999999999998</v>
      </c>
      <c r="H382" s="21">
        <v>5.9</v>
      </c>
      <c r="I382" s="25">
        <v>0.17045423728813561</v>
      </c>
      <c r="J382" s="21">
        <v>0.59000000000000008</v>
      </c>
      <c r="K382" s="21">
        <v>8.320000000000001E-2</v>
      </c>
      <c r="L382" s="21">
        <v>0.70799999999999996</v>
      </c>
      <c r="M382" s="17" t="s">
        <v>120</v>
      </c>
      <c r="N382" s="17" t="s">
        <v>117</v>
      </c>
      <c r="O382" s="21">
        <v>0.29500000000000004</v>
      </c>
      <c r="P382" s="21">
        <v>0.84252000000000016</v>
      </c>
    </row>
    <row r="383" spans="1:16" ht="16.5" x14ac:dyDescent="0.25">
      <c r="A383" s="2"/>
      <c r="B383" s="4"/>
      <c r="C383" s="18"/>
      <c r="E383" s="20">
        <v>45464</v>
      </c>
      <c r="F383" s="17" t="s">
        <v>94</v>
      </c>
      <c r="G383" s="21">
        <v>3.1667999999999998</v>
      </c>
      <c r="H383" s="21">
        <v>5.7</v>
      </c>
      <c r="I383" s="25">
        <v>0.15162105263157899</v>
      </c>
      <c r="J383" s="21">
        <v>0.57000000000000006</v>
      </c>
      <c r="K383" s="21">
        <v>8.320000000000001E-2</v>
      </c>
      <c r="L383" s="21">
        <v>0.68399999999999994</v>
      </c>
      <c r="M383" s="17" t="s">
        <v>113</v>
      </c>
      <c r="N383" s="17" t="s">
        <v>117</v>
      </c>
      <c r="O383" s="21">
        <v>0.28500000000000003</v>
      </c>
      <c r="P383" s="21">
        <v>0.81396000000000013</v>
      </c>
    </row>
    <row r="384" spans="1:16" ht="16.5" x14ac:dyDescent="0.25">
      <c r="A384" s="2"/>
      <c r="B384" s="4"/>
      <c r="C384" s="18"/>
      <c r="E384" s="20">
        <v>45464</v>
      </c>
      <c r="F384" s="17" t="s">
        <v>94</v>
      </c>
      <c r="G384" s="21">
        <v>3.25</v>
      </c>
      <c r="H384" s="21">
        <v>5.9</v>
      </c>
      <c r="I384" s="25">
        <v>0.24415254237288131</v>
      </c>
      <c r="J384" s="21">
        <v>0.59000000000000008</v>
      </c>
      <c r="K384" s="21">
        <v>0</v>
      </c>
      <c r="L384" s="21">
        <v>0.32450000000000001</v>
      </c>
      <c r="M384" s="17" t="s">
        <v>122</v>
      </c>
      <c r="N384" s="17" t="s">
        <v>116</v>
      </c>
      <c r="O384" s="21">
        <v>0.29500000000000004</v>
      </c>
      <c r="P384" s="21">
        <v>0.32450000000000001</v>
      </c>
    </row>
    <row r="385" spans="1:16" ht="16.5" x14ac:dyDescent="0.25">
      <c r="A385" s="2"/>
      <c r="B385" s="4"/>
      <c r="C385" s="18"/>
      <c r="E385" s="20">
        <v>45464</v>
      </c>
      <c r="F385" s="17" t="s">
        <v>94</v>
      </c>
      <c r="G385" s="21">
        <v>3.25</v>
      </c>
      <c r="H385" s="21">
        <v>5.5</v>
      </c>
      <c r="I385" s="25">
        <v>0.20409090909090907</v>
      </c>
      <c r="J385" s="21">
        <v>0.55000000000000004</v>
      </c>
      <c r="K385" s="21">
        <v>0</v>
      </c>
      <c r="L385" s="21">
        <v>0.30249999999999999</v>
      </c>
      <c r="M385" s="17" t="s">
        <v>121</v>
      </c>
      <c r="N385" s="17" t="s">
        <v>116</v>
      </c>
      <c r="O385" s="21">
        <v>0.27500000000000002</v>
      </c>
      <c r="P385" s="21">
        <v>0.30249999999999999</v>
      </c>
    </row>
    <row r="386" spans="1:16" ht="16.5" x14ac:dyDescent="0.25">
      <c r="A386" s="2"/>
      <c r="B386" s="4"/>
      <c r="C386" s="18"/>
      <c r="E386" s="20">
        <v>45464</v>
      </c>
      <c r="F386" s="17" t="s">
        <v>94</v>
      </c>
      <c r="G386" s="21">
        <v>3.25</v>
      </c>
      <c r="H386" s="21">
        <v>5.3</v>
      </c>
      <c r="I386" s="25">
        <v>0.18179245283018861</v>
      </c>
      <c r="J386" s="21">
        <v>0.53</v>
      </c>
      <c r="K386" s="21">
        <v>0</v>
      </c>
      <c r="L386" s="21">
        <v>0.29149999999999998</v>
      </c>
      <c r="M386" s="17" t="s">
        <v>120</v>
      </c>
      <c r="N386" s="17" t="s">
        <v>116</v>
      </c>
      <c r="O386" s="21">
        <v>0.26500000000000001</v>
      </c>
      <c r="P386" s="21">
        <v>0.29149999999999998</v>
      </c>
    </row>
    <row r="387" spans="1:16" ht="16.5" x14ac:dyDescent="0.25">
      <c r="A387" s="2"/>
      <c r="B387" s="4"/>
      <c r="C387" s="18"/>
      <c r="E387" s="20">
        <v>45464</v>
      </c>
      <c r="F387" s="17" t="s">
        <v>94</v>
      </c>
      <c r="G387" s="21">
        <v>3.25</v>
      </c>
      <c r="H387" s="21">
        <v>5.0999999999999996</v>
      </c>
      <c r="I387" s="25">
        <v>0.15774509803921566</v>
      </c>
      <c r="J387" s="21">
        <v>0.51</v>
      </c>
      <c r="K387" s="21">
        <v>0</v>
      </c>
      <c r="L387" s="21">
        <v>0.28049999999999997</v>
      </c>
      <c r="M387" s="17" t="s">
        <v>113</v>
      </c>
      <c r="N387" s="17" t="s">
        <v>116</v>
      </c>
      <c r="O387" s="21">
        <v>0.255</v>
      </c>
      <c r="P387" s="21">
        <v>0.28049999999999997</v>
      </c>
    </row>
    <row r="388" spans="1:16" ht="16.5" x14ac:dyDescent="0.25">
      <c r="A388" s="2"/>
      <c r="B388" s="4"/>
      <c r="C388" s="18"/>
      <c r="E388" s="20">
        <v>45464</v>
      </c>
      <c r="F388" s="17" t="s">
        <v>94</v>
      </c>
      <c r="G388" s="21">
        <v>3.25</v>
      </c>
      <c r="H388" s="21">
        <v>5.5</v>
      </c>
      <c r="I388" s="25">
        <v>0.25909090909090909</v>
      </c>
      <c r="J388" s="21">
        <v>0.55000000000000004</v>
      </c>
      <c r="K388" s="21">
        <v>8.320000000000001E-2</v>
      </c>
      <c r="L388" s="21">
        <v>0</v>
      </c>
      <c r="M388" s="17" t="s">
        <v>122</v>
      </c>
      <c r="N388" s="17" t="s">
        <v>115</v>
      </c>
      <c r="O388" s="21">
        <v>0.27500000000000002</v>
      </c>
      <c r="P388" s="21">
        <v>0</v>
      </c>
    </row>
    <row r="389" spans="1:16" ht="16.5" x14ac:dyDescent="0.25">
      <c r="A389" s="2"/>
      <c r="B389" s="4"/>
      <c r="C389" s="18"/>
      <c r="E389" s="20">
        <v>45464</v>
      </c>
      <c r="F389" s="17" t="s">
        <v>94</v>
      </c>
      <c r="G389" s="21">
        <v>3.25</v>
      </c>
      <c r="H389" s="21">
        <v>5.3</v>
      </c>
      <c r="I389" s="25">
        <v>0.23679245283018863</v>
      </c>
      <c r="J389" s="21">
        <v>0.53</v>
      </c>
      <c r="K389" s="21">
        <v>8.320000000000001E-2</v>
      </c>
      <c r="L389" s="21">
        <v>0</v>
      </c>
      <c r="M389" s="17" t="s">
        <v>121</v>
      </c>
      <c r="N389" s="17" t="s">
        <v>115</v>
      </c>
      <c r="O389" s="21">
        <v>0.26500000000000001</v>
      </c>
      <c r="P389" s="21">
        <v>0</v>
      </c>
    </row>
    <row r="390" spans="1:16" ht="16.5" x14ac:dyDescent="0.25">
      <c r="A390" s="2"/>
      <c r="B390" s="4"/>
      <c r="C390" s="18"/>
      <c r="E390" s="20">
        <v>45464</v>
      </c>
      <c r="F390" s="17" t="s">
        <v>94</v>
      </c>
      <c r="G390" s="21">
        <v>3.25</v>
      </c>
      <c r="H390" s="21">
        <v>5.0999999999999996</v>
      </c>
      <c r="I390" s="25">
        <v>0.21274509803921565</v>
      </c>
      <c r="J390" s="21">
        <v>0.51</v>
      </c>
      <c r="K390" s="21">
        <v>8.320000000000001E-2</v>
      </c>
      <c r="L390" s="21">
        <v>0</v>
      </c>
      <c r="M390" s="17" t="s">
        <v>120</v>
      </c>
      <c r="N390" s="17" t="s">
        <v>115</v>
      </c>
      <c r="O390" s="21">
        <v>0.255</v>
      </c>
      <c r="P390" s="21">
        <v>0</v>
      </c>
    </row>
    <row r="391" spans="1:16" ht="16.5" x14ac:dyDescent="0.25">
      <c r="A391" s="2"/>
      <c r="B391" s="4"/>
      <c r="C391" s="18"/>
      <c r="E391" s="20">
        <v>45464</v>
      </c>
      <c r="F391" s="17" t="s">
        <v>94</v>
      </c>
      <c r="G391" s="21">
        <v>3.25</v>
      </c>
      <c r="H391" s="21">
        <v>4.9000000000000004</v>
      </c>
      <c r="I391" s="25">
        <v>0.18673469387755107</v>
      </c>
      <c r="J391" s="21">
        <v>0.49000000000000005</v>
      </c>
      <c r="K391" s="21">
        <v>8.320000000000001E-2</v>
      </c>
      <c r="L391" s="21">
        <v>0</v>
      </c>
      <c r="M391" s="17" t="s">
        <v>113</v>
      </c>
      <c r="N391" s="17" t="s">
        <v>115</v>
      </c>
      <c r="O391" s="21">
        <v>0.24500000000000002</v>
      </c>
      <c r="P391" s="21">
        <v>0</v>
      </c>
    </row>
    <row r="392" spans="1:16" ht="16.5" x14ac:dyDescent="0.25">
      <c r="A392" s="2"/>
      <c r="B392" s="4"/>
      <c r="C392" s="18"/>
      <c r="E392" s="20">
        <v>45463</v>
      </c>
      <c r="F392" s="17" t="s">
        <v>203</v>
      </c>
      <c r="G392" s="21">
        <v>13.6416</v>
      </c>
      <c r="H392" s="21">
        <v>23</v>
      </c>
      <c r="I392" s="25">
        <v>0.11408695652173902</v>
      </c>
      <c r="J392" s="21">
        <v>2.3000000000000003</v>
      </c>
      <c r="K392" s="21">
        <v>0.3584</v>
      </c>
      <c r="L392" s="21">
        <v>2.76</v>
      </c>
      <c r="M392" s="17" t="s">
        <v>122</v>
      </c>
      <c r="N392" s="17" t="s">
        <v>117</v>
      </c>
      <c r="O392" s="21">
        <v>1.1500000000000001</v>
      </c>
      <c r="P392" s="21">
        <v>3.2844000000000002</v>
      </c>
    </row>
    <row r="393" spans="1:16" ht="16.5" x14ac:dyDescent="0.25">
      <c r="A393" s="2"/>
      <c r="B393" s="4"/>
      <c r="C393" s="18"/>
      <c r="E393" s="20">
        <v>45463</v>
      </c>
      <c r="F393" s="17" t="s">
        <v>203</v>
      </c>
      <c r="G393" s="21">
        <v>13.6416</v>
      </c>
      <c r="H393" s="21">
        <v>22.5</v>
      </c>
      <c r="I393" s="25">
        <v>0.1009066666666666</v>
      </c>
      <c r="J393" s="21">
        <v>2.25</v>
      </c>
      <c r="K393" s="21">
        <v>0.3584</v>
      </c>
      <c r="L393" s="21">
        <v>2.6999999999999997</v>
      </c>
      <c r="M393" s="17" t="s">
        <v>121</v>
      </c>
      <c r="N393" s="17" t="s">
        <v>117</v>
      </c>
      <c r="O393" s="21">
        <v>1.125</v>
      </c>
      <c r="P393" s="21">
        <v>3.2130000000000001</v>
      </c>
    </row>
    <row r="394" spans="1:16" ht="16.5" x14ac:dyDescent="0.25">
      <c r="A394" s="2"/>
      <c r="B394" s="4"/>
      <c r="C394" s="18"/>
      <c r="E394" s="20">
        <v>45463</v>
      </c>
      <c r="F394" s="17" t="s">
        <v>203</v>
      </c>
      <c r="G394" s="21">
        <v>13.6416</v>
      </c>
      <c r="H394" s="21">
        <v>24</v>
      </c>
      <c r="I394" s="25">
        <v>0.13880000000000001</v>
      </c>
      <c r="J394" s="21">
        <v>2.4000000000000004</v>
      </c>
      <c r="K394" s="21">
        <v>0.3584</v>
      </c>
      <c r="L394" s="21">
        <v>2.88</v>
      </c>
      <c r="M394" s="17" t="s">
        <v>122</v>
      </c>
      <c r="N394" s="17" t="s">
        <v>117</v>
      </c>
      <c r="O394" s="21">
        <v>1.2000000000000002</v>
      </c>
      <c r="P394" s="21">
        <v>3.4272</v>
      </c>
    </row>
    <row r="395" spans="1:16" ht="16.5" x14ac:dyDescent="0.25">
      <c r="A395" s="2"/>
      <c r="B395" s="4"/>
      <c r="C395" s="18"/>
      <c r="E395" s="20">
        <v>45463</v>
      </c>
      <c r="F395" s="17" t="s">
        <v>203</v>
      </c>
      <c r="G395" s="21">
        <v>13.6416</v>
      </c>
      <c r="H395" s="21">
        <v>23.5</v>
      </c>
      <c r="I395" s="25">
        <v>0.1267063829787233</v>
      </c>
      <c r="J395" s="21">
        <v>2.35</v>
      </c>
      <c r="K395" s="21">
        <v>0.3584</v>
      </c>
      <c r="L395" s="21">
        <v>2.82</v>
      </c>
      <c r="M395" s="17" t="s">
        <v>121</v>
      </c>
      <c r="N395" s="17" t="s">
        <v>117</v>
      </c>
      <c r="O395" s="21">
        <v>1.175</v>
      </c>
      <c r="P395" s="21">
        <v>3.3558000000000003</v>
      </c>
    </row>
    <row r="396" spans="1:16" ht="16.5" x14ac:dyDescent="0.25">
      <c r="A396" s="2"/>
      <c r="B396" s="4"/>
      <c r="C396" s="18"/>
      <c r="E396" s="20">
        <v>45463</v>
      </c>
      <c r="F396" s="17" t="s">
        <v>203</v>
      </c>
      <c r="G396" s="21">
        <v>13.6416</v>
      </c>
      <c r="H396" s="21">
        <v>22</v>
      </c>
      <c r="I396" s="25">
        <v>8.7127272727272706E-2</v>
      </c>
      <c r="J396" s="21">
        <v>2.2000000000000002</v>
      </c>
      <c r="K396" s="21">
        <v>0.3584</v>
      </c>
      <c r="L396" s="21">
        <v>2.6399999999999997</v>
      </c>
      <c r="M396" s="17" t="s">
        <v>120</v>
      </c>
      <c r="N396" s="17" t="s">
        <v>117</v>
      </c>
      <c r="O396" s="21">
        <v>1.1000000000000001</v>
      </c>
      <c r="P396" s="21">
        <v>3.1416000000000004</v>
      </c>
    </row>
    <row r="397" spans="1:16" ht="16.5" x14ac:dyDescent="0.25">
      <c r="A397" s="2"/>
      <c r="B397" s="4"/>
      <c r="C397" s="18"/>
      <c r="E397" s="20">
        <v>45463</v>
      </c>
      <c r="F397" s="17" t="s">
        <v>203</v>
      </c>
      <c r="G397" s="21">
        <v>13.6416</v>
      </c>
      <c r="H397" s="21">
        <v>21.5</v>
      </c>
      <c r="I397" s="25">
        <v>7.2706976744186039E-2</v>
      </c>
      <c r="J397" s="21">
        <v>2.15</v>
      </c>
      <c r="K397" s="21">
        <v>0.3584</v>
      </c>
      <c r="L397" s="21">
        <v>2.58</v>
      </c>
      <c r="M397" s="17" t="s">
        <v>113</v>
      </c>
      <c r="N397" s="17" t="s">
        <v>117</v>
      </c>
      <c r="O397" s="21">
        <v>1.075</v>
      </c>
      <c r="P397" s="21">
        <v>3.0702000000000003</v>
      </c>
    </row>
    <row r="398" spans="1:16" ht="16.5" x14ac:dyDescent="0.25">
      <c r="A398" s="2"/>
      <c r="B398" s="4"/>
      <c r="C398" s="18"/>
      <c r="E398" s="20">
        <v>45463</v>
      </c>
      <c r="F398" s="17" t="s">
        <v>203</v>
      </c>
      <c r="G398" s="21">
        <v>14</v>
      </c>
      <c r="H398" s="21">
        <v>21</v>
      </c>
      <c r="I398" s="25">
        <v>0.12833333333333327</v>
      </c>
      <c r="J398" s="21">
        <v>2.1</v>
      </c>
      <c r="K398" s="21">
        <v>0</v>
      </c>
      <c r="L398" s="21">
        <v>1.155</v>
      </c>
      <c r="M398" s="17" t="s">
        <v>122</v>
      </c>
      <c r="N398" s="17" t="s">
        <v>116</v>
      </c>
      <c r="O398" s="21">
        <v>1.05</v>
      </c>
      <c r="P398" s="21">
        <v>1.155</v>
      </c>
    </row>
    <row r="399" spans="1:16" ht="16.5" x14ac:dyDescent="0.25">
      <c r="A399" s="2"/>
      <c r="B399" s="4"/>
      <c r="C399" s="18"/>
      <c r="E399" s="20">
        <v>45463</v>
      </c>
      <c r="F399" s="17" t="s">
        <v>203</v>
      </c>
      <c r="G399" s="21">
        <v>14</v>
      </c>
      <c r="H399" s="21">
        <v>20.5</v>
      </c>
      <c r="I399" s="25">
        <v>0.11207317073170722</v>
      </c>
      <c r="J399" s="21">
        <v>2.0500000000000003</v>
      </c>
      <c r="K399" s="21">
        <v>0</v>
      </c>
      <c r="L399" s="21">
        <v>1.1274999999999999</v>
      </c>
      <c r="M399" s="17" t="s">
        <v>121</v>
      </c>
      <c r="N399" s="17" t="s">
        <v>116</v>
      </c>
      <c r="O399" s="21">
        <v>1.0250000000000001</v>
      </c>
      <c r="P399" s="21">
        <v>1.1274999999999999</v>
      </c>
    </row>
    <row r="400" spans="1:16" ht="16.5" x14ac:dyDescent="0.25">
      <c r="A400" s="2"/>
      <c r="B400" s="4"/>
      <c r="C400" s="18"/>
      <c r="E400" s="20">
        <v>45463</v>
      </c>
      <c r="F400" s="17" t="s">
        <v>203</v>
      </c>
      <c r="G400" s="21">
        <v>14</v>
      </c>
      <c r="H400" s="21">
        <v>20</v>
      </c>
      <c r="I400" s="25">
        <v>9.4999999999999932E-2</v>
      </c>
      <c r="J400" s="21">
        <v>2</v>
      </c>
      <c r="K400" s="21">
        <v>0</v>
      </c>
      <c r="L400" s="21">
        <v>1.1000000000000001</v>
      </c>
      <c r="M400" s="17" t="s">
        <v>120</v>
      </c>
      <c r="N400" s="17" t="s">
        <v>116</v>
      </c>
      <c r="O400" s="21">
        <v>1</v>
      </c>
      <c r="P400" s="21">
        <v>1.1000000000000001</v>
      </c>
    </row>
    <row r="401" spans="1:16" ht="16.5" x14ac:dyDescent="0.25">
      <c r="A401" s="2"/>
      <c r="B401" s="4"/>
      <c r="C401" s="18"/>
      <c r="E401" s="20">
        <v>45463</v>
      </c>
      <c r="F401" s="17" t="s">
        <v>203</v>
      </c>
      <c r="G401" s="21">
        <v>14</v>
      </c>
      <c r="H401" s="21">
        <v>19.5</v>
      </c>
      <c r="I401" s="25">
        <v>7.7051282051281964E-2</v>
      </c>
      <c r="J401" s="21">
        <v>1.9500000000000002</v>
      </c>
      <c r="K401" s="21">
        <v>0</v>
      </c>
      <c r="L401" s="21">
        <v>1.0725</v>
      </c>
      <c r="M401" s="17" t="s">
        <v>113</v>
      </c>
      <c r="N401" s="17" t="s">
        <v>116</v>
      </c>
      <c r="O401" s="21">
        <v>0.97500000000000009</v>
      </c>
      <c r="P401" s="21">
        <v>1.0725</v>
      </c>
    </row>
    <row r="402" spans="1:16" ht="16.5" x14ac:dyDescent="0.25">
      <c r="A402" s="2"/>
      <c r="B402" s="4"/>
      <c r="C402" s="18"/>
      <c r="E402" s="20">
        <v>45463</v>
      </c>
      <c r="F402" s="17" t="s">
        <v>203</v>
      </c>
      <c r="G402" s="21">
        <v>14</v>
      </c>
      <c r="H402" s="21">
        <v>20</v>
      </c>
      <c r="I402" s="25">
        <v>0.15</v>
      </c>
      <c r="J402" s="21">
        <v>2</v>
      </c>
      <c r="K402" s="21">
        <v>0.3584</v>
      </c>
      <c r="L402" s="21">
        <v>0</v>
      </c>
      <c r="M402" s="17" t="s">
        <v>122</v>
      </c>
      <c r="N402" s="17" t="s">
        <v>115</v>
      </c>
      <c r="O402" s="21">
        <v>1</v>
      </c>
      <c r="P402" s="21">
        <v>0</v>
      </c>
    </row>
    <row r="403" spans="1:16" ht="16.5" x14ac:dyDescent="0.25">
      <c r="A403" s="2"/>
      <c r="B403" s="4"/>
      <c r="C403" s="18"/>
      <c r="E403" s="20">
        <v>45463</v>
      </c>
      <c r="F403" s="17" t="s">
        <v>203</v>
      </c>
      <c r="G403" s="21">
        <v>14</v>
      </c>
      <c r="H403" s="21">
        <v>19.5</v>
      </c>
      <c r="I403" s="25">
        <v>0.13205128205128205</v>
      </c>
      <c r="J403" s="21">
        <v>1.9500000000000002</v>
      </c>
      <c r="K403" s="21">
        <v>0.3584</v>
      </c>
      <c r="L403" s="21">
        <v>0</v>
      </c>
      <c r="M403" s="17" t="s">
        <v>121</v>
      </c>
      <c r="N403" s="17" t="s">
        <v>115</v>
      </c>
      <c r="O403" s="21">
        <v>0.97500000000000009</v>
      </c>
      <c r="P403" s="21">
        <v>0</v>
      </c>
    </row>
    <row r="404" spans="1:16" ht="16.5" x14ac:dyDescent="0.25">
      <c r="A404" s="2"/>
      <c r="B404" s="4"/>
      <c r="C404" s="18"/>
      <c r="E404" s="20">
        <v>45463</v>
      </c>
      <c r="F404" s="17" t="s">
        <v>203</v>
      </c>
      <c r="G404" s="21">
        <v>14</v>
      </c>
      <c r="H404" s="21">
        <v>19</v>
      </c>
      <c r="I404" s="25">
        <v>0.11315789473684208</v>
      </c>
      <c r="J404" s="21">
        <v>1.9000000000000001</v>
      </c>
      <c r="K404" s="21">
        <v>0.3584</v>
      </c>
      <c r="L404" s="21">
        <v>0</v>
      </c>
      <c r="M404" s="17" t="s">
        <v>120</v>
      </c>
      <c r="N404" s="17" t="s">
        <v>115</v>
      </c>
      <c r="O404" s="21">
        <v>0.95000000000000007</v>
      </c>
      <c r="P404" s="21">
        <v>0</v>
      </c>
    </row>
    <row r="405" spans="1:16" ht="16.5" x14ac:dyDescent="0.25">
      <c r="A405" s="2"/>
      <c r="B405" s="4"/>
      <c r="C405" s="18"/>
      <c r="E405" s="20">
        <v>45463</v>
      </c>
      <c r="F405" s="17" t="s">
        <v>203</v>
      </c>
      <c r="G405" s="21">
        <v>14</v>
      </c>
      <c r="H405" s="21">
        <v>18.5</v>
      </c>
      <c r="I405" s="25">
        <v>9.3243243243243248E-2</v>
      </c>
      <c r="J405" s="21">
        <v>1.85</v>
      </c>
      <c r="K405" s="21">
        <v>0.3584</v>
      </c>
      <c r="L405" s="21">
        <v>0</v>
      </c>
      <c r="M405" s="17" t="s">
        <v>113</v>
      </c>
      <c r="N405" s="17" t="s">
        <v>115</v>
      </c>
      <c r="O405" s="21">
        <v>0.92500000000000004</v>
      </c>
      <c r="P405" s="21">
        <v>0</v>
      </c>
    </row>
    <row r="406" spans="1:16" ht="16.5" x14ac:dyDescent="0.25">
      <c r="A406" s="2"/>
      <c r="B406" s="4"/>
      <c r="C406" s="18"/>
      <c r="E406" s="20">
        <v>45463</v>
      </c>
      <c r="F406" s="17" t="s">
        <v>95</v>
      </c>
      <c r="G406" s="21">
        <v>6.8208000000000002</v>
      </c>
      <c r="H406" s="21">
        <v>11.9</v>
      </c>
      <c r="I406" s="25">
        <v>0.13402352941176468</v>
      </c>
      <c r="J406" s="21">
        <v>1.1900000000000002</v>
      </c>
      <c r="K406" s="21">
        <v>0.1792</v>
      </c>
      <c r="L406" s="21">
        <v>1.4279999999999999</v>
      </c>
      <c r="M406" s="17" t="s">
        <v>122</v>
      </c>
      <c r="N406" s="17" t="s">
        <v>117</v>
      </c>
      <c r="O406" s="21">
        <v>0.59500000000000008</v>
      </c>
      <c r="P406" s="21">
        <v>1.6993200000000002</v>
      </c>
    </row>
    <row r="407" spans="1:16" ht="16.5" x14ac:dyDescent="0.25">
      <c r="A407" s="2"/>
      <c r="B407" s="4"/>
      <c r="C407" s="18"/>
      <c r="E407" s="20">
        <v>45463</v>
      </c>
      <c r="F407" s="17" t="s">
        <v>95</v>
      </c>
      <c r="G407" s="21">
        <v>6.8208000000000002</v>
      </c>
      <c r="H407" s="21">
        <v>11.5</v>
      </c>
      <c r="I407" s="25">
        <v>0.11408695652173902</v>
      </c>
      <c r="J407" s="21">
        <v>1.1500000000000001</v>
      </c>
      <c r="K407" s="21">
        <v>0.1792</v>
      </c>
      <c r="L407" s="21">
        <v>1.38</v>
      </c>
      <c r="M407" s="17" t="s">
        <v>121</v>
      </c>
      <c r="N407" s="17" t="s">
        <v>117</v>
      </c>
      <c r="O407" s="21">
        <v>0.57500000000000007</v>
      </c>
      <c r="P407" s="21">
        <v>1.6422000000000001</v>
      </c>
    </row>
    <row r="408" spans="1:16" ht="16.5" x14ac:dyDescent="0.25">
      <c r="A408" s="2"/>
      <c r="B408" s="4"/>
      <c r="C408" s="18"/>
      <c r="E408" s="20">
        <v>45463</v>
      </c>
      <c r="F408" s="17" t="s">
        <v>95</v>
      </c>
      <c r="G408" s="21">
        <v>6.8208000000000002</v>
      </c>
      <c r="H408" s="21">
        <v>11.2</v>
      </c>
      <c r="I408" s="25">
        <v>9.8199999999999857E-2</v>
      </c>
      <c r="J408" s="21">
        <v>1.1199999999999999</v>
      </c>
      <c r="K408" s="21">
        <v>0.1792</v>
      </c>
      <c r="L408" s="21">
        <v>1.3439999999999999</v>
      </c>
      <c r="M408" s="17" t="s">
        <v>120</v>
      </c>
      <c r="N408" s="17" t="s">
        <v>117</v>
      </c>
      <c r="O408" s="21">
        <v>0.55999999999999994</v>
      </c>
      <c r="P408" s="21">
        <v>1.5993600000000001</v>
      </c>
    </row>
    <row r="409" spans="1:16" ht="16.5" x14ac:dyDescent="0.25">
      <c r="A409" s="2"/>
      <c r="B409" s="4"/>
      <c r="C409" s="18"/>
      <c r="E409" s="20">
        <v>45463</v>
      </c>
      <c r="F409" s="17" t="s">
        <v>95</v>
      </c>
      <c r="G409" s="21">
        <v>6.8208000000000002</v>
      </c>
      <c r="H409" s="21">
        <v>11</v>
      </c>
      <c r="I409" s="25">
        <v>8.7127272727272706E-2</v>
      </c>
      <c r="J409" s="21">
        <v>1.1000000000000001</v>
      </c>
      <c r="K409" s="21">
        <v>0.1792</v>
      </c>
      <c r="L409" s="21">
        <v>1.3199999999999998</v>
      </c>
      <c r="M409" s="17" t="s">
        <v>113</v>
      </c>
      <c r="N409" s="17" t="s">
        <v>117</v>
      </c>
      <c r="O409" s="21">
        <v>0.55000000000000004</v>
      </c>
      <c r="P409" s="21">
        <v>1.5708000000000002</v>
      </c>
    </row>
    <row r="410" spans="1:16" ht="16.5" x14ac:dyDescent="0.25">
      <c r="A410" s="2"/>
      <c r="B410" s="4"/>
      <c r="C410" s="18"/>
      <c r="E410" s="20">
        <v>45463</v>
      </c>
      <c r="F410" s="17" t="s">
        <v>95</v>
      </c>
      <c r="G410" s="21">
        <v>7</v>
      </c>
      <c r="H410" s="21">
        <v>10.9</v>
      </c>
      <c r="I410" s="25">
        <v>0.15279816513761463</v>
      </c>
      <c r="J410" s="21">
        <v>1.0900000000000001</v>
      </c>
      <c r="K410" s="21">
        <v>0</v>
      </c>
      <c r="L410" s="21">
        <v>0.59950000000000003</v>
      </c>
      <c r="M410" s="17" t="s">
        <v>122</v>
      </c>
      <c r="N410" s="17" t="s">
        <v>116</v>
      </c>
      <c r="O410" s="21">
        <v>0.54500000000000004</v>
      </c>
      <c r="P410" s="21">
        <v>0.59950000000000003</v>
      </c>
    </row>
    <row r="411" spans="1:16" ht="16.5" x14ac:dyDescent="0.25">
      <c r="A411" s="2"/>
      <c r="B411" s="4"/>
      <c r="C411" s="18"/>
      <c r="E411" s="20">
        <v>45463</v>
      </c>
      <c r="F411" s="17" t="s">
        <v>95</v>
      </c>
      <c r="G411" s="21">
        <v>7</v>
      </c>
      <c r="H411" s="21">
        <v>10.5</v>
      </c>
      <c r="I411" s="25">
        <v>0.12833333333333327</v>
      </c>
      <c r="J411" s="21">
        <v>1.05</v>
      </c>
      <c r="K411" s="21">
        <v>0</v>
      </c>
      <c r="L411" s="21">
        <v>0.57750000000000001</v>
      </c>
      <c r="M411" s="17" t="s">
        <v>121</v>
      </c>
      <c r="N411" s="17" t="s">
        <v>116</v>
      </c>
      <c r="O411" s="21">
        <v>0.52500000000000002</v>
      </c>
      <c r="P411" s="21">
        <v>0.57750000000000001</v>
      </c>
    </row>
    <row r="412" spans="1:16" ht="16.5" x14ac:dyDescent="0.25">
      <c r="A412" s="2"/>
      <c r="B412" s="4"/>
      <c r="C412" s="18"/>
      <c r="E412" s="20">
        <v>45463</v>
      </c>
      <c r="F412" s="17" t="s">
        <v>95</v>
      </c>
      <c r="G412" s="21">
        <v>7</v>
      </c>
      <c r="H412" s="21">
        <v>10.3</v>
      </c>
      <c r="I412" s="25">
        <v>0.1153883495145632</v>
      </c>
      <c r="J412" s="21">
        <v>1.03</v>
      </c>
      <c r="K412" s="21">
        <v>0</v>
      </c>
      <c r="L412" s="21">
        <v>0.5665</v>
      </c>
      <c r="M412" s="17" t="s">
        <v>120</v>
      </c>
      <c r="N412" s="17" t="s">
        <v>116</v>
      </c>
      <c r="O412" s="21">
        <v>0.51500000000000001</v>
      </c>
      <c r="P412" s="21">
        <v>0.5665</v>
      </c>
    </row>
    <row r="413" spans="1:16" ht="16.5" x14ac:dyDescent="0.25">
      <c r="A413" s="2"/>
      <c r="B413" s="4"/>
      <c r="C413" s="18"/>
      <c r="E413" s="20">
        <v>45463</v>
      </c>
      <c r="F413" s="17" t="s">
        <v>95</v>
      </c>
      <c r="G413" s="21">
        <v>7</v>
      </c>
      <c r="H413" s="21">
        <v>10</v>
      </c>
      <c r="I413" s="25">
        <v>9.4999999999999932E-2</v>
      </c>
      <c r="J413" s="21">
        <v>1</v>
      </c>
      <c r="K413" s="21">
        <v>0</v>
      </c>
      <c r="L413" s="21">
        <v>0.55000000000000004</v>
      </c>
      <c r="M413" s="17" t="s">
        <v>113</v>
      </c>
      <c r="N413" s="17" t="s">
        <v>116</v>
      </c>
      <c r="O413" s="21">
        <v>0.5</v>
      </c>
      <c r="P413" s="21">
        <v>0.55000000000000004</v>
      </c>
    </row>
    <row r="414" spans="1:16" ht="16.5" x14ac:dyDescent="0.25">
      <c r="A414" s="2"/>
      <c r="B414" s="4"/>
      <c r="C414" s="18"/>
      <c r="E414" s="20">
        <v>45463</v>
      </c>
      <c r="F414" s="17" t="s">
        <v>95</v>
      </c>
      <c r="G414" s="21">
        <v>7</v>
      </c>
      <c r="H414" s="21">
        <v>10.3</v>
      </c>
      <c r="I414" s="25">
        <v>0.17038834951456314</v>
      </c>
      <c r="J414" s="21">
        <v>1.03</v>
      </c>
      <c r="K414" s="21">
        <v>0.1792</v>
      </c>
      <c r="L414" s="21">
        <v>0</v>
      </c>
      <c r="M414" s="17" t="s">
        <v>122</v>
      </c>
      <c r="N414" s="17" t="s">
        <v>115</v>
      </c>
      <c r="O414" s="21">
        <v>0.51500000000000001</v>
      </c>
      <c r="P414" s="21">
        <v>0</v>
      </c>
    </row>
    <row r="415" spans="1:16" ht="16.5" x14ac:dyDescent="0.25">
      <c r="A415" s="2"/>
      <c r="B415" s="4"/>
      <c r="C415" s="18"/>
      <c r="E415" s="20">
        <v>45463</v>
      </c>
      <c r="F415" s="17" t="s">
        <v>95</v>
      </c>
      <c r="G415" s="21">
        <v>7</v>
      </c>
      <c r="H415" s="21">
        <v>9.9</v>
      </c>
      <c r="I415" s="25">
        <v>0.14292929292929293</v>
      </c>
      <c r="J415" s="21">
        <v>0.9900000000000001</v>
      </c>
      <c r="K415" s="21">
        <v>0.1792</v>
      </c>
      <c r="L415" s="21">
        <v>0</v>
      </c>
      <c r="M415" s="17" t="s">
        <v>121</v>
      </c>
      <c r="N415" s="17" t="s">
        <v>115</v>
      </c>
      <c r="O415" s="21">
        <v>0.49500000000000005</v>
      </c>
      <c r="P415" s="21">
        <v>0</v>
      </c>
    </row>
    <row r="416" spans="1:16" ht="16.5" x14ac:dyDescent="0.25">
      <c r="A416" s="2"/>
      <c r="B416" s="4"/>
      <c r="C416" s="18"/>
      <c r="E416" s="20">
        <v>45463</v>
      </c>
      <c r="F416" s="17" t="s">
        <v>95</v>
      </c>
      <c r="G416" s="21">
        <v>7</v>
      </c>
      <c r="H416" s="21">
        <v>9.6999999999999993</v>
      </c>
      <c r="I416" s="25">
        <v>0.12835051546391749</v>
      </c>
      <c r="J416" s="21">
        <v>0.97</v>
      </c>
      <c r="K416" s="21">
        <v>0.1792</v>
      </c>
      <c r="L416" s="21">
        <v>0</v>
      </c>
      <c r="M416" s="17" t="s">
        <v>120</v>
      </c>
      <c r="N416" s="17" t="s">
        <v>115</v>
      </c>
      <c r="O416" s="21">
        <v>0.48499999999999999</v>
      </c>
      <c r="P416" s="21">
        <v>0</v>
      </c>
    </row>
    <row r="417" spans="1:16" ht="16.5" x14ac:dyDescent="0.25">
      <c r="A417" s="2"/>
      <c r="B417" s="4"/>
      <c r="C417" s="18"/>
      <c r="E417" s="20">
        <v>45463</v>
      </c>
      <c r="F417" s="17" t="s">
        <v>95</v>
      </c>
      <c r="G417" s="21">
        <v>7</v>
      </c>
      <c r="H417" s="21">
        <v>9.5</v>
      </c>
      <c r="I417" s="25">
        <v>0.11315789473684208</v>
      </c>
      <c r="J417" s="21">
        <v>0.95000000000000007</v>
      </c>
      <c r="K417" s="21">
        <v>0.1792</v>
      </c>
      <c r="L417" s="21">
        <v>0</v>
      </c>
      <c r="M417" s="17" t="s">
        <v>113</v>
      </c>
      <c r="N417" s="17" t="s">
        <v>115</v>
      </c>
      <c r="O417" s="21">
        <v>0.47500000000000003</v>
      </c>
      <c r="P417" s="21">
        <v>0</v>
      </c>
    </row>
    <row r="418" spans="1:16" ht="16.5" x14ac:dyDescent="0.25">
      <c r="A418" s="2"/>
      <c r="B418" s="4"/>
      <c r="C418" s="18"/>
      <c r="E418" s="20">
        <v>45460</v>
      </c>
      <c r="F418" s="17" t="s">
        <v>186</v>
      </c>
      <c r="G418" s="21">
        <v>9.0942483292629781</v>
      </c>
      <c r="H418" s="21">
        <v>18</v>
      </c>
      <c r="I418" s="25">
        <v>0.10546398170761226</v>
      </c>
      <c r="J418" s="21">
        <v>1.8</v>
      </c>
      <c r="K418" s="21">
        <v>0.58114583333333336</v>
      </c>
      <c r="L418" s="21">
        <v>3.2399999999999998</v>
      </c>
      <c r="M418" s="17" t="s">
        <v>122</v>
      </c>
      <c r="N418" s="17" t="s">
        <v>117</v>
      </c>
      <c r="O418" s="21">
        <v>0.9</v>
      </c>
      <c r="P418" s="21">
        <v>4.3074000000000003</v>
      </c>
    </row>
    <row r="419" spans="1:16" ht="16.5" x14ac:dyDescent="0.25">
      <c r="A419" s="2"/>
      <c r="B419" s="4"/>
      <c r="C419" s="18"/>
      <c r="E419" s="20">
        <v>45460</v>
      </c>
      <c r="F419" s="17" t="s">
        <v>186</v>
      </c>
      <c r="G419" s="21">
        <v>9.0942483292629781</v>
      </c>
      <c r="H419" s="21">
        <v>17.5</v>
      </c>
      <c r="I419" s="25">
        <v>9.1028666899258329E-2</v>
      </c>
      <c r="J419" s="21">
        <v>1.75</v>
      </c>
      <c r="K419" s="21">
        <v>0.58114583333333336</v>
      </c>
      <c r="L419" s="21">
        <v>3.15</v>
      </c>
      <c r="M419" s="17" t="s">
        <v>121</v>
      </c>
      <c r="N419" s="17" t="s">
        <v>117</v>
      </c>
      <c r="O419" s="21">
        <v>0.875</v>
      </c>
      <c r="P419" s="21">
        <v>4.1877500000000003</v>
      </c>
    </row>
    <row r="420" spans="1:16" ht="16.5" x14ac:dyDescent="0.25">
      <c r="A420" s="2"/>
      <c r="B420" s="4"/>
      <c r="C420" s="18"/>
      <c r="E420" s="20">
        <v>45460</v>
      </c>
      <c r="F420" s="17" t="s">
        <v>186</v>
      </c>
      <c r="G420" s="21">
        <v>9.0942483292629781</v>
      </c>
      <c r="H420" s="21">
        <v>17</v>
      </c>
      <c r="I420" s="25">
        <v>7.5744215925707084E-2</v>
      </c>
      <c r="J420" s="21">
        <v>1.7000000000000002</v>
      </c>
      <c r="K420" s="21">
        <v>0.58114583333333336</v>
      </c>
      <c r="L420" s="21">
        <v>3.06</v>
      </c>
      <c r="M420" s="17" t="s">
        <v>120</v>
      </c>
      <c r="N420" s="17" t="s">
        <v>117</v>
      </c>
      <c r="O420" s="21">
        <v>0.85000000000000009</v>
      </c>
      <c r="P420" s="21">
        <v>4.0681000000000003</v>
      </c>
    </row>
    <row r="421" spans="1:16" ht="16.5" x14ac:dyDescent="0.25">
      <c r="A421" s="2"/>
      <c r="B421" s="4"/>
      <c r="C421" s="18"/>
      <c r="E421" s="20">
        <v>45460</v>
      </c>
      <c r="F421" s="17" t="s">
        <v>186</v>
      </c>
      <c r="G421" s="21">
        <v>9.0942483292629781</v>
      </c>
      <c r="H421" s="21">
        <v>16.5</v>
      </c>
      <c r="I421" s="25">
        <v>5.9533434590122454E-2</v>
      </c>
      <c r="J421" s="21">
        <v>1.6500000000000001</v>
      </c>
      <c r="K421" s="21">
        <v>0.58114583333333336</v>
      </c>
      <c r="L421" s="21">
        <v>2.9699999999999998</v>
      </c>
      <c r="M421" s="17" t="s">
        <v>113</v>
      </c>
      <c r="N421" s="17" t="s">
        <v>117</v>
      </c>
      <c r="O421" s="21">
        <v>0.82500000000000007</v>
      </c>
      <c r="P421" s="21">
        <v>3.9484500000000002</v>
      </c>
    </row>
    <row r="422" spans="1:16" ht="16.5" x14ac:dyDescent="0.25">
      <c r="A422" s="2"/>
      <c r="B422" s="4"/>
      <c r="C422" s="18"/>
      <c r="E422" s="20">
        <v>45460</v>
      </c>
      <c r="F422" s="17" t="s">
        <v>185</v>
      </c>
      <c r="G422" s="21">
        <v>4.2227556089835003</v>
      </c>
      <c r="H422" s="21">
        <v>11</v>
      </c>
      <c r="I422" s="25">
        <v>0.22681312645604537</v>
      </c>
      <c r="J422" s="21">
        <v>1.1000000000000001</v>
      </c>
      <c r="K422" s="21">
        <v>0.44057291666666665</v>
      </c>
      <c r="L422" s="21">
        <v>1.98</v>
      </c>
      <c r="M422" s="17" t="s">
        <v>122</v>
      </c>
      <c r="N422" s="17" t="s">
        <v>117</v>
      </c>
      <c r="O422" s="21">
        <v>0.55000000000000004</v>
      </c>
      <c r="P422" s="21">
        <v>2.6323000000000003</v>
      </c>
    </row>
    <row r="423" spans="1:16" ht="16.5" x14ac:dyDescent="0.25">
      <c r="A423" s="2"/>
      <c r="B423" s="4"/>
      <c r="C423" s="18"/>
      <c r="E423" s="20">
        <v>45460</v>
      </c>
      <c r="F423" s="17" t="s">
        <v>185</v>
      </c>
      <c r="G423" s="21">
        <v>4.2227556089835003</v>
      </c>
      <c r="H423" s="21">
        <v>10.5</v>
      </c>
      <c r="I423" s="25">
        <v>0.20853279914442846</v>
      </c>
      <c r="J423" s="21">
        <v>1.05</v>
      </c>
      <c r="K423" s="21">
        <v>0.44057291666666665</v>
      </c>
      <c r="L423" s="21">
        <v>1.89</v>
      </c>
      <c r="M423" s="17" t="s">
        <v>121</v>
      </c>
      <c r="N423" s="17" t="s">
        <v>117</v>
      </c>
      <c r="O423" s="21">
        <v>0.52500000000000002</v>
      </c>
      <c r="P423" s="21">
        <v>2.5126500000000003</v>
      </c>
    </row>
    <row r="424" spans="1:16" ht="16.5" x14ac:dyDescent="0.25">
      <c r="A424" s="2"/>
      <c r="B424" s="4"/>
      <c r="C424" s="18"/>
      <c r="E424" s="20">
        <v>45460</v>
      </c>
      <c r="F424" s="17" t="s">
        <v>185</v>
      </c>
      <c r="G424" s="21">
        <v>4.2227556089835003</v>
      </c>
      <c r="H424" s="21">
        <v>10</v>
      </c>
      <c r="I424" s="25">
        <v>0.18842443910164991</v>
      </c>
      <c r="J424" s="21">
        <v>1</v>
      </c>
      <c r="K424" s="21">
        <v>0.44057291666666665</v>
      </c>
      <c r="L424" s="21">
        <v>1.7999999999999998</v>
      </c>
      <c r="M424" s="17" t="s">
        <v>120</v>
      </c>
      <c r="N424" s="17" t="s">
        <v>117</v>
      </c>
      <c r="O424" s="21">
        <v>0.5</v>
      </c>
      <c r="P424" s="21">
        <v>2.3930000000000002</v>
      </c>
    </row>
    <row r="425" spans="1:16" ht="16.5" x14ac:dyDescent="0.25">
      <c r="A425" s="2"/>
      <c r="B425" s="4"/>
      <c r="C425" s="18"/>
      <c r="E425" s="20">
        <v>45460</v>
      </c>
      <c r="F425" s="17" t="s">
        <v>185</v>
      </c>
      <c r="G425" s="21">
        <v>4.2227556089835003</v>
      </c>
      <c r="H425" s="21">
        <v>9.5</v>
      </c>
      <c r="I425" s="25">
        <v>0.16619940958068408</v>
      </c>
      <c r="J425" s="21">
        <v>0.95000000000000007</v>
      </c>
      <c r="K425" s="21">
        <v>0.44057291666666665</v>
      </c>
      <c r="L425" s="21">
        <v>1.71</v>
      </c>
      <c r="M425" s="17" t="s">
        <v>113</v>
      </c>
      <c r="N425" s="17" t="s">
        <v>117</v>
      </c>
      <c r="O425" s="21">
        <v>0.47500000000000003</v>
      </c>
      <c r="P425" s="21">
        <v>2.2733500000000002</v>
      </c>
    </row>
    <row r="426" spans="1:16" ht="16.5" x14ac:dyDescent="0.25">
      <c r="A426" s="2"/>
      <c r="B426" s="4"/>
      <c r="C426" s="18"/>
      <c r="E426" s="20">
        <v>45460</v>
      </c>
      <c r="F426" s="17" t="s">
        <v>184</v>
      </c>
      <c r="G426" s="21">
        <v>9.5442483292629774</v>
      </c>
      <c r="H426" s="21">
        <v>19</v>
      </c>
      <c r="I426" s="25">
        <v>0.10837114056510636</v>
      </c>
      <c r="J426" s="21">
        <v>1.9000000000000001</v>
      </c>
      <c r="K426" s="21">
        <v>0.88114583333333329</v>
      </c>
      <c r="L426" s="21">
        <v>3.42</v>
      </c>
      <c r="M426" s="17" t="s">
        <v>122</v>
      </c>
      <c r="N426" s="17" t="s">
        <v>117</v>
      </c>
      <c r="O426" s="21">
        <v>0.95000000000000007</v>
      </c>
      <c r="P426" s="21">
        <v>4.5467000000000004</v>
      </c>
    </row>
    <row r="427" spans="1:16" ht="16.5" x14ac:dyDescent="0.25">
      <c r="A427" s="2"/>
      <c r="B427" s="4"/>
      <c r="C427" s="18"/>
      <c r="E427" s="20">
        <v>45460</v>
      </c>
      <c r="F427" s="17" t="s">
        <v>184</v>
      </c>
      <c r="G427" s="21">
        <v>9.5442483292629774</v>
      </c>
      <c r="H427" s="21">
        <v>18.5</v>
      </c>
      <c r="I427" s="25">
        <v>9.4794684904703858E-2</v>
      </c>
      <c r="J427" s="21">
        <v>1.85</v>
      </c>
      <c r="K427" s="21">
        <v>0.88114583333333329</v>
      </c>
      <c r="L427" s="21">
        <v>3.33</v>
      </c>
      <c r="M427" s="17" t="s">
        <v>121</v>
      </c>
      <c r="N427" s="17" t="s">
        <v>117</v>
      </c>
      <c r="O427" s="21">
        <v>0.92500000000000004</v>
      </c>
      <c r="P427" s="21">
        <v>4.4270500000000004</v>
      </c>
    </row>
    <row r="428" spans="1:16" ht="16.5" x14ac:dyDescent="0.25">
      <c r="A428" s="2"/>
      <c r="B428" s="4"/>
      <c r="C428" s="18"/>
      <c r="E428" s="20">
        <v>45460</v>
      </c>
      <c r="F428" s="17" t="s">
        <v>184</v>
      </c>
      <c r="G428" s="21">
        <v>9.5442483292629774</v>
      </c>
      <c r="H428" s="21">
        <v>18</v>
      </c>
      <c r="I428" s="25">
        <v>8.0463981707612306E-2</v>
      </c>
      <c r="J428" s="21">
        <v>1.8</v>
      </c>
      <c r="K428" s="21">
        <v>0.88114583333333329</v>
      </c>
      <c r="L428" s="21">
        <v>3.2399999999999998</v>
      </c>
      <c r="M428" s="17" t="s">
        <v>120</v>
      </c>
      <c r="N428" s="17" t="s">
        <v>117</v>
      </c>
      <c r="O428" s="21">
        <v>0.9</v>
      </c>
      <c r="P428" s="21">
        <v>4.3074000000000003</v>
      </c>
    </row>
    <row r="429" spans="1:16" ht="16.5" x14ac:dyDescent="0.25">
      <c r="A429" s="2"/>
      <c r="B429" s="4"/>
      <c r="C429" s="18"/>
      <c r="E429" s="20">
        <v>45460</v>
      </c>
      <c r="F429" s="17" t="s">
        <v>184</v>
      </c>
      <c r="G429" s="21">
        <v>9.5442483292629774</v>
      </c>
      <c r="H429" s="21">
        <v>17.5</v>
      </c>
      <c r="I429" s="25">
        <v>6.5314381184972653E-2</v>
      </c>
      <c r="J429" s="21">
        <v>1.75</v>
      </c>
      <c r="K429" s="21">
        <v>0.88114583333333329</v>
      </c>
      <c r="L429" s="21">
        <v>3.15</v>
      </c>
      <c r="M429" s="17" t="s">
        <v>113</v>
      </c>
      <c r="N429" s="17" t="s">
        <v>117</v>
      </c>
      <c r="O429" s="21">
        <v>0.875</v>
      </c>
      <c r="P429" s="21">
        <v>4.1877500000000003</v>
      </c>
    </row>
    <row r="430" spans="1:16" ht="16.5" x14ac:dyDescent="0.25">
      <c r="A430" s="2"/>
      <c r="B430" s="4"/>
      <c r="C430" s="18"/>
      <c r="E430" s="20">
        <v>45460</v>
      </c>
      <c r="F430" s="17" t="s">
        <v>88</v>
      </c>
      <c r="G430" s="21">
        <v>8.1038316625963134</v>
      </c>
      <c r="H430" s="21">
        <v>16</v>
      </c>
      <c r="I430" s="25">
        <v>0.21421052108773045</v>
      </c>
      <c r="J430" s="21">
        <v>1.6</v>
      </c>
      <c r="K430" s="21">
        <v>0.46739583333333334</v>
      </c>
      <c r="L430" s="21">
        <v>1.1200000000000001</v>
      </c>
      <c r="M430" s="17" t="s">
        <v>122</v>
      </c>
      <c r="N430" s="17" t="s">
        <v>117</v>
      </c>
      <c r="O430" s="21">
        <v>0.8</v>
      </c>
      <c r="P430" s="21">
        <v>2.0688</v>
      </c>
    </row>
    <row r="431" spans="1:16" ht="16.5" x14ac:dyDescent="0.25">
      <c r="A431" s="2"/>
      <c r="B431" s="4"/>
      <c r="C431" s="18"/>
      <c r="E431" s="20">
        <v>45460</v>
      </c>
      <c r="F431" s="17" t="s">
        <v>88</v>
      </c>
      <c r="G431" s="21">
        <v>8.1038316625963134</v>
      </c>
      <c r="H431" s="21">
        <v>15.5</v>
      </c>
      <c r="I431" s="25">
        <v>0.19787215080023787</v>
      </c>
      <c r="J431" s="21">
        <v>1.55</v>
      </c>
      <c r="K431" s="21">
        <v>0.46739583333333334</v>
      </c>
      <c r="L431" s="21">
        <v>1.0850000000000002</v>
      </c>
      <c r="M431" s="17" t="s">
        <v>121</v>
      </c>
      <c r="N431" s="17" t="s">
        <v>117</v>
      </c>
      <c r="O431" s="21">
        <v>0.77500000000000002</v>
      </c>
      <c r="P431" s="21">
        <v>2.0041500000000001</v>
      </c>
    </row>
    <row r="432" spans="1:16" ht="16.5" x14ac:dyDescent="0.25">
      <c r="A432" s="2"/>
      <c r="B432" s="4"/>
      <c r="C432" s="18"/>
      <c r="E432" s="20">
        <v>45460</v>
      </c>
      <c r="F432" s="17" t="s">
        <v>88</v>
      </c>
      <c r="G432" s="21">
        <v>8.1038316625963134</v>
      </c>
      <c r="H432" s="21">
        <v>16.5</v>
      </c>
      <c r="I432" s="25">
        <v>0.22955868711537492</v>
      </c>
      <c r="J432" s="21">
        <v>1.6500000000000001</v>
      </c>
      <c r="K432" s="21">
        <v>0.46739583333333334</v>
      </c>
      <c r="L432" s="21">
        <v>1.155</v>
      </c>
      <c r="M432" s="17" t="s">
        <v>122</v>
      </c>
      <c r="N432" s="17" t="s">
        <v>117</v>
      </c>
      <c r="O432" s="21">
        <v>0.82500000000000007</v>
      </c>
      <c r="P432" s="21">
        <v>2.1334499999999998</v>
      </c>
    </row>
    <row r="433" spans="1:16" ht="16.5" x14ac:dyDescent="0.25">
      <c r="A433" s="2"/>
      <c r="B433" s="4"/>
      <c r="C433" s="18"/>
      <c r="E433" s="20">
        <v>45460</v>
      </c>
      <c r="F433" s="17" t="s">
        <v>88</v>
      </c>
      <c r="G433" s="21">
        <v>8.1038316625963134</v>
      </c>
      <c r="H433" s="21">
        <v>16</v>
      </c>
      <c r="I433" s="25">
        <v>0.21421052108773045</v>
      </c>
      <c r="J433" s="21">
        <v>1.6</v>
      </c>
      <c r="K433" s="21">
        <v>0.46739583333333334</v>
      </c>
      <c r="L433" s="21">
        <v>1.1200000000000001</v>
      </c>
      <c r="M433" s="17" t="s">
        <v>121</v>
      </c>
      <c r="N433" s="17" t="s">
        <v>117</v>
      </c>
      <c r="O433" s="21">
        <v>0.8</v>
      </c>
      <c r="P433" s="21">
        <v>2.0688</v>
      </c>
    </row>
    <row r="434" spans="1:16" ht="16.5" x14ac:dyDescent="0.25">
      <c r="A434" s="2"/>
      <c r="B434" s="4"/>
      <c r="C434" s="18"/>
      <c r="E434" s="20">
        <v>45460</v>
      </c>
      <c r="F434" s="17" t="s">
        <v>88</v>
      </c>
      <c r="G434" s="21">
        <v>8.1038316625963134</v>
      </c>
      <c r="H434" s="21">
        <v>15</v>
      </c>
      <c r="I434" s="25">
        <v>0.18044455582691241</v>
      </c>
      <c r="J434" s="21">
        <v>1.5</v>
      </c>
      <c r="K434" s="21">
        <v>0.46739583333333334</v>
      </c>
      <c r="L434" s="21">
        <v>1.05</v>
      </c>
      <c r="M434" s="17" t="s">
        <v>120</v>
      </c>
      <c r="N434" s="17" t="s">
        <v>117</v>
      </c>
      <c r="O434" s="21">
        <v>0.75</v>
      </c>
      <c r="P434" s="21">
        <v>1.9395</v>
      </c>
    </row>
    <row r="435" spans="1:16" ht="16.5" x14ac:dyDescent="0.25">
      <c r="A435" s="2"/>
      <c r="B435" s="4"/>
      <c r="C435" s="18"/>
      <c r="E435" s="20">
        <v>45460</v>
      </c>
      <c r="F435" s="17" t="s">
        <v>88</v>
      </c>
      <c r="G435" s="21">
        <v>8.1038316625963134</v>
      </c>
      <c r="H435" s="21">
        <v>14.5</v>
      </c>
      <c r="I435" s="25">
        <v>0.16181505775197835</v>
      </c>
      <c r="J435" s="21">
        <v>1.4500000000000002</v>
      </c>
      <c r="K435" s="21">
        <v>0.46739583333333334</v>
      </c>
      <c r="L435" s="21">
        <v>1.0150000000000001</v>
      </c>
      <c r="M435" s="17" t="s">
        <v>113</v>
      </c>
      <c r="N435" s="17" t="s">
        <v>117</v>
      </c>
      <c r="O435" s="21">
        <v>0.72500000000000009</v>
      </c>
      <c r="P435" s="21">
        <v>1.8748499999999999</v>
      </c>
    </row>
    <row r="436" spans="1:16" ht="16.5" x14ac:dyDescent="0.25">
      <c r="A436" s="2"/>
      <c r="B436" s="4"/>
      <c r="C436" s="18"/>
      <c r="E436" s="20">
        <v>45460</v>
      </c>
      <c r="F436" s="17" t="s">
        <v>88</v>
      </c>
      <c r="G436" s="21">
        <v>8.5712274959296462</v>
      </c>
      <c r="H436" s="21">
        <v>14</v>
      </c>
      <c r="I436" s="25">
        <v>0.23776946457645382</v>
      </c>
      <c r="J436" s="21">
        <v>1.4000000000000001</v>
      </c>
      <c r="K436" s="21">
        <v>0.46739583333333334</v>
      </c>
      <c r="L436" s="21">
        <v>0</v>
      </c>
      <c r="M436" s="17" t="s">
        <v>122</v>
      </c>
      <c r="N436" s="17" t="s">
        <v>115</v>
      </c>
      <c r="O436" s="21">
        <v>0.70000000000000007</v>
      </c>
      <c r="P436" s="21">
        <v>0</v>
      </c>
    </row>
    <row r="437" spans="1:16" ht="16.5" x14ac:dyDescent="0.25">
      <c r="A437" s="2"/>
      <c r="B437" s="4"/>
      <c r="C437" s="18"/>
      <c r="E437" s="20">
        <v>45460</v>
      </c>
      <c r="F437" s="17" t="s">
        <v>88</v>
      </c>
      <c r="G437" s="21">
        <v>8.5712274959296462</v>
      </c>
      <c r="H437" s="21">
        <v>13.5</v>
      </c>
      <c r="I437" s="25">
        <v>0.21509425956076697</v>
      </c>
      <c r="J437" s="21">
        <v>1.35</v>
      </c>
      <c r="K437" s="21">
        <v>0.46739583333333334</v>
      </c>
      <c r="L437" s="21">
        <v>0</v>
      </c>
      <c r="M437" s="17" t="s">
        <v>121</v>
      </c>
      <c r="N437" s="17" t="s">
        <v>115</v>
      </c>
      <c r="O437" s="21">
        <v>0.67500000000000004</v>
      </c>
      <c r="P437" s="21">
        <v>0</v>
      </c>
    </row>
    <row r="438" spans="1:16" ht="16.5" x14ac:dyDescent="0.25">
      <c r="A438" s="2"/>
      <c r="B438" s="4"/>
      <c r="C438" s="18"/>
      <c r="E438" s="20">
        <v>45460</v>
      </c>
      <c r="F438" s="17" t="s">
        <v>88</v>
      </c>
      <c r="G438" s="21">
        <v>8.5712274959296462</v>
      </c>
      <c r="H438" s="21">
        <v>13</v>
      </c>
      <c r="I438" s="25">
        <v>0.19067480800541181</v>
      </c>
      <c r="J438" s="21">
        <v>1.3</v>
      </c>
      <c r="K438" s="21">
        <v>0.46739583333333334</v>
      </c>
      <c r="L438" s="21">
        <v>0</v>
      </c>
      <c r="M438" s="17" t="s">
        <v>120</v>
      </c>
      <c r="N438" s="17" t="s">
        <v>115</v>
      </c>
      <c r="O438" s="21">
        <v>0.65</v>
      </c>
      <c r="P438" s="21">
        <v>0</v>
      </c>
    </row>
    <row r="439" spans="1:16" ht="16.5" x14ac:dyDescent="0.25">
      <c r="A439" s="2"/>
      <c r="B439" s="4"/>
      <c r="C439" s="18"/>
      <c r="E439" s="20">
        <v>45460</v>
      </c>
      <c r="F439" s="17" t="s">
        <v>88</v>
      </c>
      <c r="G439" s="21">
        <v>8.5712274959296462</v>
      </c>
      <c r="H439" s="21">
        <v>12.5</v>
      </c>
      <c r="I439" s="25">
        <v>0.1643018003256283</v>
      </c>
      <c r="J439" s="21">
        <v>1.25</v>
      </c>
      <c r="K439" s="21">
        <v>0.46739583333333334</v>
      </c>
      <c r="L439" s="21">
        <v>0</v>
      </c>
      <c r="M439" s="17" t="s">
        <v>113</v>
      </c>
      <c r="N439" s="17" t="s">
        <v>115</v>
      </c>
      <c r="O439" s="21">
        <v>0.625</v>
      </c>
      <c r="P439" s="21">
        <v>0</v>
      </c>
    </row>
    <row r="440" spans="1:16" ht="16.5" x14ac:dyDescent="0.25">
      <c r="A440" s="2"/>
      <c r="B440" s="4"/>
      <c r="C440" s="18"/>
      <c r="E440" s="20">
        <v>45460</v>
      </c>
      <c r="F440" s="17" t="s">
        <v>88</v>
      </c>
      <c r="G440" s="21">
        <v>8.5712274959296462</v>
      </c>
      <c r="H440" s="21">
        <v>12.5</v>
      </c>
      <c r="I440" s="25">
        <v>0.1643018003256283</v>
      </c>
      <c r="J440" s="21">
        <v>1.25</v>
      </c>
      <c r="K440" s="21">
        <v>0.46739583333333334</v>
      </c>
      <c r="L440" s="21">
        <v>0</v>
      </c>
      <c r="M440" s="17" t="s">
        <v>120</v>
      </c>
      <c r="N440" s="17" t="s">
        <v>115</v>
      </c>
      <c r="O440" s="21">
        <v>0.625</v>
      </c>
      <c r="P440" s="21">
        <v>0</v>
      </c>
    </row>
    <row r="441" spans="1:16" ht="16.5" x14ac:dyDescent="0.25">
      <c r="A441" s="2"/>
      <c r="B441" s="4"/>
      <c r="C441" s="18"/>
      <c r="E441" s="20">
        <v>45460</v>
      </c>
      <c r="F441" s="17" t="s">
        <v>87</v>
      </c>
      <c r="G441" s="21">
        <v>3.9120472756501679</v>
      </c>
      <c r="H441" s="21">
        <v>10</v>
      </c>
      <c r="I441" s="25">
        <v>0.32949527243498328</v>
      </c>
      <c r="J441" s="21">
        <v>1</v>
      </c>
      <c r="K441" s="21">
        <v>0.42419791666666667</v>
      </c>
      <c r="L441" s="21">
        <v>0.70000000000000007</v>
      </c>
      <c r="M441" s="17" t="s">
        <v>122</v>
      </c>
      <c r="N441" s="17" t="s">
        <v>117</v>
      </c>
      <c r="O441" s="21">
        <v>0.5</v>
      </c>
      <c r="P441" s="21">
        <v>1.2929999999999999</v>
      </c>
    </row>
    <row r="442" spans="1:16" ht="16.5" x14ac:dyDescent="0.25">
      <c r="A442" s="2"/>
      <c r="B442" s="4"/>
      <c r="C442" s="18"/>
      <c r="E442" s="20">
        <v>45460</v>
      </c>
      <c r="F442" s="17" t="s">
        <v>87</v>
      </c>
      <c r="G442" s="21">
        <v>3.9120472756501679</v>
      </c>
      <c r="H442" s="21">
        <v>9.5</v>
      </c>
      <c r="I442" s="25">
        <v>0.30890554993156116</v>
      </c>
      <c r="J442" s="21">
        <v>0.95000000000000007</v>
      </c>
      <c r="K442" s="21">
        <v>0.42419791666666667</v>
      </c>
      <c r="L442" s="21">
        <v>0.66500000000000004</v>
      </c>
      <c r="M442" s="17" t="s">
        <v>121</v>
      </c>
      <c r="N442" s="17" t="s">
        <v>117</v>
      </c>
      <c r="O442" s="21">
        <v>0.47500000000000003</v>
      </c>
      <c r="P442" s="21">
        <v>1.2283500000000001</v>
      </c>
    </row>
    <row r="443" spans="1:16" ht="16.5" x14ac:dyDescent="0.25">
      <c r="A443" s="2"/>
      <c r="B443" s="4"/>
      <c r="C443" s="18"/>
      <c r="E443" s="20">
        <v>45460</v>
      </c>
      <c r="F443" s="17" t="s">
        <v>87</v>
      </c>
      <c r="G443" s="21">
        <v>3.9120472756501679</v>
      </c>
      <c r="H443" s="21">
        <v>9</v>
      </c>
      <c r="I443" s="25">
        <v>0.28602808048331463</v>
      </c>
      <c r="J443" s="21">
        <v>0.9</v>
      </c>
      <c r="K443" s="21">
        <v>0.42419791666666667</v>
      </c>
      <c r="L443" s="21">
        <v>0.63000000000000012</v>
      </c>
      <c r="M443" s="17" t="s">
        <v>120</v>
      </c>
      <c r="N443" s="17" t="s">
        <v>117</v>
      </c>
      <c r="O443" s="21">
        <v>0.45</v>
      </c>
      <c r="P443" s="21">
        <v>1.1637</v>
      </c>
    </row>
    <row r="444" spans="1:16" ht="16.5" x14ac:dyDescent="0.25">
      <c r="A444" s="2"/>
      <c r="B444" s="4"/>
      <c r="C444" s="18"/>
      <c r="E444" s="20">
        <v>45460</v>
      </c>
      <c r="F444" s="17" t="s">
        <v>87</v>
      </c>
      <c r="G444" s="21">
        <v>3.9120472756501679</v>
      </c>
      <c r="H444" s="21">
        <v>8.5</v>
      </c>
      <c r="I444" s="25">
        <v>0.26045914404115672</v>
      </c>
      <c r="J444" s="21">
        <v>0.85000000000000009</v>
      </c>
      <c r="K444" s="21">
        <v>0.42419791666666667</v>
      </c>
      <c r="L444" s="21">
        <v>0.59500000000000008</v>
      </c>
      <c r="M444" s="17" t="s">
        <v>113</v>
      </c>
      <c r="N444" s="17" t="s">
        <v>117</v>
      </c>
      <c r="O444" s="21">
        <v>0.42500000000000004</v>
      </c>
      <c r="P444" s="21">
        <v>1.0990500000000001</v>
      </c>
    </row>
    <row r="445" spans="1:16" ht="16.5" x14ac:dyDescent="0.25">
      <c r="A445" s="2"/>
      <c r="B445" s="4"/>
      <c r="C445" s="18"/>
      <c r="E445" s="20">
        <v>45460</v>
      </c>
      <c r="F445" s="17" t="s">
        <v>87</v>
      </c>
      <c r="G445" s="21">
        <v>4.3362451923168344</v>
      </c>
      <c r="H445" s="21">
        <v>9</v>
      </c>
      <c r="I445" s="25">
        <v>0.36819497863146283</v>
      </c>
      <c r="J445" s="21">
        <v>0.9</v>
      </c>
      <c r="K445" s="21">
        <v>0.42419791666666667</v>
      </c>
      <c r="L445" s="21">
        <v>0</v>
      </c>
      <c r="M445" s="17" t="s">
        <v>122</v>
      </c>
      <c r="N445" s="17" t="s">
        <v>115</v>
      </c>
      <c r="O445" s="21">
        <v>0.45</v>
      </c>
      <c r="P445" s="21">
        <v>0</v>
      </c>
    </row>
    <row r="446" spans="1:16" ht="16.5" x14ac:dyDescent="0.25">
      <c r="A446" s="2"/>
      <c r="B446" s="4"/>
      <c r="C446" s="18"/>
      <c r="E446" s="20">
        <v>45460</v>
      </c>
      <c r="F446" s="17" t="s">
        <v>87</v>
      </c>
      <c r="G446" s="21">
        <v>4.3362451923168344</v>
      </c>
      <c r="H446" s="21">
        <v>8.5</v>
      </c>
      <c r="I446" s="25">
        <v>0.33985350678625481</v>
      </c>
      <c r="J446" s="21">
        <v>0.85000000000000009</v>
      </c>
      <c r="K446" s="21">
        <v>0.42419791666666667</v>
      </c>
      <c r="L446" s="21">
        <v>0</v>
      </c>
      <c r="M446" s="17" t="s">
        <v>121</v>
      </c>
      <c r="N446" s="17" t="s">
        <v>115</v>
      </c>
      <c r="O446" s="21">
        <v>0.42500000000000004</v>
      </c>
      <c r="P446" s="21">
        <v>0</v>
      </c>
    </row>
    <row r="447" spans="1:16" ht="16.5" x14ac:dyDescent="0.25">
      <c r="A447" s="2"/>
      <c r="B447" s="4"/>
      <c r="C447" s="18"/>
      <c r="E447" s="20">
        <v>45460</v>
      </c>
      <c r="F447" s="17" t="s">
        <v>87</v>
      </c>
      <c r="G447" s="21">
        <v>4.3362451923168344</v>
      </c>
      <c r="H447" s="21">
        <v>8</v>
      </c>
      <c r="I447" s="25">
        <v>0.30796935096039568</v>
      </c>
      <c r="J447" s="21">
        <v>0.8</v>
      </c>
      <c r="K447" s="21">
        <v>0.42419791666666667</v>
      </c>
      <c r="L447" s="21">
        <v>0</v>
      </c>
      <c r="M447" s="17" t="s">
        <v>120</v>
      </c>
      <c r="N447" s="17" t="s">
        <v>115</v>
      </c>
      <c r="O447" s="21">
        <v>0.4</v>
      </c>
      <c r="P447" s="21">
        <v>0</v>
      </c>
    </row>
    <row r="448" spans="1:16" ht="16.5" x14ac:dyDescent="0.25">
      <c r="A448" s="2"/>
      <c r="B448" s="4"/>
      <c r="C448" s="18"/>
      <c r="E448" s="20">
        <v>45460</v>
      </c>
      <c r="F448" s="17" t="s">
        <v>87</v>
      </c>
      <c r="G448" s="21">
        <v>4.3362451923168344</v>
      </c>
      <c r="H448" s="21">
        <v>7.5</v>
      </c>
      <c r="I448" s="25">
        <v>0.27183397435775541</v>
      </c>
      <c r="J448" s="21">
        <v>0.75</v>
      </c>
      <c r="K448" s="21">
        <v>0.42419791666666667</v>
      </c>
      <c r="L448" s="21">
        <v>0</v>
      </c>
      <c r="M448" s="17" t="s">
        <v>113</v>
      </c>
      <c r="N448" s="17" t="s">
        <v>115</v>
      </c>
      <c r="O448" s="21">
        <v>0.375</v>
      </c>
      <c r="P448" s="21">
        <v>0</v>
      </c>
    </row>
    <row r="449" spans="1:16" ht="16.5" x14ac:dyDescent="0.25">
      <c r="A449" s="2"/>
      <c r="B449" s="4"/>
      <c r="C449" s="18"/>
      <c r="E449" s="20">
        <v>45460</v>
      </c>
      <c r="F449" s="17" t="s">
        <v>86</v>
      </c>
      <c r="G449" s="21">
        <v>8.9228316625963124</v>
      </c>
      <c r="H449" s="21">
        <v>17</v>
      </c>
      <c r="I449" s="25">
        <v>0.19582754925904045</v>
      </c>
      <c r="J449" s="21">
        <v>1.7000000000000002</v>
      </c>
      <c r="K449" s="21">
        <v>0.84839583333333335</v>
      </c>
      <c r="L449" s="21">
        <v>1.1900000000000002</v>
      </c>
      <c r="M449" s="17" t="s">
        <v>122</v>
      </c>
      <c r="N449" s="17" t="s">
        <v>117</v>
      </c>
      <c r="O449" s="21">
        <v>0.85000000000000009</v>
      </c>
      <c r="P449" s="21">
        <v>2.1981000000000002</v>
      </c>
    </row>
    <row r="450" spans="1:16" ht="16.5" x14ac:dyDescent="0.25">
      <c r="A450" s="2"/>
      <c r="B450" s="4"/>
      <c r="C450" s="18"/>
      <c r="E450" s="20">
        <v>45460</v>
      </c>
      <c r="F450" s="17" t="s">
        <v>86</v>
      </c>
      <c r="G450" s="21">
        <v>8.9228316625963124</v>
      </c>
      <c r="H450" s="21">
        <v>16.5</v>
      </c>
      <c r="I450" s="25">
        <v>0.17992232347901135</v>
      </c>
      <c r="J450" s="21">
        <v>1.6500000000000001</v>
      </c>
      <c r="K450" s="21">
        <v>0.84839583333333335</v>
      </c>
      <c r="L450" s="21">
        <v>1.155</v>
      </c>
      <c r="M450" s="17" t="s">
        <v>121</v>
      </c>
      <c r="N450" s="17" t="s">
        <v>117</v>
      </c>
      <c r="O450" s="21">
        <v>0.82500000000000007</v>
      </c>
      <c r="P450" s="21">
        <v>2.1334499999999998</v>
      </c>
    </row>
    <row r="451" spans="1:16" ht="16.5" x14ac:dyDescent="0.25">
      <c r="A451" s="2"/>
      <c r="B451" s="4"/>
      <c r="C451" s="18"/>
      <c r="E451" s="20">
        <v>45460</v>
      </c>
      <c r="F451" s="17" t="s">
        <v>86</v>
      </c>
      <c r="G451" s="21">
        <v>8.9228316625963124</v>
      </c>
      <c r="H451" s="21">
        <v>16</v>
      </c>
      <c r="I451" s="25">
        <v>0.16302302108773051</v>
      </c>
      <c r="J451" s="21">
        <v>1.6</v>
      </c>
      <c r="K451" s="21">
        <v>0.84839583333333335</v>
      </c>
      <c r="L451" s="21">
        <v>1.1200000000000001</v>
      </c>
      <c r="M451" s="17" t="s">
        <v>120</v>
      </c>
      <c r="N451" s="17" t="s">
        <v>117</v>
      </c>
      <c r="O451" s="21">
        <v>0.8</v>
      </c>
      <c r="P451" s="21">
        <v>2.0688</v>
      </c>
    </row>
    <row r="452" spans="1:16" ht="16.5" x14ac:dyDescent="0.25">
      <c r="A452" s="2"/>
      <c r="B452" s="4"/>
      <c r="C452" s="18"/>
      <c r="E452" s="20">
        <v>45460</v>
      </c>
      <c r="F452" s="17" t="s">
        <v>86</v>
      </c>
      <c r="G452" s="21">
        <v>8.9228316625963124</v>
      </c>
      <c r="H452" s="21">
        <v>15.5</v>
      </c>
      <c r="I452" s="25">
        <v>0.1450334411228186</v>
      </c>
      <c r="J452" s="21">
        <v>1.55</v>
      </c>
      <c r="K452" s="21">
        <v>0.84839583333333335</v>
      </c>
      <c r="L452" s="21">
        <v>1.0850000000000002</v>
      </c>
      <c r="M452" s="17" t="s">
        <v>113</v>
      </c>
      <c r="N452" s="17" t="s">
        <v>117</v>
      </c>
      <c r="O452" s="21">
        <v>0.77500000000000002</v>
      </c>
      <c r="P452" s="21">
        <v>2.0041500000000001</v>
      </c>
    </row>
    <row r="453" spans="1:16" ht="16.5" x14ac:dyDescent="0.25">
      <c r="A453" s="2"/>
      <c r="B453" s="4"/>
      <c r="C453" s="18"/>
      <c r="E453" s="20">
        <v>45460</v>
      </c>
      <c r="F453" s="17" t="s">
        <v>86</v>
      </c>
      <c r="G453" s="21">
        <v>9.7712274959296455</v>
      </c>
      <c r="H453" s="21">
        <v>15</v>
      </c>
      <c r="I453" s="25">
        <v>0.19858483360469031</v>
      </c>
      <c r="J453" s="21">
        <v>1.5</v>
      </c>
      <c r="K453" s="21">
        <v>0.84839583333333335</v>
      </c>
      <c r="L453" s="21">
        <v>0</v>
      </c>
      <c r="M453" s="17" t="s">
        <v>122</v>
      </c>
      <c r="N453" s="17" t="s">
        <v>115</v>
      </c>
      <c r="O453" s="21">
        <v>0.75</v>
      </c>
      <c r="P453" s="21">
        <v>0</v>
      </c>
    </row>
    <row r="454" spans="1:16" ht="16.5" x14ac:dyDescent="0.25">
      <c r="A454" s="2"/>
      <c r="B454" s="4"/>
      <c r="C454" s="18"/>
      <c r="E454" s="20">
        <v>45460</v>
      </c>
      <c r="F454" s="17" t="s">
        <v>86</v>
      </c>
      <c r="G454" s="21">
        <v>9.7712274959296455</v>
      </c>
      <c r="H454" s="21">
        <v>14.5</v>
      </c>
      <c r="I454" s="25">
        <v>0.17612224166002446</v>
      </c>
      <c r="J454" s="21">
        <v>1.4500000000000002</v>
      </c>
      <c r="K454" s="21">
        <v>0.84839583333333335</v>
      </c>
      <c r="L454" s="21">
        <v>0</v>
      </c>
      <c r="M454" s="17" t="s">
        <v>121</v>
      </c>
      <c r="N454" s="17" t="s">
        <v>115</v>
      </c>
      <c r="O454" s="21">
        <v>0.72500000000000009</v>
      </c>
      <c r="P454" s="21">
        <v>0</v>
      </c>
    </row>
    <row r="455" spans="1:16" ht="16.5" x14ac:dyDescent="0.25">
      <c r="A455" s="2"/>
      <c r="B455" s="4"/>
      <c r="C455" s="18"/>
      <c r="E455" s="20">
        <v>45460</v>
      </c>
      <c r="F455" s="17" t="s">
        <v>86</v>
      </c>
      <c r="G455" s="21">
        <v>9.7712274959296455</v>
      </c>
      <c r="H455" s="21">
        <v>14</v>
      </c>
      <c r="I455" s="25">
        <v>0.15205517886216816</v>
      </c>
      <c r="J455" s="21">
        <v>1.4000000000000001</v>
      </c>
      <c r="K455" s="21">
        <v>0.84839583333333335</v>
      </c>
      <c r="L455" s="21">
        <v>0</v>
      </c>
      <c r="M455" s="17" t="s">
        <v>120</v>
      </c>
      <c r="N455" s="17" t="s">
        <v>115</v>
      </c>
      <c r="O455" s="21">
        <v>0.70000000000000007</v>
      </c>
      <c r="P455" s="21">
        <v>0</v>
      </c>
    </row>
    <row r="456" spans="1:16" ht="16.5" x14ac:dyDescent="0.25">
      <c r="A456" s="2"/>
      <c r="B456" s="4"/>
      <c r="C456" s="18"/>
      <c r="E456" s="20">
        <v>45460</v>
      </c>
      <c r="F456" s="17" t="s">
        <v>86</v>
      </c>
      <c r="G456" s="21">
        <v>9.7712274959296455</v>
      </c>
      <c r="H456" s="21">
        <v>13.5</v>
      </c>
      <c r="I456" s="25">
        <v>0.12620537067187812</v>
      </c>
      <c r="J456" s="21">
        <v>1.35</v>
      </c>
      <c r="K456" s="21">
        <v>0.84839583333333335</v>
      </c>
      <c r="L456" s="21">
        <v>0</v>
      </c>
      <c r="M456" s="17" t="s">
        <v>113</v>
      </c>
      <c r="N456" s="17" t="s">
        <v>115</v>
      </c>
      <c r="O456" s="21">
        <v>0.67500000000000004</v>
      </c>
      <c r="P456" s="21">
        <v>0</v>
      </c>
    </row>
    <row r="457" spans="1:16" ht="16.5" x14ac:dyDescent="0.25">
      <c r="A457" s="2"/>
      <c r="B457" s="4"/>
      <c r="C457" s="18"/>
      <c r="E457" s="20">
        <v>45460</v>
      </c>
      <c r="F457" s="17" t="s">
        <v>203</v>
      </c>
      <c r="G457" s="21">
        <v>12.667199999999999</v>
      </c>
      <c r="H457" s="21">
        <v>22</v>
      </c>
      <c r="I457" s="25">
        <v>0.13141818181818185</v>
      </c>
      <c r="J457" s="21">
        <v>2.2000000000000002</v>
      </c>
      <c r="K457" s="21">
        <v>0.33280000000000004</v>
      </c>
      <c r="L457" s="21">
        <v>2.6399999999999997</v>
      </c>
      <c r="M457" s="17" t="s">
        <v>122</v>
      </c>
      <c r="N457" s="17" t="s">
        <v>117</v>
      </c>
      <c r="O457" s="21">
        <v>1.1000000000000001</v>
      </c>
      <c r="P457" s="21">
        <v>3.1416000000000004</v>
      </c>
    </row>
    <row r="458" spans="1:16" ht="16.5" x14ac:dyDescent="0.25">
      <c r="A458" s="2"/>
      <c r="B458" s="4"/>
      <c r="C458" s="18"/>
      <c r="E458" s="20">
        <v>45460</v>
      </c>
      <c r="F458" s="17" t="s">
        <v>203</v>
      </c>
      <c r="G458" s="21">
        <v>12.667199999999999</v>
      </c>
      <c r="H458" s="21">
        <v>21.5</v>
      </c>
      <c r="I458" s="25">
        <v>0.11802790697674422</v>
      </c>
      <c r="J458" s="21">
        <v>2.15</v>
      </c>
      <c r="K458" s="21">
        <v>0.33280000000000004</v>
      </c>
      <c r="L458" s="21">
        <v>2.58</v>
      </c>
      <c r="M458" s="17" t="s">
        <v>121</v>
      </c>
      <c r="N458" s="17" t="s">
        <v>117</v>
      </c>
      <c r="O458" s="21">
        <v>1.075</v>
      </c>
      <c r="P458" s="21">
        <v>3.0702000000000003</v>
      </c>
    </row>
    <row r="459" spans="1:16" ht="16.5" x14ac:dyDescent="0.25">
      <c r="A459" s="2"/>
      <c r="B459" s="4"/>
      <c r="C459" s="18"/>
      <c r="E459" s="20">
        <v>45460</v>
      </c>
      <c r="F459" s="17" t="s">
        <v>203</v>
      </c>
      <c r="G459" s="21">
        <v>12.667199999999999</v>
      </c>
      <c r="H459" s="21">
        <v>21</v>
      </c>
      <c r="I459" s="25">
        <v>0.10400000000000006</v>
      </c>
      <c r="J459" s="21">
        <v>2.1</v>
      </c>
      <c r="K459" s="21">
        <v>0.33280000000000004</v>
      </c>
      <c r="L459" s="21">
        <v>2.52</v>
      </c>
      <c r="M459" s="17" t="s">
        <v>120</v>
      </c>
      <c r="N459" s="17" t="s">
        <v>117</v>
      </c>
      <c r="O459" s="21">
        <v>1.05</v>
      </c>
      <c r="P459" s="21">
        <v>2.9988000000000001</v>
      </c>
    </row>
    <row r="460" spans="1:16" ht="16.5" x14ac:dyDescent="0.25">
      <c r="A460" s="2"/>
      <c r="B460" s="4"/>
      <c r="C460" s="18"/>
      <c r="E460" s="20">
        <v>45460</v>
      </c>
      <c r="F460" s="17" t="s">
        <v>203</v>
      </c>
      <c r="G460" s="21">
        <v>12.667199999999999</v>
      </c>
      <c r="H460" s="21">
        <v>20.5</v>
      </c>
      <c r="I460" s="25">
        <v>8.928780487804884E-2</v>
      </c>
      <c r="J460" s="21">
        <v>2.0500000000000003</v>
      </c>
      <c r="K460" s="21">
        <v>0.33280000000000004</v>
      </c>
      <c r="L460" s="21">
        <v>2.46</v>
      </c>
      <c r="M460" s="17" t="s">
        <v>113</v>
      </c>
      <c r="N460" s="17" t="s">
        <v>117</v>
      </c>
      <c r="O460" s="21">
        <v>1.0250000000000001</v>
      </c>
      <c r="P460" s="21">
        <v>2.9274</v>
      </c>
    </row>
    <row r="461" spans="1:16" ht="16.5" x14ac:dyDescent="0.25">
      <c r="A461" s="2"/>
      <c r="B461" s="4"/>
      <c r="C461" s="18"/>
      <c r="E461" s="20">
        <v>45460</v>
      </c>
      <c r="F461" s="17" t="s">
        <v>203</v>
      </c>
      <c r="G461" s="21">
        <v>13</v>
      </c>
      <c r="H461" s="21">
        <v>20</v>
      </c>
      <c r="I461" s="25">
        <v>0.14499999999999993</v>
      </c>
      <c r="J461" s="21">
        <v>2</v>
      </c>
      <c r="K461" s="21">
        <v>0</v>
      </c>
      <c r="L461" s="21">
        <v>1.1000000000000001</v>
      </c>
      <c r="M461" s="17" t="s">
        <v>122</v>
      </c>
      <c r="N461" s="17" t="s">
        <v>116</v>
      </c>
      <c r="O461" s="21">
        <v>1</v>
      </c>
      <c r="P461" s="21">
        <v>1.1000000000000001</v>
      </c>
    </row>
    <row r="462" spans="1:16" ht="16.5" x14ac:dyDescent="0.25">
      <c r="A462" s="2"/>
      <c r="B462" s="4"/>
      <c r="C462" s="18"/>
      <c r="E462" s="20">
        <v>45460</v>
      </c>
      <c r="F462" s="17" t="s">
        <v>203</v>
      </c>
      <c r="G462" s="21">
        <v>13</v>
      </c>
      <c r="H462" s="21">
        <v>19.5</v>
      </c>
      <c r="I462" s="25">
        <v>0.12833333333333327</v>
      </c>
      <c r="J462" s="21">
        <v>1.9500000000000002</v>
      </c>
      <c r="K462" s="21">
        <v>0</v>
      </c>
      <c r="L462" s="21">
        <v>1.0725</v>
      </c>
      <c r="M462" s="17" t="s">
        <v>121</v>
      </c>
      <c r="N462" s="17" t="s">
        <v>116</v>
      </c>
      <c r="O462" s="21">
        <v>0.97500000000000009</v>
      </c>
      <c r="P462" s="21">
        <v>1.0725</v>
      </c>
    </row>
    <row r="463" spans="1:16" ht="16.5" x14ac:dyDescent="0.25">
      <c r="A463" s="2"/>
      <c r="B463" s="4"/>
      <c r="C463" s="18"/>
      <c r="E463" s="20">
        <v>45460</v>
      </c>
      <c r="F463" s="17" t="s">
        <v>203</v>
      </c>
      <c r="G463" s="21">
        <v>13</v>
      </c>
      <c r="H463" s="21">
        <v>19</v>
      </c>
      <c r="I463" s="25">
        <v>0.11078947368421041</v>
      </c>
      <c r="J463" s="21">
        <v>1.9000000000000001</v>
      </c>
      <c r="K463" s="21">
        <v>0</v>
      </c>
      <c r="L463" s="21">
        <v>1.0449999999999999</v>
      </c>
      <c r="M463" s="17" t="s">
        <v>120</v>
      </c>
      <c r="N463" s="17" t="s">
        <v>116</v>
      </c>
      <c r="O463" s="21">
        <v>0.95000000000000007</v>
      </c>
      <c r="P463" s="21">
        <v>1.0449999999999999</v>
      </c>
    </row>
    <row r="464" spans="1:16" ht="16.5" x14ac:dyDescent="0.25">
      <c r="A464" s="2"/>
      <c r="B464" s="4"/>
      <c r="C464" s="18"/>
      <c r="E464" s="20">
        <v>45460</v>
      </c>
      <c r="F464" s="17" t="s">
        <v>203</v>
      </c>
      <c r="G464" s="21">
        <v>13</v>
      </c>
      <c r="H464" s="21">
        <v>18.5</v>
      </c>
      <c r="I464" s="25">
        <v>9.2297297297297395E-2</v>
      </c>
      <c r="J464" s="21">
        <v>1.85</v>
      </c>
      <c r="K464" s="21">
        <v>0</v>
      </c>
      <c r="L464" s="21">
        <v>1.0175000000000001</v>
      </c>
      <c r="M464" s="17" t="s">
        <v>113</v>
      </c>
      <c r="N464" s="17" t="s">
        <v>116</v>
      </c>
      <c r="O464" s="21">
        <v>0.92500000000000004</v>
      </c>
      <c r="P464" s="21">
        <v>1.0175000000000001</v>
      </c>
    </row>
    <row r="465" spans="1:16" ht="16.5" x14ac:dyDescent="0.25">
      <c r="A465" s="2"/>
      <c r="B465" s="4"/>
      <c r="C465" s="18"/>
      <c r="E465" s="20">
        <v>45460</v>
      </c>
      <c r="F465" s="17" t="s">
        <v>203</v>
      </c>
      <c r="G465" s="21">
        <v>13</v>
      </c>
      <c r="H465" s="21">
        <v>18.5</v>
      </c>
      <c r="I465" s="25">
        <v>9.2297297297297395E-2</v>
      </c>
      <c r="J465" s="21">
        <v>1.85</v>
      </c>
      <c r="K465" s="21">
        <v>0</v>
      </c>
      <c r="L465" s="21">
        <v>1.0175000000000001</v>
      </c>
      <c r="M465" s="17" t="s">
        <v>113</v>
      </c>
      <c r="N465" s="17" t="s">
        <v>116</v>
      </c>
      <c r="O465" s="21">
        <v>0.92500000000000004</v>
      </c>
      <c r="P465" s="21">
        <v>1.0175000000000001</v>
      </c>
    </row>
    <row r="466" spans="1:16" ht="16.5" x14ac:dyDescent="0.25">
      <c r="A466" s="2"/>
      <c r="B466" s="4"/>
      <c r="C466" s="18"/>
      <c r="E466" s="20">
        <v>45460</v>
      </c>
      <c r="F466" s="17" t="s">
        <v>203</v>
      </c>
      <c r="G466" s="21">
        <v>13</v>
      </c>
      <c r="H466" s="21">
        <v>19</v>
      </c>
      <c r="I466" s="25">
        <v>0.16578947368421049</v>
      </c>
      <c r="J466" s="21">
        <v>1.9000000000000001</v>
      </c>
      <c r="K466" s="21">
        <v>0.33280000000000004</v>
      </c>
      <c r="L466" s="21">
        <v>0</v>
      </c>
      <c r="M466" s="17" t="s">
        <v>122</v>
      </c>
      <c r="N466" s="17" t="s">
        <v>115</v>
      </c>
      <c r="O466" s="21">
        <v>0.95000000000000007</v>
      </c>
      <c r="P466" s="21">
        <v>0</v>
      </c>
    </row>
    <row r="467" spans="1:16" ht="16.5" x14ac:dyDescent="0.25">
      <c r="A467" s="2"/>
      <c r="B467" s="4"/>
      <c r="C467" s="18"/>
      <c r="E467" s="20">
        <v>45460</v>
      </c>
      <c r="F467" s="17" t="s">
        <v>203</v>
      </c>
      <c r="G467" s="21">
        <v>13</v>
      </c>
      <c r="H467" s="21">
        <v>18.5</v>
      </c>
      <c r="I467" s="25">
        <v>0.14729729729729729</v>
      </c>
      <c r="J467" s="21">
        <v>1.85</v>
      </c>
      <c r="K467" s="21">
        <v>0.33280000000000004</v>
      </c>
      <c r="L467" s="21">
        <v>0</v>
      </c>
      <c r="M467" s="17" t="s">
        <v>121</v>
      </c>
      <c r="N467" s="17" t="s">
        <v>115</v>
      </c>
      <c r="O467" s="21">
        <v>0.92500000000000004</v>
      </c>
      <c r="P467" s="21">
        <v>0</v>
      </c>
    </row>
    <row r="468" spans="1:16" ht="16.5" x14ac:dyDescent="0.25">
      <c r="A468" s="2"/>
      <c r="B468" s="4"/>
      <c r="C468" s="18"/>
      <c r="E468" s="20">
        <v>45460</v>
      </c>
      <c r="F468" s="17" t="s">
        <v>203</v>
      </c>
      <c r="G468" s="21">
        <v>13</v>
      </c>
      <c r="H468" s="21">
        <v>18</v>
      </c>
      <c r="I468" s="25">
        <v>0.12777777777777777</v>
      </c>
      <c r="J468" s="21">
        <v>1.8</v>
      </c>
      <c r="K468" s="21">
        <v>0.33280000000000004</v>
      </c>
      <c r="L468" s="21">
        <v>0</v>
      </c>
      <c r="M468" s="17" t="s">
        <v>120</v>
      </c>
      <c r="N468" s="17" t="s">
        <v>115</v>
      </c>
      <c r="O468" s="21">
        <v>0.9</v>
      </c>
      <c r="P468" s="21">
        <v>0</v>
      </c>
    </row>
    <row r="469" spans="1:16" ht="16.5" x14ac:dyDescent="0.25">
      <c r="A469" s="2"/>
      <c r="B469" s="4"/>
      <c r="C469" s="18"/>
      <c r="E469" s="20">
        <v>45460</v>
      </c>
      <c r="F469" s="17" t="s">
        <v>203</v>
      </c>
      <c r="G469" s="21">
        <v>13</v>
      </c>
      <c r="H469" s="21">
        <v>17.5</v>
      </c>
      <c r="I469" s="25">
        <v>0.10714285714285714</v>
      </c>
      <c r="J469" s="21">
        <v>1.75</v>
      </c>
      <c r="K469" s="21">
        <v>0.33280000000000004</v>
      </c>
      <c r="L469" s="21">
        <v>0</v>
      </c>
      <c r="M469" s="17" t="s">
        <v>113</v>
      </c>
      <c r="N469" s="17" t="s">
        <v>115</v>
      </c>
      <c r="O469" s="21">
        <v>0.875</v>
      </c>
      <c r="P469" s="21">
        <v>0</v>
      </c>
    </row>
    <row r="470" spans="1:16" ht="16.5" x14ac:dyDescent="0.25">
      <c r="A470" s="2"/>
      <c r="B470" s="4"/>
      <c r="C470" s="18"/>
      <c r="E470" s="20">
        <v>45460</v>
      </c>
      <c r="F470" s="17" t="s">
        <v>95</v>
      </c>
      <c r="G470" s="21">
        <v>6.3335999999999997</v>
      </c>
      <c r="H470" s="21">
        <v>11.5</v>
      </c>
      <c r="I470" s="25">
        <v>0.15645217391304342</v>
      </c>
      <c r="J470" s="21">
        <v>1.1500000000000001</v>
      </c>
      <c r="K470" s="21">
        <v>0.16640000000000002</v>
      </c>
      <c r="L470" s="21">
        <v>1.38</v>
      </c>
      <c r="M470" s="17" t="s">
        <v>122</v>
      </c>
      <c r="N470" s="17" t="s">
        <v>117</v>
      </c>
      <c r="O470" s="21">
        <v>0.57500000000000007</v>
      </c>
      <c r="P470" s="21">
        <v>1.6422000000000001</v>
      </c>
    </row>
    <row r="471" spans="1:16" ht="16.5" x14ac:dyDescent="0.25">
      <c r="A471" s="2"/>
      <c r="B471" s="4"/>
      <c r="C471" s="18"/>
      <c r="E471" s="20">
        <v>45460</v>
      </c>
      <c r="F471" s="17" t="s">
        <v>95</v>
      </c>
      <c r="G471" s="21">
        <v>6.3335999999999997</v>
      </c>
      <c r="H471" s="21">
        <v>11.2</v>
      </c>
      <c r="I471" s="25">
        <v>0.14169999999999991</v>
      </c>
      <c r="J471" s="21">
        <v>1.1199999999999999</v>
      </c>
      <c r="K471" s="21">
        <v>0.16640000000000002</v>
      </c>
      <c r="L471" s="21">
        <v>1.3439999999999999</v>
      </c>
      <c r="M471" s="17" t="s">
        <v>121</v>
      </c>
      <c r="N471" s="17" t="s">
        <v>117</v>
      </c>
      <c r="O471" s="21">
        <v>0.55999999999999994</v>
      </c>
      <c r="P471" s="21">
        <v>1.5993600000000001</v>
      </c>
    </row>
    <row r="472" spans="1:16" ht="16.5" x14ac:dyDescent="0.25">
      <c r="A472" s="2"/>
      <c r="B472" s="4"/>
      <c r="C472" s="18"/>
      <c r="E472" s="20">
        <v>45460</v>
      </c>
      <c r="F472" s="17" t="s">
        <v>95</v>
      </c>
      <c r="G472" s="21">
        <v>6.3335999999999997</v>
      </c>
      <c r="H472" s="21">
        <v>10.8</v>
      </c>
      <c r="I472" s="25">
        <v>0.12075555555555567</v>
      </c>
      <c r="J472" s="21">
        <v>1.08</v>
      </c>
      <c r="K472" s="21">
        <v>0.16640000000000002</v>
      </c>
      <c r="L472" s="21">
        <v>1.296</v>
      </c>
      <c r="M472" s="17" t="s">
        <v>120</v>
      </c>
      <c r="N472" s="17" t="s">
        <v>117</v>
      </c>
      <c r="O472" s="21">
        <v>0.54</v>
      </c>
      <c r="P472" s="21">
        <v>1.5422400000000003</v>
      </c>
    </row>
    <row r="473" spans="1:16" ht="16.5" x14ac:dyDescent="0.25">
      <c r="A473" s="2"/>
      <c r="B473" s="4"/>
      <c r="C473" s="18"/>
      <c r="E473" s="20">
        <v>45460</v>
      </c>
      <c r="F473" s="17" t="s">
        <v>95</v>
      </c>
      <c r="G473" s="21">
        <v>6.3335999999999997</v>
      </c>
      <c r="H473" s="21">
        <v>10.5</v>
      </c>
      <c r="I473" s="25">
        <v>0.10400000000000006</v>
      </c>
      <c r="J473" s="21">
        <v>1.05</v>
      </c>
      <c r="K473" s="21">
        <v>0.16640000000000002</v>
      </c>
      <c r="L473" s="21">
        <v>1.26</v>
      </c>
      <c r="M473" s="17" t="s">
        <v>113</v>
      </c>
      <c r="N473" s="17" t="s">
        <v>117</v>
      </c>
      <c r="O473" s="21">
        <v>0.52500000000000002</v>
      </c>
      <c r="P473" s="21">
        <v>1.4994000000000001</v>
      </c>
    </row>
    <row r="474" spans="1:16" ht="16.5" x14ac:dyDescent="0.25">
      <c r="A474" s="2"/>
      <c r="B474" s="4"/>
      <c r="C474" s="18"/>
      <c r="E474" s="20">
        <v>45460</v>
      </c>
      <c r="F474" s="17" t="s">
        <v>95</v>
      </c>
      <c r="G474" s="21">
        <v>6.5</v>
      </c>
      <c r="H474" s="21">
        <v>10.199999999999999</v>
      </c>
      <c r="I474" s="25">
        <v>0.15774509803921566</v>
      </c>
      <c r="J474" s="21">
        <v>1.02</v>
      </c>
      <c r="K474" s="21">
        <v>0</v>
      </c>
      <c r="L474" s="21">
        <v>0.56099999999999994</v>
      </c>
      <c r="M474" s="17" t="s">
        <v>122</v>
      </c>
      <c r="N474" s="17" t="s">
        <v>116</v>
      </c>
      <c r="O474" s="21">
        <v>0.51</v>
      </c>
      <c r="P474" s="21">
        <v>0.56099999999999994</v>
      </c>
    </row>
    <row r="475" spans="1:16" ht="16.5" x14ac:dyDescent="0.25">
      <c r="A475" s="2"/>
      <c r="B475" s="4"/>
      <c r="C475" s="18"/>
      <c r="E475" s="20">
        <v>45460</v>
      </c>
      <c r="F475" s="17" t="s">
        <v>95</v>
      </c>
      <c r="G475" s="21">
        <v>6.5</v>
      </c>
      <c r="H475" s="21">
        <v>10</v>
      </c>
      <c r="I475" s="25">
        <v>0.14499999999999993</v>
      </c>
      <c r="J475" s="21">
        <v>1</v>
      </c>
      <c r="K475" s="21">
        <v>0</v>
      </c>
      <c r="L475" s="21">
        <v>0.55000000000000004</v>
      </c>
      <c r="M475" s="17" t="s">
        <v>121</v>
      </c>
      <c r="N475" s="17" t="s">
        <v>116</v>
      </c>
      <c r="O475" s="21">
        <v>0.5</v>
      </c>
      <c r="P475" s="21">
        <v>0.55000000000000004</v>
      </c>
    </row>
    <row r="476" spans="1:16" ht="16.5" x14ac:dyDescent="0.25">
      <c r="A476" s="2"/>
      <c r="B476" s="4"/>
      <c r="C476" s="18"/>
      <c r="E476" s="20">
        <v>45460</v>
      </c>
      <c r="F476" s="17" t="s">
        <v>95</v>
      </c>
      <c r="G476" s="21">
        <v>6.5</v>
      </c>
      <c r="H476" s="21">
        <v>9.8000000000000007</v>
      </c>
      <c r="I476" s="25">
        <v>0.1317346938775511</v>
      </c>
      <c r="J476" s="21">
        <v>0.98000000000000009</v>
      </c>
      <c r="K476" s="21">
        <v>0</v>
      </c>
      <c r="L476" s="21">
        <v>0.53900000000000003</v>
      </c>
      <c r="M476" s="17" t="s">
        <v>120</v>
      </c>
      <c r="N476" s="17" t="s">
        <v>116</v>
      </c>
      <c r="O476" s="21">
        <v>0.49000000000000005</v>
      </c>
      <c r="P476" s="21">
        <v>0.53900000000000003</v>
      </c>
    </row>
    <row r="477" spans="1:16" ht="16.5" x14ac:dyDescent="0.25">
      <c r="A477" s="2"/>
      <c r="B477" s="4"/>
      <c r="C477" s="18"/>
      <c r="E477" s="20">
        <v>45460</v>
      </c>
      <c r="F477" s="17" t="s">
        <v>95</v>
      </c>
      <c r="G477" s="21">
        <v>6.5</v>
      </c>
      <c r="H477" s="21">
        <v>9.5</v>
      </c>
      <c r="I477" s="25">
        <v>0.11078947368421041</v>
      </c>
      <c r="J477" s="21">
        <v>0.95000000000000007</v>
      </c>
      <c r="K477" s="21">
        <v>0</v>
      </c>
      <c r="L477" s="21">
        <v>0.52249999999999996</v>
      </c>
      <c r="M477" s="17" t="s">
        <v>113</v>
      </c>
      <c r="N477" s="17" t="s">
        <v>116</v>
      </c>
      <c r="O477" s="21">
        <v>0.47500000000000003</v>
      </c>
      <c r="P477" s="21">
        <v>0.52249999999999996</v>
      </c>
    </row>
    <row r="478" spans="1:16" ht="16.5" x14ac:dyDescent="0.25">
      <c r="A478" s="2"/>
      <c r="B478" s="4"/>
      <c r="C478" s="18"/>
      <c r="E478" s="20">
        <v>45460</v>
      </c>
      <c r="F478" s="17" t="s">
        <v>95</v>
      </c>
      <c r="G478" s="21">
        <v>6.5</v>
      </c>
      <c r="H478" s="21">
        <v>9.9</v>
      </c>
      <c r="I478" s="25">
        <v>0.19343434343434343</v>
      </c>
      <c r="J478" s="21">
        <v>0.9900000000000001</v>
      </c>
      <c r="K478" s="21">
        <v>0.16640000000000002</v>
      </c>
      <c r="L478" s="21">
        <v>0</v>
      </c>
      <c r="M478" s="17" t="s">
        <v>122</v>
      </c>
      <c r="N478" s="17" t="s">
        <v>115</v>
      </c>
      <c r="O478" s="21">
        <v>0.49500000000000005</v>
      </c>
      <c r="P478" s="21">
        <v>0</v>
      </c>
    </row>
    <row r="479" spans="1:16" ht="16.5" x14ac:dyDescent="0.25">
      <c r="A479" s="2"/>
      <c r="B479" s="4"/>
      <c r="C479" s="18"/>
      <c r="E479" s="20">
        <v>45460</v>
      </c>
      <c r="F479" s="17" t="s">
        <v>95</v>
      </c>
      <c r="G479" s="21">
        <v>6.5</v>
      </c>
      <c r="H479" s="21">
        <v>9.6</v>
      </c>
      <c r="I479" s="25">
        <v>0.17291666666666664</v>
      </c>
      <c r="J479" s="21">
        <v>0.96</v>
      </c>
      <c r="K479" s="21">
        <v>0.16640000000000002</v>
      </c>
      <c r="L479" s="21">
        <v>0</v>
      </c>
      <c r="M479" s="17" t="s">
        <v>121</v>
      </c>
      <c r="N479" s="17" t="s">
        <v>115</v>
      </c>
      <c r="O479" s="21">
        <v>0.48</v>
      </c>
      <c r="P479" s="21">
        <v>0</v>
      </c>
    </row>
    <row r="480" spans="1:16" ht="16.5" x14ac:dyDescent="0.25">
      <c r="A480" s="2"/>
      <c r="B480" s="4"/>
      <c r="C480" s="18"/>
      <c r="E480" s="20">
        <v>45460</v>
      </c>
      <c r="F480" s="17" t="s">
        <v>95</v>
      </c>
      <c r="G480" s="21">
        <v>6.5</v>
      </c>
      <c r="H480" s="21">
        <v>9.3000000000000007</v>
      </c>
      <c r="I480" s="25">
        <v>0.15107526881720437</v>
      </c>
      <c r="J480" s="21">
        <v>0.93000000000000016</v>
      </c>
      <c r="K480" s="21">
        <v>0.16640000000000002</v>
      </c>
      <c r="L480" s="21">
        <v>0</v>
      </c>
      <c r="M480" s="17" t="s">
        <v>120</v>
      </c>
      <c r="N480" s="17" t="s">
        <v>115</v>
      </c>
      <c r="O480" s="21">
        <v>0.46500000000000008</v>
      </c>
      <c r="P480" s="21">
        <v>0</v>
      </c>
    </row>
    <row r="481" spans="1:16" ht="16.5" x14ac:dyDescent="0.25">
      <c r="A481" s="2"/>
      <c r="B481" s="4"/>
      <c r="C481" s="18"/>
      <c r="E481" s="20">
        <v>45460</v>
      </c>
      <c r="F481" s="17" t="s">
        <v>95</v>
      </c>
      <c r="G481" s="21">
        <v>6.5</v>
      </c>
      <c r="H481" s="21">
        <v>9</v>
      </c>
      <c r="I481" s="25">
        <v>0.12777777777777777</v>
      </c>
      <c r="J481" s="21">
        <v>0.9</v>
      </c>
      <c r="K481" s="21">
        <v>0.16640000000000002</v>
      </c>
      <c r="L481" s="21">
        <v>0</v>
      </c>
      <c r="M481" s="17" t="s">
        <v>113</v>
      </c>
      <c r="N481" s="17" t="s">
        <v>115</v>
      </c>
      <c r="O481" s="21">
        <v>0.45</v>
      </c>
      <c r="P481" s="21">
        <v>0</v>
      </c>
    </row>
    <row r="482" spans="1:16" ht="16.5" x14ac:dyDescent="0.25">
      <c r="A482" s="2"/>
      <c r="B482" s="4"/>
      <c r="C482" s="18"/>
      <c r="E482" s="20">
        <v>45460</v>
      </c>
      <c r="F482" s="17" t="s">
        <v>94</v>
      </c>
      <c r="G482" s="21">
        <v>3.1667999999999998</v>
      </c>
      <c r="H482" s="21">
        <v>6.9</v>
      </c>
      <c r="I482" s="25">
        <v>0.24824347826086965</v>
      </c>
      <c r="J482" s="21">
        <v>0.69000000000000006</v>
      </c>
      <c r="K482" s="21">
        <v>8.320000000000001E-2</v>
      </c>
      <c r="L482" s="21">
        <v>0.82799999999999996</v>
      </c>
      <c r="M482" s="17" t="s">
        <v>122</v>
      </c>
      <c r="N482" s="17" t="s">
        <v>117</v>
      </c>
      <c r="O482" s="21">
        <v>0.34500000000000003</v>
      </c>
      <c r="P482" s="21">
        <v>0.98532000000000008</v>
      </c>
    </row>
    <row r="483" spans="1:16" ht="16.5" x14ac:dyDescent="0.25">
      <c r="A483" s="2"/>
      <c r="B483" s="4"/>
      <c r="C483" s="18"/>
      <c r="E483" s="20">
        <v>45460</v>
      </c>
      <c r="F483" s="17" t="s">
        <v>94</v>
      </c>
      <c r="G483" s="21">
        <v>3.1667999999999998</v>
      </c>
      <c r="H483" s="21">
        <v>6.6</v>
      </c>
      <c r="I483" s="25">
        <v>0.22738181818181816</v>
      </c>
      <c r="J483" s="21">
        <v>0.66</v>
      </c>
      <c r="K483" s="21">
        <v>8.320000000000001E-2</v>
      </c>
      <c r="L483" s="21">
        <v>0.79199999999999993</v>
      </c>
      <c r="M483" s="17" t="s">
        <v>121</v>
      </c>
      <c r="N483" s="17" t="s">
        <v>117</v>
      </c>
      <c r="O483" s="21">
        <v>0.33</v>
      </c>
      <c r="P483" s="21">
        <v>0.94247999999999998</v>
      </c>
    </row>
    <row r="484" spans="1:16" ht="16.5" x14ac:dyDescent="0.25">
      <c r="A484" s="2"/>
      <c r="B484" s="4"/>
      <c r="C484" s="18"/>
      <c r="E484" s="20">
        <v>45460</v>
      </c>
      <c r="F484" s="17" t="s">
        <v>94</v>
      </c>
      <c r="G484" s="21">
        <v>3.1667999999999998</v>
      </c>
      <c r="H484" s="21">
        <v>6.3</v>
      </c>
      <c r="I484" s="25">
        <v>0.2045333333333334</v>
      </c>
      <c r="J484" s="21">
        <v>0.63</v>
      </c>
      <c r="K484" s="21">
        <v>8.320000000000001E-2</v>
      </c>
      <c r="L484" s="21">
        <v>0.75600000000000001</v>
      </c>
      <c r="M484" s="17" t="s">
        <v>120</v>
      </c>
      <c r="N484" s="17" t="s">
        <v>117</v>
      </c>
      <c r="O484" s="21">
        <v>0.315</v>
      </c>
      <c r="P484" s="21">
        <v>0.89964</v>
      </c>
    </row>
    <row r="485" spans="1:16" ht="16.5" x14ac:dyDescent="0.25">
      <c r="A485" s="2"/>
      <c r="B485" s="4"/>
      <c r="C485" s="18"/>
      <c r="E485" s="20">
        <v>45460</v>
      </c>
      <c r="F485" s="17" t="s">
        <v>94</v>
      </c>
      <c r="G485" s="21">
        <v>3.1667999999999998</v>
      </c>
      <c r="H485" s="21">
        <v>6</v>
      </c>
      <c r="I485" s="25">
        <v>0.17940000000000003</v>
      </c>
      <c r="J485" s="21">
        <v>0.60000000000000009</v>
      </c>
      <c r="K485" s="21">
        <v>8.320000000000001E-2</v>
      </c>
      <c r="L485" s="21">
        <v>0.72</v>
      </c>
      <c r="M485" s="17" t="s">
        <v>113</v>
      </c>
      <c r="N485" s="17" t="s">
        <v>117</v>
      </c>
      <c r="O485" s="21">
        <v>0.30000000000000004</v>
      </c>
      <c r="P485" s="21">
        <v>0.85680000000000001</v>
      </c>
    </row>
    <row r="486" spans="1:16" ht="16.5" x14ac:dyDescent="0.25">
      <c r="A486" s="2"/>
      <c r="B486" s="4"/>
      <c r="C486" s="18"/>
      <c r="E486" s="20">
        <v>45460</v>
      </c>
      <c r="F486" s="17" t="s">
        <v>94</v>
      </c>
      <c r="G486" s="21">
        <v>3.25</v>
      </c>
      <c r="H486" s="21">
        <v>6.2</v>
      </c>
      <c r="I486" s="25">
        <v>0.27080645161290318</v>
      </c>
      <c r="J486" s="21">
        <v>0.62000000000000011</v>
      </c>
      <c r="K486" s="21">
        <v>0</v>
      </c>
      <c r="L486" s="21">
        <v>0.34100000000000003</v>
      </c>
      <c r="M486" s="17" t="s">
        <v>122</v>
      </c>
      <c r="N486" s="17" t="s">
        <v>116</v>
      </c>
      <c r="O486" s="21">
        <v>0.31000000000000005</v>
      </c>
      <c r="P486" s="21">
        <v>0.34100000000000003</v>
      </c>
    </row>
    <row r="487" spans="1:16" ht="16.5" x14ac:dyDescent="0.25">
      <c r="A487" s="2"/>
      <c r="B487" s="4"/>
      <c r="C487" s="18"/>
      <c r="E487" s="20">
        <v>45460</v>
      </c>
      <c r="F487" s="17" t="s">
        <v>94</v>
      </c>
      <c r="G487" s="21">
        <v>3.25</v>
      </c>
      <c r="H487" s="21">
        <v>5.9</v>
      </c>
      <c r="I487" s="25">
        <v>0.24415254237288131</v>
      </c>
      <c r="J487" s="21">
        <v>0.59000000000000008</v>
      </c>
      <c r="K487" s="21">
        <v>0</v>
      </c>
      <c r="L487" s="21">
        <v>0.32450000000000001</v>
      </c>
      <c r="M487" s="17" t="s">
        <v>121</v>
      </c>
      <c r="N487" s="17" t="s">
        <v>116</v>
      </c>
      <c r="O487" s="21">
        <v>0.29500000000000004</v>
      </c>
      <c r="P487" s="21">
        <v>0.32450000000000001</v>
      </c>
    </row>
    <row r="488" spans="1:16" ht="16.5" x14ac:dyDescent="0.25">
      <c r="A488" s="2"/>
      <c r="B488" s="4"/>
      <c r="C488" s="18"/>
      <c r="E488" s="20">
        <v>45460</v>
      </c>
      <c r="F488" s="17" t="s">
        <v>94</v>
      </c>
      <c r="G488" s="21">
        <v>3.25</v>
      </c>
      <c r="H488" s="21">
        <v>5.6</v>
      </c>
      <c r="I488" s="25">
        <v>0.21464285714285714</v>
      </c>
      <c r="J488" s="21">
        <v>0.55999999999999994</v>
      </c>
      <c r="K488" s="21">
        <v>0</v>
      </c>
      <c r="L488" s="21">
        <v>0.308</v>
      </c>
      <c r="M488" s="17" t="s">
        <v>120</v>
      </c>
      <c r="N488" s="17" t="s">
        <v>116</v>
      </c>
      <c r="O488" s="21">
        <v>0.27999999999999997</v>
      </c>
      <c r="P488" s="21">
        <v>0.308</v>
      </c>
    </row>
    <row r="489" spans="1:16" ht="16.5" x14ac:dyDescent="0.25">
      <c r="A489" s="2"/>
      <c r="B489" s="4"/>
      <c r="C489" s="18"/>
      <c r="E489" s="20">
        <v>45460</v>
      </c>
      <c r="F489" s="17" t="s">
        <v>94</v>
      </c>
      <c r="G489" s="21">
        <v>3.25</v>
      </c>
      <c r="H489" s="21">
        <v>5.3</v>
      </c>
      <c r="I489" s="25">
        <v>0.18179245283018861</v>
      </c>
      <c r="J489" s="21">
        <v>0.53</v>
      </c>
      <c r="K489" s="21">
        <v>0</v>
      </c>
      <c r="L489" s="21">
        <v>0.29149999999999998</v>
      </c>
      <c r="M489" s="17" t="s">
        <v>113</v>
      </c>
      <c r="N489" s="17" t="s">
        <v>116</v>
      </c>
      <c r="O489" s="21">
        <v>0.26500000000000001</v>
      </c>
      <c r="P489" s="21">
        <v>0.29149999999999998</v>
      </c>
    </row>
    <row r="490" spans="1:16" ht="16.5" x14ac:dyDescent="0.25">
      <c r="A490" s="2"/>
      <c r="B490" s="4"/>
      <c r="C490" s="18"/>
      <c r="E490" s="20">
        <v>45460</v>
      </c>
      <c r="F490" s="17" t="s">
        <v>94</v>
      </c>
      <c r="G490" s="21">
        <v>3.25</v>
      </c>
      <c r="H490" s="21">
        <v>5.9</v>
      </c>
      <c r="I490" s="25">
        <v>0.29915254237288141</v>
      </c>
      <c r="J490" s="21">
        <v>0.59000000000000008</v>
      </c>
      <c r="K490" s="21">
        <v>8.320000000000001E-2</v>
      </c>
      <c r="L490" s="21">
        <v>0</v>
      </c>
      <c r="M490" s="17" t="s">
        <v>122</v>
      </c>
      <c r="N490" s="17" t="s">
        <v>115</v>
      </c>
      <c r="O490" s="21">
        <v>0.29500000000000004</v>
      </c>
      <c r="P490" s="21">
        <v>0</v>
      </c>
    </row>
    <row r="491" spans="1:16" ht="16.5" x14ac:dyDescent="0.25">
      <c r="A491" s="2"/>
      <c r="B491" s="4"/>
      <c r="C491" s="18"/>
      <c r="E491" s="20">
        <v>45460</v>
      </c>
      <c r="F491" s="17" t="s">
        <v>94</v>
      </c>
      <c r="G491" s="21">
        <v>3.25</v>
      </c>
      <c r="H491" s="21">
        <v>5.6</v>
      </c>
      <c r="I491" s="25">
        <v>0.26964285714285713</v>
      </c>
      <c r="J491" s="21">
        <v>0.55999999999999994</v>
      </c>
      <c r="K491" s="21">
        <v>8.320000000000001E-2</v>
      </c>
      <c r="L491" s="21">
        <v>0</v>
      </c>
      <c r="M491" s="17" t="s">
        <v>121</v>
      </c>
      <c r="N491" s="17" t="s">
        <v>115</v>
      </c>
      <c r="O491" s="21">
        <v>0.27999999999999997</v>
      </c>
      <c r="P491" s="21">
        <v>0</v>
      </c>
    </row>
    <row r="492" spans="1:16" ht="16.5" x14ac:dyDescent="0.25">
      <c r="A492" s="2"/>
      <c r="B492" s="4"/>
      <c r="C492" s="18"/>
      <c r="E492" s="20">
        <v>45460</v>
      </c>
      <c r="F492" s="17" t="s">
        <v>94</v>
      </c>
      <c r="G492" s="21">
        <v>3.25</v>
      </c>
      <c r="H492" s="21">
        <v>5.3</v>
      </c>
      <c r="I492" s="25">
        <v>0.23679245283018863</v>
      </c>
      <c r="J492" s="21">
        <v>0.53</v>
      </c>
      <c r="K492" s="21">
        <v>8.320000000000001E-2</v>
      </c>
      <c r="L492" s="21">
        <v>0</v>
      </c>
      <c r="M492" s="17" t="s">
        <v>120</v>
      </c>
      <c r="N492" s="17" t="s">
        <v>115</v>
      </c>
      <c r="O492" s="21">
        <v>0.26500000000000001</v>
      </c>
      <c r="P492" s="21">
        <v>0</v>
      </c>
    </row>
    <row r="493" spans="1:16" ht="16.5" x14ac:dyDescent="0.25">
      <c r="A493" s="2"/>
      <c r="B493" s="4"/>
      <c r="C493" s="18"/>
      <c r="E493" s="20">
        <v>45460</v>
      </c>
      <c r="F493" s="17" t="s">
        <v>94</v>
      </c>
      <c r="G493" s="21">
        <v>3.25</v>
      </c>
      <c r="H493" s="21">
        <v>5</v>
      </c>
      <c r="I493" s="25">
        <v>0.2</v>
      </c>
      <c r="J493" s="21">
        <v>0.5</v>
      </c>
      <c r="K493" s="21">
        <v>8.320000000000001E-2</v>
      </c>
      <c r="L493" s="21">
        <v>0</v>
      </c>
      <c r="M493" s="17" t="s">
        <v>113</v>
      </c>
      <c r="N493" s="17" t="s">
        <v>115</v>
      </c>
      <c r="O493" s="21">
        <v>0.25</v>
      </c>
      <c r="P493" s="21">
        <v>0</v>
      </c>
    </row>
    <row r="494" spans="1:16" ht="16.5" x14ac:dyDescent="0.25">
      <c r="A494" s="2"/>
      <c r="B494" s="4"/>
      <c r="C494" s="18"/>
      <c r="E494" s="20">
        <v>45377</v>
      </c>
      <c r="F494" s="17" t="s">
        <v>92</v>
      </c>
      <c r="G494" s="21">
        <v>8.1962500000000009</v>
      </c>
      <c r="H494" s="21">
        <v>16</v>
      </c>
      <c r="I494" s="25">
        <v>0.15843437499999993</v>
      </c>
      <c r="J494" s="21">
        <v>1.6</v>
      </c>
      <c r="K494" s="21">
        <v>0.10375000000000001</v>
      </c>
      <c r="L494" s="21">
        <v>1.92</v>
      </c>
      <c r="M494" s="17" t="s">
        <v>122</v>
      </c>
      <c r="N494" s="17" t="s">
        <v>117</v>
      </c>
      <c r="O494" s="21">
        <v>0.8</v>
      </c>
      <c r="P494" s="21">
        <v>2.8688000000000002</v>
      </c>
    </row>
    <row r="495" spans="1:16" ht="16.5" x14ac:dyDescent="0.25">
      <c r="A495" s="2"/>
      <c r="B495" s="4"/>
      <c r="C495" s="18"/>
      <c r="E495" s="20">
        <v>45377</v>
      </c>
      <c r="F495" s="17" t="s">
        <v>92</v>
      </c>
      <c r="G495" s="21">
        <v>8.1962500000000009</v>
      </c>
      <c r="H495" s="21">
        <v>15.5</v>
      </c>
      <c r="I495" s="25">
        <v>0.14190967741935467</v>
      </c>
      <c r="J495" s="21">
        <v>1.55</v>
      </c>
      <c r="K495" s="21">
        <v>0.10375000000000001</v>
      </c>
      <c r="L495" s="21">
        <v>1.8599999999999999</v>
      </c>
      <c r="M495" s="17" t="s">
        <v>121</v>
      </c>
      <c r="N495" s="17" t="s">
        <v>117</v>
      </c>
      <c r="O495" s="21">
        <v>0.77500000000000002</v>
      </c>
      <c r="P495" s="21">
        <v>2.7791500000000005</v>
      </c>
    </row>
    <row r="496" spans="1:16" ht="16.5" x14ac:dyDescent="0.25">
      <c r="A496" s="2"/>
      <c r="B496" s="4"/>
      <c r="C496" s="18"/>
      <c r="E496" s="20">
        <v>45377</v>
      </c>
      <c r="F496" s="17" t="s">
        <v>92</v>
      </c>
      <c r="G496" s="21">
        <v>8.1962500000000009</v>
      </c>
      <c r="H496" s="21">
        <v>17</v>
      </c>
      <c r="I496" s="25">
        <v>0.18856764705882351</v>
      </c>
      <c r="J496" s="21">
        <v>1.7000000000000002</v>
      </c>
      <c r="K496" s="21">
        <v>0.10375000000000001</v>
      </c>
      <c r="L496" s="21">
        <v>2.04</v>
      </c>
      <c r="M496" s="17" t="s">
        <v>122</v>
      </c>
      <c r="N496" s="17" t="s">
        <v>117</v>
      </c>
      <c r="O496" s="21">
        <v>0.85000000000000009</v>
      </c>
      <c r="P496" s="21">
        <v>3.0481000000000003</v>
      </c>
    </row>
    <row r="497" spans="1:16" ht="16.5" x14ac:dyDescent="0.25">
      <c r="A497" s="2"/>
      <c r="B497" s="4"/>
      <c r="C497" s="18"/>
      <c r="E497" s="20">
        <v>45377</v>
      </c>
      <c r="F497" s="17" t="s">
        <v>92</v>
      </c>
      <c r="G497" s="21">
        <v>8.1962500000000009</v>
      </c>
      <c r="H497" s="21">
        <v>16</v>
      </c>
      <c r="I497" s="25">
        <v>0.15843437499999993</v>
      </c>
      <c r="J497" s="21">
        <v>1.6</v>
      </c>
      <c r="K497" s="21">
        <v>0.10375000000000001</v>
      </c>
      <c r="L497" s="21">
        <v>1.92</v>
      </c>
      <c r="M497" s="17" t="s">
        <v>121</v>
      </c>
      <c r="N497" s="17" t="s">
        <v>117</v>
      </c>
      <c r="O497" s="21">
        <v>0.8</v>
      </c>
      <c r="P497" s="21">
        <v>2.8688000000000002</v>
      </c>
    </row>
    <row r="498" spans="1:16" ht="16.5" x14ac:dyDescent="0.25">
      <c r="A498" s="2"/>
      <c r="B498" s="4"/>
      <c r="C498" s="18"/>
      <c r="E498" s="20">
        <v>45377</v>
      </c>
      <c r="F498" s="17" t="s">
        <v>92</v>
      </c>
      <c r="G498" s="21">
        <v>8.1962500000000009</v>
      </c>
      <c r="H498" s="21">
        <v>15</v>
      </c>
      <c r="I498" s="25">
        <v>0.12428333333333323</v>
      </c>
      <c r="J498" s="21">
        <v>1.5</v>
      </c>
      <c r="K498" s="21">
        <v>0.10375000000000001</v>
      </c>
      <c r="L498" s="21">
        <v>1.7999999999999998</v>
      </c>
      <c r="M498" s="17" t="s">
        <v>120</v>
      </c>
      <c r="N498" s="17" t="s">
        <v>117</v>
      </c>
      <c r="O498" s="21">
        <v>0.75</v>
      </c>
      <c r="P498" s="21">
        <v>2.6895000000000002</v>
      </c>
    </row>
    <row r="499" spans="1:16" ht="16.5" x14ac:dyDescent="0.25">
      <c r="A499" s="2"/>
      <c r="B499" s="4"/>
      <c r="C499" s="18"/>
      <c r="E499" s="20">
        <v>45377</v>
      </c>
      <c r="F499" s="17" t="s">
        <v>92</v>
      </c>
      <c r="G499" s="21">
        <v>8.1962500000000009</v>
      </c>
      <c r="H499" s="21">
        <v>14.5</v>
      </c>
      <c r="I499" s="25">
        <v>0.10544137931034475</v>
      </c>
      <c r="J499" s="21">
        <v>1.4500000000000002</v>
      </c>
      <c r="K499" s="21">
        <v>0.10375000000000001</v>
      </c>
      <c r="L499" s="21">
        <v>1.74</v>
      </c>
      <c r="M499" s="17" t="s">
        <v>113</v>
      </c>
      <c r="N499" s="17" t="s">
        <v>117</v>
      </c>
      <c r="O499" s="21">
        <v>0.72500000000000009</v>
      </c>
      <c r="P499" s="21">
        <v>2.59985</v>
      </c>
    </row>
    <row r="500" spans="1:16" ht="16.5" x14ac:dyDescent="0.25">
      <c r="A500" s="2"/>
      <c r="B500" s="4"/>
      <c r="C500" s="18"/>
      <c r="E500" s="20">
        <v>45377</v>
      </c>
      <c r="F500" s="17" t="s">
        <v>92</v>
      </c>
      <c r="G500" s="21">
        <v>8.3000000000000007</v>
      </c>
      <c r="H500" s="21">
        <v>13.4</v>
      </c>
      <c r="I500" s="25">
        <v>0.17559701492537311</v>
      </c>
      <c r="J500" s="21">
        <v>1.34</v>
      </c>
      <c r="K500" s="21">
        <v>0</v>
      </c>
      <c r="L500" s="21">
        <v>0.73699999999999999</v>
      </c>
      <c r="M500" s="17" t="s">
        <v>122</v>
      </c>
      <c r="N500" s="17" t="s">
        <v>116</v>
      </c>
      <c r="O500" s="21">
        <v>0.67</v>
      </c>
      <c r="P500" s="21">
        <v>0.73699999999999999</v>
      </c>
    </row>
    <row r="501" spans="1:16" ht="16.5" x14ac:dyDescent="0.25">
      <c r="A501" s="2"/>
      <c r="B501" s="4"/>
      <c r="C501" s="18"/>
      <c r="E501" s="20">
        <v>45377</v>
      </c>
      <c r="F501" s="17" t="s">
        <v>92</v>
      </c>
      <c r="G501" s="21">
        <v>8.3000000000000007</v>
      </c>
      <c r="H501" s="21">
        <v>12.9</v>
      </c>
      <c r="I501" s="25">
        <v>0.15158914728682166</v>
      </c>
      <c r="J501" s="21">
        <v>1.29</v>
      </c>
      <c r="K501" s="21">
        <v>0</v>
      </c>
      <c r="L501" s="21">
        <v>0.70950000000000002</v>
      </c>
      <c r="M501" s="17" t="s">
        <v>121</v>
      </c>
      <c r="N501" s="17" t="s">
        <v>116</v>
      </c>
      <c r="O501" s="21">
        <v>0.64500000000000002</v>
      </c>
      <c r="P501" s="21">
        <v>0.70950000000000002</v>
      </c>
    </row>
    <row r="502" spans="1:16" ht="16.5" x14ac:dyDescent="0.25">
      <c r="A502" s="2"/>
      <c r="B502" s="4"/>
      <c r="C502" s="18"/>
      <c r="E502" s="20">
        <v>45377</v>
      </c>
      <c r="F502" s="17" t="s">
        <v>92</v>
      </c>
      <c r="G502" s="21">
        <v>8.3000000000000007</v>
      </c>
      <c r="H502" s="21">
        <v>12.4</v>
      </c>
      <c r="I502" s="25">
        <v>0.12564516129032249</v>
      </c>
      <c r="J502" s="21">
        <v>1.2400000000000002</v>
      </c>
      <c r="K502" s="21">
        <v>0</v>
      </c>
      <c r="L502" s="21">
        <v>0.68200000000000005</v>
      </c>
      <c r="M502" s="17" t="s">
        <v>120</v>
      </c>
      <c r="N502" s="17" t="s">
        <v>116</v>
      </c>
      <c r="O502" s="21">
        <v>0.62000000000000011</v>
      </c>
      <c r="P502" s="21">
        <v>0.68200000000000005</v>
      </c>
    </row>
    <row r="503" spans="1:16" ht="16.5" x14ac:dyDescent="0.25">
      <c r="A503" s="2"/>
      <c r="B503" s="4"/>
      <c r="C503" s="18"/>
      <c r="E503" s="20">
        <v>45377</v>
      </c>
      <c r="F503" s="17" t="s">
        <v>92</v>
      </c>
      <c r="G503" s="21">
        <v>8.3000000000000007</v>
      </c>
      <c r="H503" s="21">
        <v>11.9</v>
      </c>
      <c r="I503" s="25">
        <v>9.752100840336124E-2</v>
      </c>
      <c r="J503" s="21">
        <v>1.1900000000000002</v>
      </c>
      <c r="K503" s="21">
        <v>0</v>
      </c>
      <c r="L503" s="21">
        <v>0.65449999999999997</v>
      </c>
      <c r="M503" s="17" t="s">
        <v>113</v>
      </c>
      <c r="N503" s="17" t="s">
        <v>116</v>
      </c>
      <c r="O503" s="21">
        <v>0.59500000000000008</v>
      </c>
      <c r="P503" s="21">
        <v>0.65449999999999997</v>
      </c>
    </row>
    <row r="504" spans="1:16" ht="16.5" x14ac:dyDescent="0.25">
      <c r="A504" s="2"/>
      <c r="B504" s="4"/>
      <c r="C504" s="18"/>
      <c r="E504" s="20">
        <v>45377</v>
      </c>
      <c r="F504" s="17" t="s">
        <v>92</v>
      </c>
      <c r="G504" s="21">
        <v>8.3000000000000007</v>
      </c>
      <c r="H504" s="21">
        <v>12.4</v>
      </c>
      <c r="I504" s="25">
        <v>0.18064516129032251</v>
      </c>
      <c r="J504" s="21">
        <v>1.2400000000000002</v>
      </c>
      <c r="K504" s="21">
        <v>0.10375000000000001</v>
      </c>
      <c r="L504" s="21">
        <v>0</v>
      </c>
      <c r="M504" s="17" t="s">
        <v>122</v>
      </c>
      <c r="N504" s="17" t="s">
        <v>115</v>
      </c>
      <c r="O504" s="21">
        <v>0.62000000000000011</v>
      </c>
      <c r="P504" s="21">
        <v>0</v>
      </c>
    </row>
    <row r="505" spans="1:16" ht="16.5" x14ac:dyDescent="0.25">
      <c r="A505" s="2"/>
      <c r="B505" s="4"/>
      <c r="C505" s="18"/>
      <c r="E505" s="20">
        <v>45377</v>
      </c>
      <c r="F505" s="17" t="s">
        <v>92</v>
      </c>
      <c r="G505" s="21">
        <v>8.3000000000000007</v>
      </c>
      <c r="H505" s="21">
        <v>11.9</v>
      </c>
      <c r="I505" s="25">
        <v>0.15252100840336127</v>
      </c>
      <c r="J505" s="21">
        <v>1.1900000000000002</v>
      </c>
      <c r="K505" s="21">
        <v>0.10375000000000001</v>
      </c>
      <c r="L505" s="21">
        <v>0</v>
      </c>
      <c r="M505" s="17" t="s">
        <v>121</v>
      </c>
      <c r="N505" s="17" t="s">
        <v>115</v>
      </c>
      <c r="O505" s="21">
        <v>0.59500000000000008</v>
      </c>
      <c r="P505" s="21">
        <v>0</v>
      </c>
    </row>
    <row r="506" spans="1:16" ht="16.5" x14ac:dyDescent="0.25">
      <c r="A506" s="2"/>
      <c r="B506" s="4"/>
      <c r="C506" s="18"/>
      <c r="E506" s="20">
        <v>45377</v>
      </c>
      <c r="F506" s="17" t="s">
        <v>92</v>
      </c>
      <c r="G506" s="21">
        <v>8.3000000000000007</v>
      </c>
      <c r="H506" s="21">
        <v>11.4</v>
      </c>
      <c r="I506" s="25">
        <v>0.12192982456140344</v>
      </c>
      <c r="J506" s="21">
        <v>1.1400000000000001</v>
      </c>
      <c r="K506" s="21">
        <v>0.10375000000000001</v>
      </c>
      <c r="L506" s="21">
        <v>0</v>
      </c>
      <c r="M506" s="17" t="s">
        <v>120</v>
      </c>
      <c r="N506" s="17" t="s">
        <v>115</v>
      </c>
      <c r="O506" s="21">
        <v>0.57000000000000006</v>
      </c>
      <c r="P506" s="21">
        <v>0</v>
      </c>
    </row>
    <row r="507" spans="1:16" ht="16.5" x14ac:dyDescent="0.25">
      <c r="A507" s="2"/>
      <c r="B507" s="4"/>
      <c r="C507" s="18"/>
      <c r="E507" s="20">
        <v>45377</v>
      </c>
      <c r="F507" s="17" t="s">
        <v>92</v>
      </c>
      <c r="G507" s="21">
        <v>8.3000000000000007</v>
      </c>
      <c r="H507" s="21">
        <v>10.9</v>
      </c>
      <c r="I507" s="25">
        <v>8.8532110091743083E-2</v>
      </c>
      <c r="J507" s="21">
        <v>1.0900000000000001</v>
      </c>
      <c r="K507" s="21">
        <v>0.10375000000000001</v>
      </c>
      <c r="L507" s="21">
        <v>0</v>
      </c>
      <c r="M507" s="17" t="s">
        <v>113</v>
      </c>
      <c r="N507" s="17" t="s">
        <v>115</v>
      </c>
      <c r="O507" s="21">
        <v>0.54500000000000004</v>
      </c>
      <c r="P507" s="21">
        <v>0</v>
      </c>
    </row>
    <row r="508" spans="1:16" ht="16.5" x14ac:dyDescent="0.25">
      <c r="A508" s="2"/>
      <c r="B508" s="4"/>
      <c r="C508" s="18"/>
      <c r="E508" s="20">
        <v>45377</v>
      </c>
      <c r="F508" s="17" t="s">
        <v>202</v>
      </c>
      <c r="G508" s="21">
        <v>14.31875</v>
      </c>
      <c r="H508" s="21">
        <v>27.5</v>
      </c>
      <c r="I508" s="25">
        <v>0.15001818181818183</v>
      </c>
      <c r="J508" s="21">
        <v>2.75</v>
      </c>
      <c r="K508" s="21">
        <v>0.18125000000000002</v>
      </c>
      <c r="L508" s="21">
        <v>3.3</v>
      </c>
      <c r="M508" s="17" t="s">
        <v>122</v>
      </c>
      <c r="N508" s="17" t="s">
        <v>117</v>
      </c>
      <c r="O508" s="21">
        <v>1.375</v>
      </c>
      <c r="P508" s="21">
        <v>4.9307500000000006</v>
      </c>
    </row>
    <row r="509" spans="1:16" ht="16.5" x14ac:dyDescent="0.25">
      <c r="A509" s="2"/>
      <c r="B509" s="4"/>
      <c r="C509" s="18"/>
      <c r="E509" s="20">
        <v>45377</v>
      </c>
      <c r="F509" s="17" t="s">
        <v>202</v>
      </c>
      <c r="G509" s="21">
        <v>14.31875</v>
      </c>
      <c r="H509" s="21">
        <v>26.5</v>
      </c>
      <c r="I509" s="25">
        <v>0.13036981132075476</v>
      </c>
      <c r="J509" s="21">
        <v>2.6500000000000004</v>
      </c>
      <c r="K509" s="21">
        <v>0.18125000000000002</v>
      </c>
      <c r="L509" s="21">
        <v>3.1799999999999997</v>
      </c>
      <c r="M509" s="17" t="s">
        <v>121</v>
      </c>
      <c r="N509" s="17" t="s">
        <v>117</v>
      </c>
      <c r="O509" s="21">
        <v>1.3250000000000002</v>
      </c>
      <c r="P509" s="21">
        <v>4.7514500000000002</v>
      </c>
    </row>
    <row r="510" spans="1:16" ht="16.5" x14ac:dyDescent="0.25">
      <c r="A510" s="2"/>
      <c r="B510" s="4"/>
      <c r="C510" s="18"/>
      <c r="E510" s="20">
        <v>45377</v>
      </c>
      <c r="F510" s="17" t="s">
        <v>202</v>
      </c>
      <c r="G510" s="21">
        <v>14.31875</v>
      </c>
      <c r="H510" s="21">
        <v>25.5</v>
      </c>
      <c r="I510" s="25">
        <v>0.1091803921568627</v>
      </c>
      <c r="J510" s="21">
        <v>2.5500000000000003</v>
      </c>
      <c r="K510" s="21">
        <v>0.18125000000000002</v>
      </c>
      <c r="L510" s="21">
        <v>3.06</v>
      </c>
      <c r="M510" s="17" t="s">
        <v>120</v>
      </c>
      <c r="N510" s="17" t="s">
        <v>117</v>
      </c>
      <c r="O510" s="21">
        <v>1.2750000000000001</v>
      </c>
      <c r="P510" s="21">
        <v>4.5721500000000006</v>
      </c>
    </row>
    <row r="511" spans="1:16" ht="16.5" x14ac:dyDescent="0.25">
      <c r="A511" s="2"/>
      <c r="B511" s="4"/>
      <c r="C511" s="18"/>
      <c r="E511" s="20">
        <v>45377</v>
      </c>
      <c r="F511" s="17" t="s">
        <v>202</v>
      </c>
      <c r="G511" s="21">
        <v>14.31875</v>
      </c>
      <c r="H511" s="21">
        <v>24.5</v>
      </c>
      <c r="I511" s="25">
        <v>8.6261224489795965E-2</v>
      </c>
      <c r="J511" s="21">
        <v>2.4500000000000002</v>
      </c>
      <c r="K511" s="21">
        <v>0.18125000000000002</v>
      </c>
      <c r="L511" s="21">
        <v>2.94</v>
      </c>
      <c r="M511" s="17" t="s">
        <v>113</v>
      </c>
      <c r="N511" s="17" t="s">
        <v>117</v>
      </c>
      <c r="O511" s="21">
        <v>1.2250000000000001</v>
      </c>
      <c r="P511" s="21">
        <v>4.3928500000000001</v>
      </c>
    </row>
    <row r="512" spans="1:16" ht="16.5" x14ac:dyDescent="0.25">
      <c r="A512" s="2"/>
      <c r="B512" s="4"/>
      <c r="C512" s="18"/>
      <c r="E512" s="20">
        <v>45377</v>
      </c>
      <c r="F512" s="17" t="s">
        <v>202</v>
      </c>
      <c r="G512" s="21">
        <v>14.5</v>
      </c>
      <c r="H512" s="21">
        <v>24.5</v>
      </c>
      <c r="I512" s="25">
        <v>0.13816326530612241</v>
      </c>
      <c r="J512" s="21">
        <v>2.4500000000000002</v>
      </c>
      <c r="K512" s="21">
        <v>0</v>
      </c>
      <c r="L512" s="21">
        <v>2.94</v>
      </c>
      <c r="M512" s="17" t="s">
        <v>122</v>
      </c>
      <c r="N512" s="17" t="s">
        <v>116</v>
      </c>
      <c r="O512" s="21">
        <v>1.2250000000000001</v>
      </c>
      <c r="P512" s="21">
        <v>2.94</v>
      </c>
    </row>
    <row r="513" spans="1:16" ht="16.5" x14ac:dyDescent="0.25">
      <c r="A513" s="2"/>
      <c r="B513" s="4"/>
      <c r="C513" s="18"/>
      <c r="E513" s="20">
        <v>45377</v>
      </c>
      <c r="F513" s="17" t="s">
        <v>202</v>
      </c>
      <c r="G513" s="21">
        <v>14.5</v>
      </c>
      <c r="H513" s="21">
        <v>23.5</v>
      </c>
      <c r="I513" s="25">
        <v>0.11297872340425531</v>
      </c>
      <c r="J513" s="21">
        <v>2.35</v>
      </c>
      <c r="K513" s="21">
        <v>0</v>
      </c>
      <c r="L513" s="21">
        <v>2.82</v>
      </c>
      <c r="M513" s="17" t="s">
        <v>121</v>
      </c>
      <c r="N513" s="17" t="s">
        <v>116</v>
      </c>
      <c r="O513" s="21">
        <v>1.175</v>
      </c>
      <c r="P513" s="21">
        <v>2.82</v>
      </c>
    </row>
    <row r="514" spans="1:16" ht="16.5" x14ac:dyDescent="0.25">
      <c r="A514" s="2"/>
      <c r="B514" s="4"/>
      <c r="C514" s="18"/>
      <c r="E514" s="20">
        <v>45377</v>
      </c>
      <c r="F514" s="17" t="s">
        <v>202</v>
      </c>
      <c r="G514" s="21">
        <v>14.5</v>
      </c>
      <c r="H514" s="21">
        <v>22.5</v>
      </c>
      <c r="I514" s="25">
        <v>8.5555555555555593E-2</v>
      </c>
      <c r="J514" s="21">
        <v>2.25</v>
      </c>
      <c r="K514" s="21">
        <v>0</v>
      </c>
      <c r="L514" s="21">
        <v>2.6999999999999997</v>
      </c>
      <c r="M514" s="17" t="s">
        <v>120</v>
      </c>
      <c r="N514" s="17" t="s">
        <v>116</v>
      </c>
      <c r="O514" s="21">
        <v>1.125</v>
      </c>
      <c r="P514" s="21">
        <v>2.6999999999999997</v>
      </c>
    </row>
    <row r="515" spans="1:16" ht="16.5" x14ac:dyDescent="0.25">
      <c r="A515" s="2"/>
      <c r="B515" s="4"/>
      <c r="C515" s="18"/>
      <c r="E515" s="20">
        <v>45377</v>
      </c>
      <c r="F515" s="17" t="s">
        <v>202</v>
      </c>
      <c r="G515" s="21">
        <v>14.5</v>
      </c>
      <c r="H515" s="21">
        <v>21.5</v>
      </c>
      <c r="I515" s="25">
        <v>5.5581395348837284E-2</v>
      </c>
      <c r="J515" s="21">
        <v>2.15</v>
      </c>
      <c r="K515" s="21">
        <v>0</v>
      </c>
      <c r="L515" s="21">
        <v>2.58</v>
      </c>
      <c r="M515" s="17" t="s">
        <v>113</v>
      </c>
      <c r="N515" s="17" t="s">
        <v>116</v>
      </c>
      <c r="O515" s="21">
        <v>1.075</v>
      </c>
      <c r="P515" s="21">
        <v>2.58</v>
      </c>
    </row>
    <row r="516" spans="1:16" ht="16.5" x14ac:dyDescent="0.25">
      <c r="A516" s="2"/>
      <c r="B516" s="4"/>
      <c r="C516" s="18"/>
      <c r="E516" s="20">
        <v>45377</v>
      </c>
      <c r="F516" s="17" t="s">
        <v>202</v>
      </c>
      <c r="G516" s="21">
        <v>14.5</v>
      </c>
      <c r="H516" s="21">
        <v>22.5</v>
      </c>
      <c r="I516" s="25">
        <v>0.20555555555555555</v>
      </c>
      <c r="J516" s="21">
        <v>2.25</v>
      </c>
      <c r="K516" s="21">
        <v>0.18125000000000002</v>
      </c>
      <c r="L516" s="21">
        <v>0</v>
      </c>
      <c r="M516" s="17" t="s">
        <v>122</v>
      </c>
      <c r="N516" s="17" t="s">
        <v>115</v>
      </c>
      <c r="O516" s="21">
        <v>1.125</v>
      </c>
      <c r="P516" s="21">
        <v>0</v>
      </c>
    </row>
    <row r="517" spans="1:16" ht="16.5" x14ac:dyDescent="0.25">
      <c r="A517" s="2"/>
      <c r="B517" s="4"/>
      <c r="C517" s="18"/>
      <c r="E517" s="20">
        <v>45377</v>
      </c>
      <c r="F517" s="17" t="s">
        <v>202</v>
      </c>
      <c r="G517" s="21">
        <v>14.5</v>
      </c>
      <c r="H517" s="21">
        <v>21.5</v>
      </c>
      <c r="I517" s="25">
        <v>0.17558139534883721</v>
      </c>
      <c r="J517" s="21">
        <v>2.15</v>
      </c>
      <c r="K517" s="21">
        <v>0.18125000000000002</v>
      </c>
      <c r="L517" s="21">
        <v>0</v>
      </c>
      <c r="M517" s="17" t="s">
        <v>121</v>
      </c>
      <c r="N517" s="17" t="s">
        <v>115</v>
      </c>
      <c r="O517" s="21">
        <v>1.075</v>
      </c>
      <c r="P517" s="21">
        <v>0</v>
      </c>
    </row>
    <row r="518" spans="1:16" ht="16.5" x14ac:dyDescent="0.25">
      <c r="A518" s="2"/>
      <c r="B518" s="4"/>
      <c r="C518" s="18"/>
      <c r="E518" s="20">
        <v>45377</v>
      </c>
      <c r="F518" s="17" t="s">
        <v>202</v>
      </c>
      <c r="G518" s="21">
        <v>14.5</v>
      </c>
      <c r="H518" s="21">
        <v>20.5</v>
      </c>
      <c r="I518" s="25">
        <v>0.14268292682926825</v>
      </c>
      <c r="J518" s="21">
        <v>2.0500000000000003</v>
      </c>
      <c r="K518" s="21">
        <v>0.18125000000000002</v>
      </c>
      <c r="L518" s="21">
        <v>0</v>
      </c>
      <c r="M518" s="17" t="s">
        <v>120</v>
      </c>
      <c r="N518" s="17" t="s">
        <v>115</v>
      </c>
      <c r="O518" s="21">
        <v>1.0250000000000001</v>
      </c>
      <c r="P518" s="21">
        <v>0</v>
      </c>
    </row>
    <row r="519" spans="1:16" ht="16.5" x14ac:dyDescent="0.25">
      <c r="A519" s="2"/>
      <c r="B519" s="4"/>
      <c r="C519" s="18"/>
      <c r="E519" s="20">
        <v>45377</v>
      </c>
      <c r="F519" s="17" t="s">
        <v>202</v>
      </c>
      <c r="G519" s="21">
        <v>14.5</v>
      </c>
      <c r="H519" s="21">
        <v>19.5</v>
      </c>
      <c r="I519" s="25">
        <v>0.10641025641025642</v>
      </c>
      <c r="J519" s="21">
        <v>1.9500000000000002</v>
      </c>
      <c r="K519" s="21">
        <v>0.18125000000000002</v>
      </c>
      <c r="L519" s="21">
        <v>0</v>
      </c>
      <c r="M519" s="17" t="s">
        <v>113</v>
      </c>
      <c r="N519" s="17" t="s">
        <v>115</v>
      </c>
      <c r="O519" s="21">
        <v>0.97500000000000009</v>
      </c>
      <c r="P519" s="21">
        <v>0</v>
      </c>
    </row>
    <row r="520" spans="1:16" ht="16.5" x14ac:dyDescent="0.25">
      <c r="A520" s="2"/>
      <c r="B520" s="4"/>
      <c r="C520" s="18"/>
      <c r="E520" s="20">
        <v>45377</v>
      </c>
      <c r="F520" s="17" t="s">
        <v>202</v>
      </c>
      <c r="G520" s="21">
        <v>14.5</v>
      </c>
      <c r="H520" s="21">
        <v>19.5</v>
      </c>
      <c r="I520" s="25">
        <v>0.10641025641025642</v>
      </c>
      <c r="J520" s="21">
        <v>1.9500000000000002</v>
      </c>
      <c r="K520" s="21">
        <v>0.18125000000000002</v>
      </c>
      <c r="L520" s="21">
        <v>0</v>
      </c>
      <c r="M520" s="17" t="s">
        <v>122</v>
      </c>
      <c r="N520" s="17" t="s">
        <v>115</v>
      </c>
      <c r="O520" s="21">
        <v>0.97500000000000009</v>
      </c>
      <c r="P520" s="21">
        <v>0</v>
      </c>
    </row>
    <row r="521" spans="1:16" ht="16.5" x14ac:dyDescent="0.25">
      <c r="A521" s="2"/>
      <c r="B521" s="4"/>
      <c r="C521" s="18"/>
      <c r="E521" s="20">
        <v>45377</v>
      </c>
      <c r="F521" s="17" t="s">
        <v>202</v>
      </c>
      <c r="G521" s="21">
        <v>14.5</v>
      </c>
      <c r="H521" s="21">
        <v>19.5</v>
      </c>
      <c r="I521" s="25">
        <v>0.10641025641025642</v>
      </c>
      <c r="J521" s="21">
        <v>1.9500000000000002</v>
      </c>
      <c r="K521" s="21">
        <v>0.18125000000000002</v>
      </c>
      <c r="L521" s="21">
        <v>0</v>
      </c>
      <c r="M521" s="17" t="s">
        <v>122</v>
      </c>
      <c r="N521" s="17" t="s">
        <v>115</v>
      </c>
      <c r="O521" s="21">
        <v>0.97500000000000009</v>
      </c>
      <c r="P521" s="21">
        <v>0</v>
      </c>
    </row>
    <row r="522" spans="1:16" ht="16.5" x14ac:dyDescent="0.25">
      <c r="A522" s="2"/>
      <c r="B522" s="4"/>
      <c r="C522" s="18"/>
      <c r="E522" s="20">
        <v>45364</v>
      </c>
      <c r="F522" s="17" t="s">
        <v>195</v>
      </c>
      <c r="G522" s="21">
        <v>9.8559999999999999</v>
      </c>
      <c r="H522" s="21">
        <v>20.9</v>
      </c>
      <c r="I522" s="25">
        <v>0.13912105263157892</v>
      </c>
      <c r="J522" s="21">
        <v>2.09</v>
      </c>
      <c r="K522" s="21">
        <v>1.3439999999999999</v>
      </c>
      <c r="L522" s="21">
        <v>3.7619999999999996</v>
      </c>
      <c r="M522" s="17" t="s">
        <v>122</v>
      </c>
      <c r="N522" s="17" t="s">
        <v>117</v>
      </c>
      <c r="O522" s="21">
        <v>1.0449999999999999</v>
      </c>
      <c r="P522" s="21">
        <v>5.0013699999999996</v>
      </c>
    </row>
    <row r="523" spans="1:16" ht="16.5" x14ac:dyDescent="0.25">
      <c r="A523" s="2"/>
      <c r="B523" s="4"/>
      <c r="C523" s="18"/>
      <c r="E523" s="20">
        <v>45364</v>
      </c>
      <c r="F523" s="17" t="s">
        <v>195</v>
      </c>
      <c r="G523" s="21">
        <v>9.8559999999999999</v>
      </c>
      <c r="H523" s="21">
        <v>19.899999999999999</v>
      </c>
      <c r="I523" s="25">
        <v>0.11542361809045221</v>
      </c>
      <c r="J523" s="21">
        <v>1.99</v>
      </c>
      <c r="K523" s="21">
        <v>1.3439999999999999</v>
      </c>
      <c r="L523" s="21">
        <v>3.5819999999999994</v>
      </c>
      <c r="M523" s="17" t="s">
        <v>121</v>
      </c>
      <c r="N523" s="17" t="s">
        <v>117</v>
      </c>
      <c r="O523" s="21">
        <v>0.995</v>
      </c>
      <c r="P523" s="21">
        <v>4.7620699999999996</v>
      </c>
    </row>
    <row r="524" spans="1:16" ht="16.5" x14ac:dyDescent="0.25">
      <c r="A524" s="2"/>
      <c r="B524" s="4"/>
      <c r="C524" s="18"/>
      <c r="E524" s="20">
        <v>45364</v>
      </c>
      <c r="F524" s="17" t="s">
        <v>195</v>
      </c>
      <c r="G524" s="21">
        <v>9.8559999999999999</v>
      </c>
      <c r="H524" s="21">
        <v>18.899999999999999</v>
      </c>
      <c r="I524" s="25">
        <v>8.9218518518518503E-2</v>
      </c>
      <c r="J524" s="21">
        <v>1.89</v>
      </c>
      <c r="K524" s="21">
        <v>1.3439999999999999</v>
      </c>
      <c r="L524" s="21">
        <v>3.4019999999999997</v>
      </c>
      <c r="M524" s="17" t="s">
        <v>120</v>
      </c>
      <c r="N524" s="17" t="s">
        <v>117</v>
      </c>
      <c r="O524" s="21">
        <v>0.94499999999999995</v>
      </c>
      <c r="P524" s="21">
        <v>4.5227699999999995</v>
      </c>
    </row>
    <row r="525" spans="1:16" ht="16.5" x14ac:dyDescent="0.25">
      <c r="A525" s="2"/>
      <c r="B525" s="4"/>
      <c r="C525" s="18"/>
      <c r="E525" s="20">
        <v>45364</v>
      </c>
      <c r="F525" s="17" t="s">
        <v>195</v>
      </c>
      <c r="G525" s="21">
        <v>9.8559999999999999</v>
      </c>
      <c r="H525" s="21">
        <v>17.899999999999999</v>
      </c>
      <c r="I525" s="25">
        <v>6.0085474860335157E-2</v>
      </c>
      <c r="J525" s="21">
        <v>1.79</v>
      </c>
      <c r="K525" s="21">
        <v>1.3439999999999999</v>
      </c>
      <c r="L525" s="21">
        <v>3.2219999999999995</v>
      </c>
      <c r="M525" s="17" t="s">
        <v>113</v>
      </c>
      <c r="N525" s="17" t="s">
        <v>117</v>
      </c>
      <c r="O525" s="21">
        <v>0.89500000000000002</v>
      </c>
      <c r="P525" s="21">
        <v>4.2834699999999994</v>
      </c>
    </row>
    <row r="526" spans="1:16" ht="16.5" x14ac:dyDescent="0.25">
      <c r="A526" s="2"/>
      <c r="B526" s="4"/>
      <c r="C526" s="18"/>
      <c r="E526" s="20">
        <v>45364</v>
      </c>
      <c r="F526" s="17" t="s">
        <v>195</v>
      </c>
      <c r="G526" s="21">
        <v>9.8559999999999999</v>
      </c>
      <c r="H526" s="21">
        <v>20.9</v>
      </c>
      <c r="I526" s="25">
        <v>0.13912105263157892</v>
      </c>
      <c r="J526" s="21">
        <v>2.09</v>
      </c>
      <c r="K526" s="21">
        <v>1.3439999999999999</v>
      </c>
      <c r="L526" s="21">
        <v>3.7619999999999996</v>
      </c>
      <c r="M526" s="17" t="s">
        <v>122</v>
      </c>
      <c r="N526" s="17" t="s">
        <v>117</v>
      </c>
      <c r="O526" s="21">
        <v>1.0449999999999999</v>
      </c>
      <c r="P526" s="21">
        <v>5.0013699999999996</v>
      </c>
    </row>
    <row r="527" spans="1:16" ht="16.5" x14ac:dyDescent="0.25">
      <c r="A527" s="2"/>
      <c r="B527" s="4"/>
      <c r="C527" s="18"/>
      <c r="E527" s="20">
        <v>45364</v>
      </c>
      <c r="F527" s="17" t="s">
        <v>195</v>
      </c>
      <c r="G527" s="21">
        <v>9.8559999999999999</v>
      </c>
      <c r="H527" s="21">
        <v>19.899999999999999</v>
      </c>
      <c r="I527" s="25">
        <v>0.11542361809045221</v>
      </c>
      <c r="J527" s="21">
        <v>1.99</v>
      </c>
      <c r="K527" s="21">
        <v>1.3439999999999999</v>
      </c>
      <c r="L527" s="21">
        <v>3.5819999999999994</v>
      </c>
      <c r="M527" s="17" t="s">
        <v>121</v>
      </c>
      <c r="N527" s="17" t="s">
        <v>117</v>
      </c>
      <c r="O527" s="21">
        <v>0.995</v>
      </c>
      <c r="P527" s="21">
        <v>4.7620699999999996</v>
      </c>
    </row>
    <row r="528" spans="1:16" ht="16.5" x14ac:dyDescent="0.25">
      <c r="A528" s="2"/>
      <c r="B528" s="4"/>
      <c r="C528" s="18"/>
      <c r="E528" s="20">
        <v>45364</v>
      </c>
      <c r="F528" s="17" t="s">
        <v>195</v>
      </c>
      <c r="G528" s="21">
        <v>9.8559999999999999</v>
      </c>
      <c r="H528" s="21">
        <v>18.899999999999999</v>
      </c>
      <c r="I528" s="25">
        <v>8.9218518518518503E-2</v>
      </c>
      <c r="J528" s="21">
        <v>1.89</v>
      </c>
      <c r="K528" s="21">
        <v>1.3439999999999999</v>
      </c>
      <c r="L528" s="21">
        <v>3.4019999999999997</v>
      </c>
      <c r="M528" s="17" t="s">
        <v>120</v>
      </c>
      <c r="N528" s="17" t="s">
        <v>117</v>
      </c>
      <c r="O528" s="21">
        <v>0.94499999999999995</v>
      </c>
      <c r="P528" s="21">
        <v>4.5227699999999995</v>
      </c>
    </row>
    <row r="529" spans="1:16" ht="16.5" x14ac:dyDescent="0.25">
      <c r="A529" s="2"/>
      <c r="B529" s="4"/>
      <c r="C529" s="18"/>
      <c r="E529" s="20">
        <v>45364</v>
      </c>
      <c r="F529" s="17" t="s">
        <v>195</v>
      </c>
      <c r="G529" s="21">
        <v>9.8559999999999999</v>
      </c>
      <c r="H529" s="21">
        <v>17.899999999999999</v>
      </c>
      <c r="I529" s="25">
        <v>6.0085474860335157E-2</v>
      </c>
      <c r="J529" s="21">
        <v>1.79</v>
      </c>
      <c r="K529" s="21">
        <v>1.3439999999999999</v>
      </c>
      <c r="L529" s="21">
        <v>3.2219999999999995</v>
      </c>
      <c r="M529" s="17" t="s">
        <v>113</v>
      </c>
      <c r="N529" s="17" t="s">
        <v>117</v>
      </c>
      <c r="O529" s="21">
        <v>0.89500000000000002</v>
      </c>
      <c r="P529" s="21">
        <v>4.2834699999999994</v>
      </c>
    </row>
    <row r="530" spans="1:16" ht="16.5" x14ac:dyDescent="0.25">
      <c r="A530" s="2"/>
      <c r="B530" s="4"/>
      <c r="C530" s="18"/>
      <c r="E530" s="20">
        <v>45364</v>
      </c>
      <c r="F530" s="17" t="s">
        <v>193</v>
      </c>
      <c r="G530" s="21">
        <v>9.8559999999999999</v>
      </c>
      <c r="H530" s="21">
        <v>18.899999999999999</v>
      </c>
      <c r="I530" s="25">
        <v>0.14921851851851842</v>
      </c>
      <c r="J530" s="21">
        <v>1.89</v>
      </c>
      <c r="K530" s="21">
        <v>1.3439999999999999</v>
      </c>
      <c r="L530" s="21">
        <v>2.2679999999999998</v>
      </c>
      <c r="M530" s="17" t="s">
        <v>122</v>
      </c>
      <c r="N530" s="17" t="s">
        <v>117</v>
      </c>
      <c r="O530" s="21">
        <v>0.94499999999999995</v>
      </c>
      <c r="P530" s="21">
        <v>3.3887700000000001</v>
      </c>
    </row>
    <row r="531" spans="1:16" ht="16.5" x14ac:dyDescent="0.25">
      <c r="A531" s="2"/>
      <c r="B531" s="4"/>
      <c r="C531" s="18"/>
      <c r="E531" s="20">
        <v>45364</v>
      </c>
      <c r="F531" s="17" t="s">
        <v>193</v>
      </c>
      <c r="G531" s="21">
        <v>9.8559999999999999</v>
      </c>
      <c r="H531" s="21">
        <v>17.899999999999999</v>
      </c>
      <c r="I531" s="25">
        <v>0.12008547486033515</v>
      </c>
      <c r="J531" s="21">
        <v>1.79</v>
      </c>
      <c r="K531" s="21">
        <v>1.3439999999999999</v>
      </c>
      <c r="L531" s="21">
        <v>2.1479999999999997</v>
      </c>
      <c r="M531" s="17" t="s">
        <v>121</v>
      </c>
      <c r="N531" s="17" t="s">
        <v>117</v>
      </c>
      <c r="O531" s="21">
        <v>0.89500000000000002</v>
      </c>
      <c r="P531" s="21">
        <v>3.20947</v>
      </c>
    </row>
    <row r="532" spans="1:16" ht="16.5" x14ac:dyDescent="0.25">
      <c r="A532" s="2"/>
      <c r="B532" s="4"/>
      <c r="C532" s="18"/>
      <c r="E532" s="20">
        <v>45364</v>
      </c>
      <c r="F532" s="17" t="s">
        <v>193</v>
      </c>
      <c r="G532" s="21">
        <v>9.8559999999999999</v>
      </c>
      <c r="H532" s="21">
        <v>16.899999999999999</v>
      </c>
      <c r="I532" s="25">
        <v>8.7504733727810605E-2</v>
      </c>
      <c r="J532" s="21">
        <v>1.69</v>
      </c>
      <c r="K532" s="21">
        <v>1.3439999999999999</v>
      </c>
      <c r="L532" s="21">
        <v>2.0279999999999996</v>
      </c>
      <c r="M532" s="17" t="s">
        <v>120</v>
      </c>
      <c r="N532" s="17" t="s">
        <v>117</v>
      </c>
      <c r="O532" s="21">
        <v>0.84499999999999997</v>
      </c>
      <c r="P532" s="21">
        <v>3.03017</v>
      </c>
    </row>
    <row r="533" spans="1:16" ht="16.5" x14ac:dyDescent="0.25">
      <c r="A533" s="2"/>
      <c r="B533" s="4"/>
      <c r="C533" s="18"/>
      <c r="E533" s="20">
        <v>45364</v>
      </c>
      <c r="F533" s="17" t="s">
        <v>193</v>
      </c>
      <c r="G533" s="21">
        <v>9.8559999999999999</v>
      </c>
      <c r="H533" s="21">
        <v>15.9</v>
      </c>
      <c r="I533" s="25">
        <v>5.0825786163522013E-2</v>
      </c>
      <c r="J533" s="21">
        <v>1.59</v>
      </c>
      <c r="K533" s="21">
        <v>1.3439999999999999</v>
      </c>
      <c r="L533" s="21">
        <v>1.9079999999999999</v>
      </c>
      <c r="M533" s="17" t="s">
        <v>113</v>
      </c>
      <c r="N533" s="17" t="s">
        <v>117</v>
      </c>
      <c r="O533" s="21">
        <v>0.79500000000000004</v>
      </c>
      <c r="P533" s="21">
        <v>2.8508700000000005</v>
      </c>
    </row>
    <row r="534" spans="1:16" ht="16.5" x14ac:dyDescent="0.25">
      <c r="A534" s="2"/>
      <c r="B534" s="4"/>
      <c r="C534" s="18"/>
      <c r="E534" s="20">
        <v>45364</v>
      </c>
      <c r="F534" s="17" t="s">
        <v>193</v>
      </c>
      <c r="G534" s="21">
        <v>9.8559999999999999</v>
      </c>
      <c r="H534" s="21">
        <v>15.9</v>
      </c>
      <c r="I534" s="25">
        <v>5.0825786163522013E-2</v>
      </c>
      <c r="J534" s="21">
        <v>1.59</v>
      </c>
      <c r="K534" s="21">
        <v>1.3439999999999999</v>
      </c>
      <c r="L534" s="21">
        <v>1.9079999999999999</v>
      </c>
      <c r="M534" s="17" t="s">
        <v>122</v>
      </c>
      <c r="N534" s="17" t="s">
        <v>117</v>
      </c>
      <c r="O534" s="21">
        <v>0.79500000000000004</v>
      </c>
      <c r="P534" s="21">
        <v>2.8508700000000005</v>
      </c>
    </row>
    <row r="535" spans="1:16" ht="16.5" x14ac:dyDescent="0.25">
      <c r="A535" s="2"/>
      <c r="B535" s="4"/>
      <c r="C535" s="18"/>
      <c r="E535" s="20">
        <v>45364</v>
      </c>
      <c r="F535" s="17" t="s">
        <v>219</v>
      </c>
      <c r="G535" s="21">
        <v>8.7119999999999997</v>
      </c>
      <c r="H535" s="21">
        <v>19.899999999999999</v>
      </c>
      <c r="I535" s="25">
        <v>0.17291105527638187</v>
      </c>
      <c r="J535" s="21">
        <v>1.99</v>
      </c>
      <c r="K535" s="21">
        <v>1.1879999999999999</v>
      </c>
      <c r="L535" s="21">
        <v>3.5819999999999994</v>
      </c>
      <c r="M535" s="17" t="s">
        <v>122</v>
      </c>
      <c r="N535" s="17" t="s">
        <v>117</v>
      </c>
      <c r="O535" s="21">
        <v>0.995</v>
      </c>
      <c r="P535" s="21">
        <v>4.7620699999999996</v>
      </c>
    </row>
    <row r="536" spans="1:16" ht="16.5" x14ac:dyDescent="0.25">
      <c r="A536" s="2"/>
      <c r="B536" s="4"/>
      <c r="C536" s="18"/>
      <c r="E536" s="20">
        <v>45364</v>
      </c>
      <c r="F536" s="17" t="s">
        <v>219</v>
      </c>
      <c r="G536" s="21">
        <v>8.7119999999999997</v>
      </c>
      <c r="H536" s="21">
        <v>18.899999999999999</v>
      </c>
      <c r="I536" s="25">
        <v>0.14974761904761902</v>
      </c>
      <c r="J536" s="21">
        <v>1.89</v>
      </c>
      <c r="K536" s="21">
        <v>1.1879999999999999</v>
      </c>
      <c r="L536" s="21">
        <v>3.4019999999999997</v>
      </c>
      <c r="M536" s="17" t="s">
        <v>122</v>
      </c>
      <c r="N536" s="17" t="s">
        <v>117</v>
      </c>
      <c r="O536" s="21">
        <v>0.94499999999999995</v>
      </c>
      <c r="P536" s="21">
        <v>4.5227699999999995</v>
      </c>
    </row>
    <row r="537" spans="1:16" ht="16.5" x14ac:dyDescent="0.25">
      <c r="A537" s="2"/>
      <c r="B537" s="4"/>
      <c r="C537" s="18"/>
      <c r="E537" s="20">
        <v>45364</v>
      </c>
      <c r="F537" s="17" t="s">
        <v>219</v>
      </c>
      <c r="G537" s="21">
        <v>8.7119999999999997</v>
      </c>
      <c r="H537" s="21">
        <v>18.899999999999999</v>
      </c>
      <c r="I537" s="25">
        <v>0.14974761904761902</v>
      </c>
      <c r="J537" s="21">
        <v>1.89</v>
      </c>
      <c r="K537" s="21">
        <v>1.1879999999999999</v>
      </c>
      <c r="L537" s="21">
        <v>3.4019999999999997</v>
      </c>
      <c r="M537" s="17" t="s">
        <v>121</v>
      </c>
      <c r="N537" s="17" t="s">
        <v>117</v>
      </c>
      <c r="O537" s="21">
        <v>0.94499999999999995</v>
      </c>
      <c r="P537" s="21">
        <v>4.5227699999999995</v>
      </c>
    </row>
    <row r="538" spans="1:16" ht="16.5" x14ac:dyDescent="0.25">
      <c r="A538" s="2"/>
      <c r="B538" s="4"/>
      <c r="C538" s="18"/>
      <c r="E538" s="20">
        <v>45364</v>
      </c>
      <c r="F538" s="17" t="s">
        <v>219</v>
      </c>
      <c r="G538" s="21">
        <v>8.7119999999999997</v>
      </c>
      <c r="H538" s="21">
        <v>17.899999999999999</v>
      </c>
      <c r="I538" s="25">
        <v>0.12399608938547486</v>
      </c>
      <c r="J538" s="21">
        <v>1.79</v>
      </c>
      <c r="K538" s="21">
        <v>1.1879999999999999</v>
      </c>
      <c r="L538" s="21">
        <v>3.2219999999999995</v>
      </c>
      <c r="M538" s="17" t="s">
        <v>120</v>
      </c>
      <c r="N538" s="17" t="s">
        <v>117</v>
      </c>
      <c r="O538" s="21">
        <v>0.89500000000000002</v>
      </c>
      <c r="P538" s="21">
        <v>4.2834699999999994</v>
      </c>
    </row>
    <row r="539" spans="1:16" ht="16.5" x14ac:dyDescent="0.25">
      <c r="A539" s="2"/>
      <c r="B539" s="4"/>
      <c r="C539" s="18"/>
      <c r="E539" s="20">
        <v>45364</v>
      </c>
      <c r="F539" s="17" t="s">
        <v>219</v>
      </c>
      <c r="G539" s="21">
        <v>8.7119999999999997</v>
      </c>
      <c r="H539" s="21">
        <v>16.899999999999999</v>
      </c>
      <c r="I539" s="25">
        <v>9.5197041420118228E-2</v>
      </c>
      <c r="J539" s="21">
        <v>1.69</v>
      </c>
      <c r="K539" s="21">
        <v>1.1879999999999999</v>
      </c>
      <c r="L539" s="21">
        <v>3.0419999999999998</v>
      </c>
      <c r="M539" s="17" t="s">
        <v>113</v>
      </c>
      <c r="N539" s="17" t="s">
        <v>117</v>
      </c>
      <c r="O539" s="21">
        <v>0.84499999999999997</v>
      </c>
      <c r="P539" s="21">
        <v>4.0441700000000003</v>
      </c>
    </row>
    <row r="540" spans="1:16" ht="16.5" x14ac:dyDescent="0.25">
      <c r="A540" s="2"/>
      <c r="B540" s="4"/>
      <c r="C540" s="18"/>
      <c r="E540" s="20">
        <v>45364</v>
      </c>
      <c r="F540" s="17" t="s">
        <v>191</v>
      </c>
      <c r="G540" s="21">
        <v>8.7119999999999997</v>
      </c>
      <c r="H540" s="21">
        <v>17.899999999999999</v>
      </c>
      <c r="I540" s="25">
        <v>0.18399608938547485</v>
      </c>
      <c r="J540" s="21">
        <v>1.79</v>
      </c>
      <c r="K540" s="21">
        <v>1.1879999999999999</v>
      </c>
      <c r="L540" s="21">
        <v>2.1479999999999997</v>
      </c>
      <c r="M540" s="17" t="s">
        <v>122</v>
      </c>
      <c r="N540" s="17" t="s">
        <v>117</v>
      </c>
      <c r="O540" s="21">
        <v>0.89500000000000002</v>
      </c>
      <c r="P540" s="21">
        <v>3.20947</v>
      </c>
    </row>
    <row r="541" spans="1:16" ht="16.5" x14ac:dyDescent="0.25">
      <c r="A541" s="2"/>
      <c r="B541" s="4"/>
      <c r="C541" s="18"/>
      <c r="E541" s="20">
        <v>45364</v>
      </c>
      <c r="F541" s="17" t="s">
        <v>191</v>
      </c>
      <c r="G541" s="21">
        <v>8.7119999999999997</v>
      </c>
      <c r="H541" s="21">
        <v>16.899999999999999</v>
      </c>
      <c r="I541" s="25">
        <v>0.15519704142011831</v>
      </c>
      <c r="J541" s="21">
        <v>1.69</v>
      </c>
      <c r="K541" s="21">
        <v>1.1879999999999999</v>
      </c>
      <c r="L541" s="21">
        <v>2.0279999999999996</v>
      </c>
      <c r="M541" s="17" t="s">
        <v>121</v>
      </c>
      <c r="N541" s="17" t="s">
        <v>117</v>
      </c>
      <c r="O541" s="21">
        <v>0.84499999999999997</v>
      </c>
      <c r="P541" s="21">
        <v>3.03017</v>
      </c>
    </row>
    <row r="542" spans="1:16" ht="16.5" x14ac:dyDescent="0.25">
      <c r="A542" s="2"/>
      <c r="B542" s="4"/>
      <c r="C542" s="18"/>
      <c r="E542" s="20">
        <v>45364</v>
      </c>
      <c r="F542" s="17" t="s">
        <v>191</v>
      </c>
      <c r="G542" s="21">
        <v>8.7119999999999997</v>
      </c>
      <c r="H542" s="21">
        <v>15.9</v>
      </c>
      <c r="I542" s="25">
        <v>0.12277547169811322</v>
      </c>
      <c r="J542" s="21">
        <v>1.59</v>
      </c>
      <c r="K542" s="21">
        <v>1.1879999999999999</v>
      </c>
      <c r="L542" s="21">
        <v>1.9079999999999999</v>
      </c>
      <c r="M542" s="17" t="s">
        <v>120</v>
      </c>
      <c r="N542" s="17" t="s">
        <v>117</v>
      </c>
      <c r="O542" s="21">
        <v>0.79500000000000004</v>
      </c>
      <c r="P542" s="21">
        <v>2.8508700000000005</v>
      </c>
    </row>
    <row r="543" spans="1:16" ht="16.5" x14ac:dyDescent="0.25">
      <c r="A543" s="2"/>
      <c r="B543" s="4"/>
      <c r="C543" s="18"/>
      <c r="E543" s="20">
        <v>45364</v>
      </c>
      <c r="F543" s="17" t="s">
        <v>191</v>
      </c>
      <c r="G543" s="21">
        <v>8.7119999999999997</v>
      </c>
      <c r="H543" s="21">
        <v>14.9</v>
      </c>
      <c r="I543" s="25">
        <v>8.6002013422818754E-2</v>
      </c>
      <c r="J543" s="21">
        <v>1.4900000000000002</v>
      </c>
      <c r="K543" s="21">
        <v>1.1879999999999999</v>
      </c>
      <c r="L543" s="21">
        <v>1.788</v>
      </c>
      <c r="M543" s="17" t="s">
        <v>113</v>
      </c>
      <c r="N543" s="17" t="s">
        <v>117</v>
      </c>
      <c r="O543" s="21">
        <v>0.74500000000000011</v>
      </c>
      <c r="P543" s="21">
        <v>2.6715700000000004</v>
      </c>
    </row>
    <row r="544" spans="1:16" ht="16.5" x14ac:dyDescent="0.25">
      <c r="A544" s="2"/>
      <c r="B544" s="4"/>
      <c r="C544" s="18"/>
      <c r="E544" s="20">
        <v>45363</v>
      </c>
      <c r="F544" s="17" t="s">
        <v>100</v>
      </c>
      <c r="G544" s="21">
        <v>18.762499999999999</v>
      </c>
      <c r="H544" s="21">
        <v>35</v>
      </c>
      <c r="I544" s="25">
        <v>0.13462857142857143</v>
      </c>
      <c r="J544" s="21">
        <v>3.5</v>
      </c>
      <c r="K544" s="21">
        <v>0.23750000000000002</v>
      </c>
      <c r="L544" s="21">
        <v>4.2</v>
      </c>
      <c r="M544" s="17" t="s">
        <v>122</v>
      </c>
      <c r="N544" s="17" t="s">
        <v>117</v>
      </c>
      <c r="O544" s="21">
        <v>1.75</v>
      </c>
      <c r="P544" s="21">
        <v>6.275500000000001</v>
      </c>
    </row>
    <row r="545" spans="1:16" ht="16.5" x14ac:dyDescent="0.25">
      <c r="A545" s="2"/>
      <c r="B545" s="4"/>
      <c r="C545" s="18"/>
      <c r="E545" s="20">
        <v>45363</v>
      </c>
      <c r="F545" s="17" t="s">
        <v>100</v>
      </c>
      <c r="G545" s="21">
        <v>18.762499999999999</v>
      </c>
      <c r="H545" s="21">
        <v>34</v>
      </c>
      <c r="I545" s="25">
        <v>0.11886176470588238</v>
      </c>
      <c r="J545" s="21">
        <v>3.4000000000000004</v>
      </c>
      <c r="K545" s="21">
        <v>0.23750000000000002</v>
      </c>
      <c r="L545" s="21">
        <v>4.08</v>
      </c>
      <c r="M545" s="17" t="s">
        <v>121</v>
      </c>
      <c r="N545" s="17" t="s">
        <v>117</v>
      </c>
      <c r="O545" s="21">
        <v>1.7000000000000002</v>
      </c>
      <c r="P545" s="21">
        <v>6.0962000000000005</v>
      </c>
    </row>
    <row r="546" spans="1:16" ht="16.5" x14ac:dyDescent="0.25">
      <c r="A546" s="2"/>
      <c r="B546" s="4"/>
      <c r="C546" s="18"/>
      <c r="E546" s="20">
        <v>45363</v>
      </c>
      <c r="F546" s="17" t="s">
        <v>100</v>
      </c>
      <c r="G546" s="21">
        <v>18.762499999999999</v>
      </c>
      <c r="H546" s="21">
        <v>33</v>
      </c>
      <c r="I546" s="25">
        <v>0.10213939393939399</v>
      </c>
      <c r="J546" s="21">
        <v>3.3000000000000003</v>
      </c>
      <c r="K546" s="21">
        <v>0.23750000000000002</v>
      </c>
      <c r="L546" s="21">
        <v>3.96</v>
      </c>
      <c r="M546" s="17" t="s">
        <v>120</v>
      </c>
      <c r="N546" s="17" t="s">
        <v>117</v>
      </c>
      <c r="O546" s="21">
        <v>1.6500000000000001</v>
      </c>
      <c r="P546" s="21">
        <v>5.9169</v>
      </c>
    </row>
    <row r="547" spans="1:16" ht="16.5" x14ac:dyDescent="0.25">
      <c r="A547" s="2"/>
      <c r="B547" s="4"/>
      <c r="C547" s="18"/>
      <c r="E547" s="20">
        <v>45363</v>
      </c>
      <c r="F547" s="17" t="s">
        <v>100</v>
      </c>
      <c r="G547" s="21">
        <v>18.762499999999999</v>
      </c>
      <c r="H547" s="21">
        <v>32</v>
      </c>
      <c r="I547" s="25">
        <v>8.4371875000000013E-2</v>
      </c>
      <c r="J547" s="21">
        <v>3.2</v>
      </c>
      <c r="K547" s="21">
        <v>0.23750000000000002</v>
      </c>
      <c r="L547" s="21">
        <v>3.84</v>
      </c>
      <c r="M547" s="17" t="s">
        <v>113</v>
      </c>
      <c r="N547" s="17" t="s">
        <v>117</v>
      </c>
      <c r="O547" s="21">
        <v>1.6</v>
      </c>
      <c r="P547" s="21">
        <v>5.7376000000000005</v>
      </c>
    </row>
    <row r="548" spans="1:16" ht="16.5" x14ac:dyDescent="0.25">
      <c r="A548" s="2"/>
      <c r="B548" s="4"/>
      <c r="C548" s="18"/>
      <c r="E548" s="20">
        <v>45363</v>
      </c>
      <c r="F548" s="17" t="s">
        <v>100</v>
      </c>
      <c r="G548" s="21">
        <v>19</v>
      </c>
      <c r="H548" s="21">
        <v>30</v>
      </c>
      <c r="I548" s="25">
        <v>0.16166666666666671</v>
      </c>
      <c r="J548" s="21">
        <v>3</v>
      </c>
      <c r="K548" s="21">
        <v>0</v>
      </c>
      <c r="L548" s="21">
        <v>1.65</v>
      </c>
      <c r="M548" s="17" t="s">
        <v>122</v>
      </c>
      <c r="N548" s="17" t="s">
        <v>116</v>
      </c>
      <c r="O548" s="21">
        <v>1.5</v>
      </c>
      <c r="P548" s="21">
        <v>1.65</v>
      </c>
    </row>
    <row r="549" spans="1:16" ht="16.5" x14ac:dyDescent="0.25">
      <c r="A549" s="2"/>
      <c r="B549" s="4"/>
      <c r="C549" s="18"/>
      <c r="E549" s="20">
        <v>45363</v>
      </c>
      <c r="F549" s="17" t="s">
        <v>100</v>
      </c>
      <c r="G549" s="21">
        <v>19</v>
      </c>
      <c r="H549" s="21">
        <v>29</v>
      </c>
      <c r="I549" s="25">
        <v>0.13982758620689656</v>
      </c>
      <c r="J549" s="21">
        <v>2.9000000000000004</v>
      </c>
      <c r="K549" s="21">
        <v>0</v>
      </c>
      <c r="L549" s="21">
        <v>1.595</v>
      </c>
      <c r="M549" s="17" t="s">
        <v>121</v>
      </c>
      <c r="N549" s="17" t="s">
        <v>116</v>
      </c>
      <c r="O549" s="21">
        <v>1.4500000000000002</v>
      </c>
      <c r="P549" s="21">
        <v>1.595</v>
      </c>
    </row>
    <row r="550" spans="1:16" ht="16.5" x14ac:dyDescent="0.25">
      <c r="A550" s="2"/>
      <c r="B550" s="4"/>
      <c r="C550" s="18"/>
      <c r="E550" s="20">
        <v>45363</v>
      </c>
      <c r="F550" s="17" t="s">
        <v>100</v>
      </c>
      <c r="G550" s="21">
        <v>19</v>
      </c>
      <c r="H550" s="21">
        <v>28</v>
      </c>
      <c r="I550" s="25">
        <v>0.11642857142857144</v>
      </c>
      <c r="J550" s="21">
        <v>2.8000000000000003</v>
      </c>
      <c r="K550" s="21">
        <v>0</v>
      </c>
      <c r="L550" s="21">
        <v>1.54</v>
      </c>
      <c r="M550" s="17" t="s">
        <v>120</v>
      </c>
      <c r="N550" s="17" t="s">
        <v>116</v>
      </c>
      <c r="O550" s="21">
        <v>1.4000000000000001</v>
      </c>
      <c r="P550" s="21">
        <v>1.54</v>
      </c>
    </row>
    <row r="551" spans="1:16" ht="16.5" x14ac:dyDescent="0.25">
      <c r="A551" s="2"/>
      <c r="B551" s="4"/>
      <c r="C551" s="18"/>
      <c r="E551" s="20">
        <v>45363</v>
      </c>
      <c r="F551" s="17" t="s">
        <v>100</v>
      </c>
      <c r="G551" s="21">
        <v>19</v>
      </c>
      <c r="H551" s="21">
        <v>27</v>
      </c>
      <c r="I551" s="25">
        <v>9.129629629629632E-2</v>
      </c>
      <c r="J551" s="21">
        <v>2.7</v>
      </c>
      <c r="K551" s="21">
        <v>0</v>
      </c>
      <c r="L551" s="21">
        <v>1.4850000000000001</v>
      </c>
      <c r="M551" s="17" t="s">
        <v>113</v>
      </c>
      <c r="N551" s="17" t="s">
        <v>116</v>
      </c>
      <c r="O551" s="21">
        <v>1.35</v>
      </c>
      <c r="P551" s="21">
        <v>1.4850000000000001</v>
      </c>
    </row>
    <row r="552" spans="1:16" ht="16.5" x14ac:dyDescent="0.25">
      <c r="A552" s="2"/>
      <c r="B552" s="4"/>
      <c r="C552" s="18"/>
      <c r="E552" s="20">
        <v>45363</v>
      </c>
      <c r="F552" s="17" t="s">
        <v>100</v>
      </c>
      <c r="G552" s="21">
        <v>19</v>
      </c>
      <c r="H552" s="21">
        <v>28</v>
      </c>
      <c r="I552" s="25">
        <v>0.1714285714285714</v>
      </c>
      <c r="J552" s="21">
        <v>2.8000000000000003</v>
      </c>
      <c r="K552" s="21">
        <v>0.23750000000000002</v>
      </c>
      <c r="L552" s="21">
        <v>0</v>
      </c>
      <c r="M552" s="17" t="s">
        <v>122</v>
      </c>
      <c r="N552" s="17" t="s">
        <v>115</v>
      </c>
      <c r="O552" s="21">
        <v>1.4000000000000001</v>
      </c>
      <c r="P552" s="21">
        <v>0</v>
      </c>
    </row>
    <row r="553" spans="1:16" ht="16.5" x14ac:dyDescent="0.25">
      <c r="A553" s="2"/>
      <c r="B553" s="4"/>
      <c r="C553" s="18"/>
      <c r="E553" s="20">
        <v>45363</v>
      </c>
      <c r="F553" s="17" t="s">
        <v>100</v>
      </c>
      <c r="G553" s="21">
        <v>19</v>
      </c>
      <c r="H553" s="21">
        <v>27</v>
      </c>
      <c r="I553" s="25">
        <v>0.14629629629629631</v>
      </c>
      <c r="J553" s="21">
        <v>2.7</v>
      </c>
      <c r="K553" s="21">
        <v>0.23750000000000002</v>
      </c>
      <c r="L553" s="21">
        <v>0</v>
      </c>
      <c r="M553" s="17" t="s">
        <v>121</v>
      </c>
      <c r="N553" s="17" t="s">
        <v>115</v>
      </c>
      <c r="O553" s="21">
        <v>1.35</v>
      </c>
      <c r="P553" s="21">
        <v>0</v>
      </c>
    </row>
    <row r="554" spans="1:16" ht="16.5" x14ac:dyDescent="0.25">
      <c r="A554" s="2"/>
      <c r="B554" s="4"/>
      <c r="C554" s="18"/>
      <c r="E554" s="20">
        <v>45363</v>
      </c>
      <c r="F554" s="17" t="s">
        <v>100</v>
      </c>
      <c r="G554" s="21">
        <v>19</v>
      </c>
      <c r="H554" s="21">
        <v>26</v>
      </c>
      <c r="I554" s="25">
        <v>0.11923076923076924</v>
      </c>
      <c r="J554" s="21">
        <v>2.6</v>
      </c>
      <c r="K554" s="21">
        <v>0.23750000000000002</v>
      </c>
      <c r="L554" s="21">
        <v>0</v>
      </c>
      <c r="M554" s="17" t="s">
        <v>120</v>
      </c>
      <c r="N554" s="17" t="s">
        <v>115</v>
      </c>
      <c r="O554" s="21">
        <v>1.3</v>
      </c>
      <c r="P554" s="21">
        <v>0</v>
      </c>
    </row>
    <row r="555" spans="1:16" ht="16.5" x14ac:dyDescent="0.25">
      <c r="A555" s="2"/>
      <c r="B555" s="4"/>
      <c r="C555" s="18"/>
      <c r="E555" s="20">
        <v>45363</v>
      </c>
      <c r="F555" s="17" t="s">
        <v>100</v>
      </c>
      <c r="G555" s="21">
        <v>19</v>
      </c>
      <c r="H555" s="21">
        <v>25</v>
      </c>
      <c r="I555" s="25">
        <v>0.09</v>
      </c>
      <c r="J555" s="21">
        <v>2.5</v>
      </c>
      <c r="K555" s="21">
        <v>0.23750000000000002</v>
      </c>
      <c r="L555" s="21">
        <v>0</v>
      </c>
      <c r="M555" s="17" t="s">
        <v>113</v>
      </c>
      <c r="N555" s="17" t="s">
        <v>115</v>
      </c>
      <c r="O555" s="21">
        <v>1.25</v>
      </c>
      <c r="P555" s="21">
        <v>0</v>
      </c>
    </row>
    <row r="556" spans="1:16" ht="16.5" x14ac:dyDescent="0.25">
      <c r="A556" s="2"/>
      <c r="B556" s="4"/>
      <c r="C556" s="18"/>
      <c r="E556" s="20">
        <v>45363</v>
      </c>
      <c r="F556" s="17" t="s">
        <v>99</v>
      </c>
      <c r="G556" s="21">
        <v>12.8375</v>
      </c>
      <c r="H556" s="21">
        <v>23.5</v>
      </c>
      <c r="I556" s="25">
        <v>0.12442340425531907</v>
      </c>
      <c r="J556" s="21">
        <v>2.35</v>
      </c>
      <c r="K556" s="21">
        <v>0.16250000000000001</v>
      </c>
      <c r="L556" s="21">
        <v>2.82</v>
      </c>
      <c r="M556" s="17" t="s">
        <v>122</v>
      </c>
      <c r="N556" s="17" t="s">
        <v>117</v>
      </c>
      <c r="O556" s="21">
        <v>1.175</v>
      </c>
      <c r="P556" s="21">
        <v>4.2135500000000006</v>
      </c>
    </row>
    <row r="557" spans="1:16" ht="16.5" x14ac:dyDescent="0.25">
      <c r="A557" s="2"/>
      <c r="B557" s="4"/>
      <c r="C557" s="18"/>
      <c r="E557" s="20">
        <v>45363</v>
      </c>
      <c r="F557" s="17" t="s">
        <v>99</v>
      </c>
      <c r="G557" s="21">
        <v>12.8375</v>
      </c>
      <c r="H557" s="21">
        <v>23</v>
      </c>
      <c r="I557" s="25">
        <v>0.11254782608695653</v>
      </c>
      <c r="J557" s="21">
        <v>2.3000000000000003</v>
      </c>
      <c r="K557" s="21">
        <v>0.16250000000000001</v>
      </c>
      <c r="L557" s="21">
        <v>2.76</v>
      </c>
      <c r="M557" s="17" t="s">
        <v>121</v>
      </c>
      <c r="N557" s="17" t="s">
        <v>117</v>
      </c>
      <c r="O557" s="21">
        <v>1.1500000000000001</v>
      </c>
      <c r="P557" s="21">
        <v>4.1239000000000008</v>
      </c>
    </row>
    <row r="558" spans="1:16" ht="16.5" x14ac:dyDescent="0.25">
      <c r="A558" s="2"/>
      <c r="B558" s="4"/>
      <c r="C558" s="18"/>
      <c r="E558" s="20">
        <v>45363</v>
      </c>
      <c r="F558" s="17" t="s">
        <v>99</v>
      </c>
      <c r="G558" s="21">
        <v>12.8375</v>
      </c>
      <c r="H558" s="21">
        <v>22.5</v>
      </c>
      <c r="I558" s="25">
        <v>0.10014444444444442</v>
      </c>
      <c r="J558" s="21">
        <v>2.25</v>
      </c>
      <c r="K558" s="21">
        <v>0.16250000000000001</v>
      </c>
      <c r="L558" s="21">
        <v>2.6999999999999997</v>
      </c>
      <c r="M558" s="17" t="s">
        <v>120</v>
      </c>
      <c r="N558" s="17" t="s">
        <v>117</v>
      </c>
      <c r="O558" s="21">
        <v>1.125</v>
      </c>
      <c r="P558" s="21">
        <v>4.0342500000000001</v>
      </c>
    </row>
    <row r="559" spans="1:16" ht="16.5" x14ac:dyDescent="0.25">
      <c r="A559" s="2"/>
      <c r="B559" s="4"/>
      <c r="C559" s="18"/>
      <c r="E559" s="20">
        <v>45363</v>
      </c>
      <c r="F559" s="17" t="s">
        <v>99</v>
      </c>
      <c r="G559" s="21">
        <v>12.8375</v>
      </c>
      <c r="H559" s="21">
        <v>22</v>
      </c>
      <c r="I559" s="25">
        <v>8.7177272727272659E-2</v>
      </c>
      <c r="J559" s="21">
        <v>2.2000000000000002</v>
      </c>
      <c r="K559" s="21">
        <v>0.16250000000000001</v>
      </c>
      <c r="L559" s="21">
        <v>2.6399999999999997</v>
      </c>
      <c r="M559" s="17" t="s">
        <v>113</v>
      </c>
      <c r="N559" s="17" t="s">
        <v>117</v>
      </c>
      <c r="O559" s="21">
        <v>1.1000000000000001</v>
      </c>
      <c r="P559" s="21">
        <v>3.9446000000000003</v>
      </c>
    </row>
    <row r="560" spans="1:16" ht="16.5" x14ac:dyDescent="0.25">
      <c r="A560" s="2"/>
      <c r="B560" s="4"/>
      <c r="C560" s="18"/>
      <c r="E560" s="20">
        <v>45363</v>
      </c>
      <c r="F560" s="17" t="s">
        <v>99</v>
      </c>
      <c r="G560" s="21">
        <v>13</v>
      </c>
      <c r="H560" s="21">
        <v>20</v>
      </c>
      <c r="I560" s="25">
        <v>0.14499999999999993</v>
      </c>
      <c r="J560" s="21">
        <v>2</v>
      </c>
      <c r="K560" s="21">
        <v>0</v>
      </c>
      <c r="L560" s="21">
        <v>1.1000000000000001</v>
      </c>
      <c r="M560" s="17" t="s">
        <v>122</v>
      </c>
      <c r="N560" s="17" t="s">
        <v>116</v>
      </c>
      <c r="O560" s="21">
        <v>1</v>
      </c>
      <c r="P560" s="21">
        <v>1.1000000000000001</v>
      </c>
    </row>
    <row r="561" spans="1:16" ht="16.5" x14ac:dyDescent="0.25">
      <c r="A561" s="2"/>
      <c r="B561" s="4"/>
      <c r="C561" s="18"/>
      <c r="E561" s="20">
        <v>45363</v>
      </c>
      <c r="F561" s="17" t="s">
        <v>99</v>
      </c>
      <c r="G561" s="21">
        <v>13</v>
      </c>
      <c r="H561" s="21">
        <v>19.5</v>
      </c>
      <c r="I561" s="25">
        <v>0.12833333333333327</v>
      </c>
      <c r="J561" s="21">
        <v>1.9500000000000002</v>
      </c>
      <c r="K561" s="21">
        <v>0</v>
      </c>
      <c r="L561" s="21">
        <v>1.0725</v>
      </c>
      <c r="M561" s="17" t="s">
        <v>121</v>
      </c>
      <c r="N561" s="17" t="s">
        <v>116</v>
      </c>
      <c r="O561" s="21">
        <v>0.97500000000000009</v>
      </c>
      <c r="P561" s="21">
        <v>1.0725</v>
      </c>
    </row>
    <row r="562" spans="1:16" ht="16.5" x14ac:dyDescent="0.25">
      <c r="A562" s="2"/>
      <c r="B562" s="4"/>
      <c r="C562" s="18"/>
      <c r="E562" s="20">
        <v>45363</v>
      </c>
      <c r="F562" s="17" t="s">
        <v>99</v>
      </c>
      <c r="G562" s="21">
        <v>13</v>
      </c>
      <c r="H562" s="21">
        <v>19</v>
      </c>
      <c r="I562" s="25">
        <v>0.11078947368421041</v>
      </c>
      <c r="J562" s="21">
        <v>1.9000000000000001</v>
      </c>
      <c r="K562" s="21">
        <v>0</v>
      </c>
      <c r="L562" s="21">
        <v>1.0449999999999999</v>
      </c>
      <c r="M562" s="17" t="s">
        <v>120</v>
      </c>
      <c r="N562" s="17" t="s">
        <v>116</v>
      </c>
      <c r="O562" s="21">
        <v>0.95000000000000007</v>
      </c>
      <c r="P562" s="21">
        <v>1.0449999999999999</v>
      </c>
    </row>
    <row r="563" spans="1:16" ht="16.5" x14ac:dyDescent="0.25">
      <c r="A563" s="2"/>
      <c r="B563" s="4"/>
      <c r="C563" s="18"/>
      <c r="E563" s="20">
        <v>45363</v>
      </c>
      <c r="F563" s="17" t="s">
        <v>99</v>
      </c>
      <c r="G563" s="21">
        <v>13</v>
      </c>
      <c r="H563" s="21">
        <v>18.5</v>
      </c>
      <c r="I563" s="25">
        <v>9.2297297297297395E-2</v>
      </c>
      <c r="J563" s="21">
        <v>1.85</v>
      </c>
      <c r="K563" s="21">
        <v>0</v>
      </c>
      <c r="L563" s="21">
        <v>1.0175000000000001</v>
      </c>
      <c r="M563" s="17" t="s">
        <v>113</v>
      </c>
      <c r="N563" s="17" t="s">
        <v>116</v>
      </c>
      <c r="O563" s="21">
        <v>0.92500000000000004</v>
      </c>
      <c r="P563" s="21">
        <v>1.0175000000000001</v>
      </c>
    </row>
    <row r="564" spans="1:16" ht="16.5" x14ac:dyDescent="0.25">
      <c r="A564" s="2"/>
      <c r="B564" s="4"/>
      <c r="C564" s="18"/>
      <c r="E564" s="20">
        <v>45363</v>
      </c>
      <c r="F564" s="17" t="s">
        <v>99</v>
      </c>
      <c r="G564" s="21">
        <v>13</v>
      </c>
      <c r="H564" s="21">
        <v>19</v>
      </c>
      <c r="I564" s="25">
        <v>0.16578947368421049</v>
      </c>
      <c r="J564" s="21">
        <v>1.9000000000000001</v>
      </c>
      <c r="K564" s="21">
        <v>0.16250000000000001</v>
      </c>
      <c r="L564" s="21">
        <v>0</v>
      </c>
      <c r="M564" s="17" t="s">
        <v>122</v>
      </c>
      <c r="N564" s="17" t="s">
        <v>115</v>
      </c>
      <c r="O564" s="21">
        <v>0.95000000000000007</v>
      </c>
      <c r="P564" s="21">
        <v>0</v>
      </c>
    </row>
    <row r="565" spans="1:16" ht="16.5" x14ac:dyDescent="0.25">
      <c r="A565" s="2"/>
      <c r="B565" s="4"/>
      <c r="C565" s="18"/>
      <c r="E565" s="20">
        <v>45363</v>
      </c>
      <c r="F565" s="17" t="s">
        <v>99</v>
      </c>
      <c r="G565" s="21">
        <v>13</v>
      </c>
      <c r="H565" s="21">
        <v>18.5</v>
      </c>
      <c r="I565" s="25">
        <v>0.14729729729729729</v>
      </c>
      <c r="J565" s="21">
        <v>1.85</v>
      </c>
      <c r="K565" s="21">
        <v>0.16250000000000001</v>
      </c>
      <c r="L565" s="21">
        <v>0</v>
      </c>
      <c r="M565" s="17" t="s">
        <v>121</v>
      </c>
      <c r="N565" s="17" t="s">
        <v>115</v>
      </c>
      <c r="O565" s="21">
        <v>0.92500000000000004</v>
      </c>
      <c r="P565" s="21">
        <v>0</v>
      </c>
    </row>
    <row r="566" spans="1:16" ht="16.5" x14ac:dyDescent="0.25">
      <c r="A566" s="2"/>
      <c r="B566" s="4"/>
      <c r="C566" s="18"/>
      <c r="E566" s="20">
        <v>45363</v>
      </c>
      <c r="F566" s="17" t="s">
        <v>99</v>
      </c>
      <c r="G566" s="21">
        <v>13</v>
      </c>
      <c r="H566" s="21">
        <v>18</v>
      </c>
      <c r="I566" s="25">
        <v>0.12777777777777777</v>
      </c>
      <c r="J566" s="21">
        <v>1.8</v>
      </c>
      <c r="K566" s="21">
        <v>0.16250000000000001</v>
      </c>
      <c r="L566" s="21">
        <v>0</v>
      </c>
      <c r="M566" s="17" t="s">
        <v>120</v>
      </c>
      <c r="N566" s="17" t="s">
        <v>115</v>
      </c>
      <c r="O566" s="21">
        <v>0.9</v>
      </c>
      <c r="P566" s="21">
        <v>0</v>
      </c>
    </row>
    <row r="567" spans="1:16" ht="16.5" x14ac:dyDescent="0.25">
      <c r="A567" s="2"/>
      <c r="B567" s="4"/>
      <c r="C567" s="18"/>
      <c r="E567" s="20">
        <v>45363</v>
      </c>
      <c r="F567" s="17" t="s">
        <v>99</v>
      </c>
      <c r="G567" s="21">
        <v>13</v>
      </c>
      <c r="H567" s="21">
        <v>17.5</v>
      </c>
      <c r="I567" s="25">
        <v>0.10714285714285714</v>
      </c>
      <c r="J567" s="21">
        <v>1.75</v>
      </c>
      <c r="K567" s="21">
        <v>0.16250000000000001</v>
      </c>
      <c r="L567" s="21">
        <v>0</v>
      </c>
      <c r="M567" s="17" t="s">
        <v>113</v>
      </c>
      <c r="N567" s="17" t="s">
        <v>115</v>
      </c>
      <c r="O567" s="21">
        <v>0.875</v>
      </c>
      <c r="P567" s="21">
        <v>0</v>
      </c>
    </row>
    <row r="568" spans="1:16" ht="16.5" x14ac:dyDescent="0.25">
      <c r="A568" s="2"/>
      <c r="B568" s="4"/>
      <c r="C568" s="18"/>
      <c r="E568" s="20">
        <v>45076</v>
      </c>
      <c r="F568" s="17" t="s">
        <v>199</v>
      </c>
      <c r="G568" s="21">
        <v>29.625</v>
      </c>
      <c r="H568" s="21">
        <v>57</v>
      </c>
      <c r="I568" s="25">
        <v>0.1509631578947368</v>
      </c>
      <c r="J568" s="21">
        <v>5.7</v>
      </c>
      <c r="K568" s="21">
        <v>0.375</v>
      </c>
      <c r="L568" s="21">
        <v>6.84</v>
      </c>
      <c r="M568" s="17" t="s">
        <v>122</v>
      </c>
      <c r="N568" s="17" t="s">
        <v>117</v>
      </c>
      <c r="O568" s="21">
        <v>2.85</v>
      </c>
      <c r="P568" s="21">
        <v>10.2201</v>
      </c>
    </row>
    <row r="569" spans="1:16" ht="16.5" x14ac:dyDescent="0.25">
      <c r="A569" s="2"/>
      <c r="B569" s="4"/>
      <c r="C569" s="18"/>
      <c r="E569" s="20">
        <v>45076</v>
      </c>
      <c r="F569" s="17" t="s">
        <v>199</v>
      </c>
      <c r="G569" s="21">
        <v>29.625</v>
      </c>
      <c r="H569" s="21">
        <v>55</v>
      </c>
      <c r="I569" s="25">
        <v>0.13206363636363638</v>
      </c>
      <c r="J569" s="21">
        <v>5.5</v>
      </c>
      <c r="K569" s="21">
        <v>0.375</v>
      </c>
      <c r="L569" s="21">
        <v>6.6</v>
      </c>
      <c r="M569" s="17" t="s">
        <v>121</v>
      </c>
      <c r="N569" s="17" t="s">
        <v>117</v>
      </c>
      <c r="O569" s="21">
        <v>2.75</v>
      </c>
      <c r="P569" s="21">
        <v>9.8615000000000013</v>
      </c>
    </row>
    <row r="570" spans="1:16" ht="16.5" x14ac:dyDescent="0.25">
      <c r="A570" s="2"/>
      <c r="B570" s="4"/>
      <c r="C570" s="18"/>
      <c r="E570" s="20">
        <v>45076</v>
      </c>
      <c r="F570" s="17" t="s">
        <v>199</v>
      </c>
      <c r="G570" s="21">
        <v>29.625</v>
      </c>
      <c r="H570" s="21">
        <v>53</v>
      </c>
      <c r="I570" s="25">
        <v>0.11173773584905665</v>
      </c>
      <c r="J570" s="21">
        <v>5.3000000000000007</v>
      </c>
      <c r="K570" s="21">
        <v>0.375</v>
      </c>
      <c r="L570" s="21">
        <v>6.3599999999999994</v>
      </c>
      <c r="M570" s="17" t="s">
        <v>120</v>
      </c>
      <c r="N570" s="17" t="s">
        <v>117</v>
      </c>
      <c r="O570" s="21">
        <v>2.6500000000000004</v>
      </c>
      <c r="P570" s="21">
        <v>9.5029000000000003</v>
      </c>
    </row>
    <row r="571" spans="1:16" ht="16.5" x14ac:dyDescent="0.25">
      <c r="A571" s="2"/>
      <c r="B571" s="4"/>
      <c r="C571" s="18"/>
      <c r="E571" s="20">
        <v>45076</v>
      </c>
      <c r="F571" s="17" t="s">
        <v>199</v>
      </c>
      <c r="G571" s="21">
        <v>29.625</v>
      </c>
      <c r="H571" s="21">
        <v>51</v>
      </c>
      <c r="I571" s="25">
        <v>8.9817647058823488E-2</v>
      </c>
      <c r="J571" s="21">
        <v>5.1000000000000005</v>
      </c>
      <c r="K571" s="21">
        <v>0.375</v>
      </c>
      <c r="L571" s="21">
        <v>6.12</v>
      </c>
      <c r="M571" s="17" t="s">
        <v>113</v>
      </c>
      <c r="N571" s="17" t="s">
        <v>117</v>
      </c>
      <c r="O571" s="21">
        <v>2.5500000000000003</v>
      </c>
      <c r="P571" s="21">
        <v>9.1443000000000012</v>
      </c>
    </row>
    <row r="572" spans="1:16" ht="16.5" x14ac:dyDescent="0.25">
      <c r="A572" s="2"/>
      <c r="B572" s="4"/>
      <c r="C572" s="18"/>
      <c r="E572" s="20">
        <v>45076</v>
      </c>
      <c r="F572" s="17" t="s">
        <v>199</v>
      </c>
      <c r="G572" s="21">
        <v>30</v>
      </c>
      <c r="H572" s="21">
        <v>54</v>
      </c>
      <c r="I572" s="25">
        <v>0.17444444444444451</v>
      </c>
      <c r="J572" s="21">
        <v>5.4</v>
      </c>
      <c r="K572" s="21">
        <v>0</v>
      </c>
      <c r="L572" s="21">
        <v>6.4799999999999995</v>
      </c>
      <c r="M572" s="17" t="s">
        <v>122</v>
      </c>
      <c r="N572" s="17" t="s">
        <v>116</v>
      </c>
      <c r="O572" s="21">
        <v>2.7</v>
      </c>
      <c r="P572" s="21">
        <v>6.4799999999999995</v>
      </c>
    </row>
    <row r="573" spans="1:16" ht="16.5" x14ac:dyDescent="0.25">
      <c r="A573" s="2"/>
      <c r="B573" s="4"/>
      <c r="C573" s="18"/>
      <c r="E573" s="20">
        <v>45076</v>
      </c>
      <c r="F573" s="17" t="s">
        <v>199</v>
      </c>
      <c r="G573" s="21">
        <v>30</v>
      </c>
      <c r="H573" s="21">
        <v>52</v>
      </c>
      <c r="I573" s="25">
        <v>0.15307692307692305</v>
      </c>
      <c r="J573" s="21">
        <v>5.2</v>
      </c>
      <c r="K573" s="21">
        <v>0</v>
      </c>
      <c r="L573" s="21">
        <v>6.24</v>
      </c>
      <c r="M573" s="17" t="s">
        <v>121</v>
      </c>
      <c r="N573" s="17" t="s">
        <v>116</v>
      </c>
      <c r="O573" s="21">
        <v>2.6</v>
      </c>
      <c r="P573" s="21">
        <v>6.24</v>
      </c>
    </row>
    <row r="574" spans="1:16" ht="16.5" x14ac:dyDescent="0.25">
      <c r="A574" s="2"/>
      <c r="B574" s="4"/>
      <c r="C574" s="18"/>
      <c r="E574" s="20">
        <v>45076</v>
      </c>
      <c r="F574" s="17" t="s">
        <v>199</v>
      </c>
      <c r="G574" s="21">
        <v>30</v>
      </c>
      <c r="H574" s="21">
        <v>50</v>
      </c>
      <c r="I574" s="25">
        <v>0.13</v>
      </c>
      <c r="J574" s="21">
        <v>5</v>
      </c>
      <c r="K574" s="21">
        <v>0</v>
      </c>
      <c r="L574" s="21">
        <v>6</v>
      </c>
      <c r="M574" s="17" t="s">
        <v>120</v>
      </c>
      <c r="N574" s="17" t="s">
        <v>116</v>
      </c>
      <c r="O574" s="21">
        <v>2.5</v>
      </c>
      <c r="P574" s="21">
        <v>6</v>
      </c>
    </row>
    <row r="575" spans="1:16" ht="16.5" x14ac:dyDescent="0.25">
      <c r="A575" s="2"/>
      <c r="B575" s="4"/>
      <c r="C575" s="18"/>
      <c r="E575" s="20">
        <v>45076</v>
      </c>
      <c r="F575" s="17" t="s">
        <v>199</v>
      </c>
      <c r="G575" s="21">
        <v>30</v>
      </c>
      <c r="H575" s="21">
        <v>48</v>
      </c>
      <c r="I575" s="25">
        <v>0.10500000000000002</v>
      </c>
      <c r="J575" s="21">
        <v>4.8000000000000007</v>
      </c>
      <c r="K575" s="21">
        <v>0</v>
      </c>
      <c r="L575" s="21">
        <v>5.76</v>
      </c>
      <c r="M575" s="17" t="s">
        <v>113</v>
      </c>
      <c r="N575" s="17" t="s">
        <v>116</v>
      </c>
      <c r="O575" s="21">
        <v>2.4000000000000004</v>
      </c>
      <c r="P575" s="21">
        <v>5.76</v>
      </c>
    </row>
    <row r="576" spans="1:16" ht="16.5" x14ac:dyDescent="0.25">
      <c r="A576" s="2"/>
      <c r="B576" s="4"/>
      <c r="C576" s="18"/>
      <c r="E576" s="20">
        <v>45076</v>
      </c>
      <c r="F576" s="17" t="s">
        <v>199</v>
      </c>
      <c r="G576" s="21">
        <v>30</v>
      </c>
      <c r="H576" s="21">
        <v>48</v>
      </c>
      <c r="I576" s="25">
        <v>0.10500000000000002</v>
      </c>
      <c r="J576" s="21">
        <v>4.8000000000000007</v>
      </c>
      <c r="K576" s="21">
        <v>0</v>
      </c>
      <c r="L576" s="21">
        <v>5.76</v>
      </c>
      <c r="M576" s="17" t="s">
        <v>122</v>
      </c>
      <c r="N576" s="17" t="s">
        <v>116</v>
      </c>
      <c r="O576" s="21">
        <v>2.4000000000000004</v>
      </c>
      <c r="P576" s="21">
        <v>5.76</v>
      </c>
    </row>
    <row r="577" spans="1:16" ht="16.5" x14ac:dyDescent="0.25">
      <c r="A577" s="2"/>
      <c r="B577" s="4"/>
      <c r="C577" s="18"/>
      <c r="E577" s="20">
        <v>45076</v>
      </c>
      <c r="F577" s="17" t="s">
        <v>199</v>
      </c>
      <c r="G577" s="21">
        <v>30</v>
      </c>
      <c r="H577" s="21">
        <v>47</v>
      </c>
      <c r="I577" s="25">
        <v>0.21170212765957444</v>
      </c>
      <c r="J577" s="21">
        <v>4.7</v>
      </c>
      <c r="K577" s="21">
        <v>0.375</v>
      </c>
      <c r="L577" s="21">
        <v>0</v>
      </c>
      <c r="M577" s="17" t="s">
        <v>122</v>
      </c>
      <c r="N577" s="17" t="s">
        <v>115</v>
      </c>
      <c r="O577" s="21">
        <v>2.35</v>
      </c>
      <c r="P577" s="21">
        <v>0</v>
      </c>
    </row>
    <row r="578" spans="1:16" ht="16.5" x14ac:dyDescent="0.25">
      <c r="A578" s="2"/>
      <c r="B578" s="4"/>
      <c r="C578" s="18"/>
      <c r="E578" s="20">
        <v>45076</v>
      </c>
      <c r="F578" s="17" t="s">
        <v>199</v>
      </c>
      <c r="G578" s="21">
        <v>30</v>
      </c>
      <c r="H578" s="21">
        <v>45</v>
      </c>
      <c r="I578" s="25">
        <v>0.18333333333333332</v>
      </c>
      <c r="J578" s="21">
        <v>4.5</v>
      </c>
      <c r="K578" s="21">
        <v>0.375</v>
      </c>
      <c r="L578" s="21">
        <v>0</v>
      </c>
      <c r="M578" s="17" t="s">
        <v>121</v>
      </c>
      <c r="N578" s="17" t="s">
        <v>115</v>
      </c>
      <c r="O578" s="21">
        <v>2.25</v>
      </c>
      <c r="P578" s="21">
        <v>0</v>
      </c>
    </row>
    <row r="579" spans="1:16" ht="16.5" x14ac:dyDescent="0.25">
      <c r="A579" s="2"/>
      <c r="B579" s="4"/>
      <c r="C579" s="18"/>
      <c r="E579" s="20">
        <v>45076</v>
      </c>
      <c r="F579" s="17" t="s">
        <v>199</v>
      </c>
      <c r="G579" s="21">
        <v>30</v>
      </c>
      <c r="H579" s="21">
        <v>43</v>
      </c>
      <c r="I579" s="25">
        <v>0.15232558139534882</v>
      </c>
      <c r="J579" s="21">
        <v>4.3</v>
      </c>
      <c r="K579" s="21">
        <v>0.375</v>
      </c>
      <c r="L579" s="21">
        <v>0</v>
      </c>
      <c r="M579" s="17" t="s">
        <v>120</v>
      </c>
      <c r="N579" s="17" t="s">
        <v>115</v>
      </c>
      <c r="O579" s="21">
        <v>2.15</v>
      </c>
      <c r="P579" s="21">
        <v>0</v>
      </c>
    </row>
    <row r="580" spans="1:16" ht="16.5" x14ac:dyDescent="0.25">
      <c r="A580" s="2"/>
      <c r="B580" s="4"/>
      <c r="C580" s="18"/>
      <c r="E580" s="20">
        <v>45076</v>
      </c>
      <c r="F580" s="17" t="s">
        <v>199</v>
      </c>
      <c r="G580" s="21">
        <v>30</v>
      </c>
      <c r="H580" s="21">
        <v>41</v>
      </c>
      <c r="I580" s="25">
        <v>0.11829268292682923</v>
      </c>
      <c r="J580" s="21">
        <v>4.1000000000000005</v>
      </c>
      <c r="K580" s="21">
        <v>0.375</v>
      </c>
      <c r="L580" s="21">
        <v>0</v>
      </c>
      <c r="M580" s="17" t="s">
        <v>113</v>
      </c>
      <c r="N580" s="17" t="s">
        <v>115</v>
      </c>
      <c r="O580" s="21">
        <v>2.0500000000000003</v>
      </c>
      <c r="P580" s="21">
        <v>0</v>
      </c>
    </row>
    <row r="581" spans="1:16" ht="16.5" x14ac:dyDescent="0.25">
      <c r="A581" s="2"/>
      <c r="B581" s="4"/>
      <c r="C581" s="18"/>
      <c r="E581" s="20">
        <v>45076</v>
      </c>
      <c r="F581" s="17" t="s">
        <v>200</v>
      </c>
      <c r="G581" s="21">
        <v>30.612500000000001</v>
      </c>
      <c r="H581" s="21">
        <v>59</v>
      </c>
      <c r="I581" s="25">
        <v>0.15184406779661019</v>
      </c>
      <c r="J581" s="21">
        <v>5.9</v>
      </c>
      <c r="K581" s="21">
        <v>0.38750000000000001</v>
      </c>
      <c r="L581" s="21">
        <v>7.08</v>
      </c>
      <c r="M581" s="17" t="s">
        <v>122</v>
      </c>
      <c r="N581" s="17" t="s">
        <v>117</v>
      </c>
      <c r="O581" s="21">
        <v>2.95</v>
      </c>
      <c r="P581" s="21">
        <v>10.578700000000001</v>
      </c>
    </row>
    <row r="582" spans="1:16" ht="16.5" x14ac:dyDescent="0.25">
      <c r="A582" s="2"/>
      <c r="B582" s="4"/>
      <c r="C582" s="18"/>
      <c r="E582" s="20">
        <v>45076</v>
      </c>
      <c r="F582" s="17" t="s">
        <v>200</v>
      </c>
      <c r="G582" s="21">
        <v>30.612500000000001</v>
      </c>
      <c r="H582" s="21">
        <v>57</v>
      </c>
      <c r="I582" s="25">
        <v>0.13363859649122803</v>
      </c>
      <c r="J582" s="21">
        <v>5.7</v>
      </c>
      <c r="K582" s="21">
        <v>0.38750000000000001</v>
      </c>
      <c r="L582" s="21">
        <v>6.84</v>
      </c>
      <c r="M582" s="17" t="s">
        <v>121</v>
      </c>
      <c r="N582" s="17" t="s">
        <v>117</v>
      </c>
      <c r="O582" s="21">
        <v>2.85</v>
      </c>
      <c r="P582" s="21">
        <v>10.2201</v>
      </c>
    </row>
    <row r="583" spans="1:16" ht="16.5" x14ac:dyDescent="0.25">
      <c r="A583" s="2"/>
      <c r="B583" s="4"/>
      <c r="C583" s="18"/>
      <c r="E583" s="20">
        <v>45076</v>
      </c>
      <c r="F583" s="17" t="s">
        <v>200</v>
      </c>
      <c r="G583" s="21">
        <v>30.612500000000001</v>
      </c>
      <c r="H583" s="21">
        <v>55</v>
      </c>
      <c r="I583" s="25">
        <v>0.11410909090909091</v>
      </c>
      <c r="J583" s="21">
        <v>5.5</v>
      </c>
      <c r="K583" s="21">
        <v>0.38750000000000001</v>
      </c>
      <c r="L583" s="21">
        <v>6.6</v>
      </c>
      <c r="M583" s="17" t="s">
        <v>120</v>
      </c>
      <c r="N583" s="17" t="s">
        <v>117</v>
      </c>
      <c r="O583" s="21">
        <v>2.75</v>
      </c>
      <c r="P583" s="21">
        <v>9.8615000000000013</v>
      </c>
    </row>
    <row r="584" spans="1:16" ht="16.5" x14ac:dyDescent="0.25">
      <c r="A584" s="2"/>
      <c r="B584" s="4"/>
      <c r="C584" s="18"/>
      <c r="E584" s="20">
        <v>45076</v>
      </c>
      <c r="F584" s="17" t="s">
        <v>200</v>
      </c>
      <c r="G584" s="21">
        <v>30.612500000000001</v>
      </c>
      <c r="H584" s="21">
        <v>53</v>
      </c>
      <c r="I584" s="25">
        <v>9.3105660377358512E-2</v>
      </c>
      <c r="J584" s="21">
        <v>5.3000000000000007</v>
      </c>
      <c r="K584" s="21">
        <v>0.38750000000000001</v>
      </c>
      <c r="L584" s="21">
        <v>6.3599999999999994</v>
      </c>
      <c r="M584" s="17" t="s">
        <v>113</v>
      </c>
      <c r="N584" s="17" t="s">
        <v>117</v>
      </c>
      <c r="O584" s="21">
        <v>2.6500000000000004</v>
      </c>
      <c r="P584" s="21">
        <v>9.5029000000000003</v>
      </c>
    </row>
    <row r="585" spans="1:16" ht="16.5" x14ac:dyDescent="0.25">
      <c r="A585" s="2"/>
      <c r="B585" s="4"/>
      <c r="C585" s="18"/>
      <c r="E585" s="20">
        <v>45076</v>
      </c>
      <c r="F585" s="17" t="s">
        <v>200</v>
      </c>
      <c r="G585" s="21">
        <v>31</v>
      </c>
      <c r="H585" s="21">
        <v>55</v>
      </c>
      <c r="I585" s="25">
        <v>0.16636363636363632</v>
      </c>
      <c r="J585" s="21">
        <v>5.5</v>
      </c>
      <c r="K585" s="21">
        <v>0</v>
      </c>
      <c r="L585" s="21">
        <v>6.6</v>
      </c>
      <c r="M585" s="17" t="s">
        <v>122</v>
      </c>
      <c r="N585" s="17" t="s">
        <v>116</v>
      </c>
      <c r="O585" s="21">
        <v>2.75</v>
      </c>
      <c r="P585" s="21">
        <v>6.6</v>
      </c>
    </row>
    <row r="586" spans="1:16" ht="16.5" x14ac:dyDescent="0.25">
      <c r="A586" s="2"/>
      <c r="B586" s="4"/>
      <c r="C586" s="18"/>
      <c r="E586" s="20">
        <v>45076</v>
      </c>
      <c r="F586" s="17" t="s">
        <v>200</v>
      </c>
      <c r="G586" s="21">
        <v>31</v>
      </c>
      <c r="H586" s="21">
        <v>53</v>
      </c>
      <c r="I586" s="25">
        <v>0.14509433962264151</v>
      </c>
      <c r="J586" s="21">
        <v>5.3000000000000007</v>
      </c>
      <c r="K586" s="21">
        <v>0</v>
      </c>
      <c r="L586" s="21">
        <v>6.3599999999999994</v>
      </c>
      <c r="M586" s="17" t="s">
        <v>121</v>
      </c>
      <c r="N586" s="17" t="s">
        <v>116</v>
      </c>
      <c r="O586" s="21">
        <v>2.6500000000000004</v>
      </c>
      <c r="P586" s="21">
        <v>6.3599999999999994</v>
      </c>
    </row>
    <row r="587" spans="1:16" ht="16.5" x14ac:dyDescent="0.25">
      <c r="A587" s="2"/>
      <c r="B587" s="4"/>
      <c r="C587" s="18"/>
      <c r="E587" s="20">
        <v>45076</v>
      </c>
      <c r="F587" s="17" t="s">
        <v>200</v>
      </c>
      <c r="G587" s="21">
        <v>31</v>
      </c>
      <c r="H587" s="21">
        <v>53</v>
      </c>
      <c r="I587" s="25">
        <v>0.14509433962264151</v>
      </c>
      <c r="J587" s="21">
        <v>5.3000000000000007</v>
      </c>
      <c r="K587" s="21">
        <v>0</v>
      </c>
      <c r="L587" s="21">
        <v>6.3599999999999994</v>
      </c>
      <c r="M587" s="17" t="s">
        <v>122</v>
      </c>
      <c r="N587" s="17" t="s">
        <v>116</v>
      </c>
      <c r="O587" s="21">
        <v>2.6500000000000004</v>
      </c>
      <c r="P587" s="21">
        <v>6.3599999999999994</v>
      </c>
    </row>
    <row r="588" spans="1:16" ht="16.5" x14ac:dyDescent="0.25">
      <c r="A588" s="2"/>
      <c r="B588" s="4"/>
      <c r="C588" s="18"/>
      <c r="E588" s="20">
        <v>45076</v>
      </c>
      <c r="F588" s="17" t="s">
        <v>200</v>
      </c>
      <c r="G588" s="21">
        <v>31</v>
      </c>
      <c r="H588" s="21">
        <v>51</v>
      </c>
      <c r="I588" s="25">
        <v>0.12215686274509807</v>
      </c>
      <c r="J588" s="21">
        <v>5.1000000000000005</v>
      </c>
      <c r="K588" s="21">
        <v>0</v>
      </c>
      <c r="L588" s="21">
        <v>6.12</v>
      </c>
      <c r="M588" s="17" t="s">
        <v>120</v>
      </c>
      <c r="N588" s="17" t="s">
        <v>116</v>
      </c>
      <c r="O588" s="21">
        <v>2.5500000000000003</v>
      </c>
      <c r="P588" s="21">
        <v>6.12</v>
      </c>
    </row>
    <row r="589" spans="1:16" ht="16.5" x14ac:dyDescent="0.25">
      <c r="A589" s="2"/>
      <c r="B589" s="4"/>
      <c r="C589" s="18"/>
      <c r="E589" s="20">
        <v>45076</v>
      </c>
      <c r="F589" s="17" t="s">
        <v>200</v>
      </c>
      <c r="G589" s="21">
        <v>31</v>
      </c>
      <c r="H589" s="21">
        <v>49</v>
      </c>
      <c r="I589" s="25">
        <v>9.7346938775510164E-2</v>
      </c>
      <c r="J589" s="21">
        <v>4.9000000000000004</v>
      </c>
      <c r="K589" s="21">
        <v>0</v>
      </c>
      <c r="L589" s="21">
        <v>5.88</v>
      </c>
      <c r="M589" s="17" t="s">
        <v>113</v>
      </c>
      <c r="N589" s="17" t="s">
        <v>116</v>
      </c>
      <c r="O589" s="21">
        <v>2.4500000000000002</v>
      </c>
      <c r="P589" s="21">
        <v>5.88</v>
      </c>
    </row>
    <row r="590" spans="1:16" ht="16.5" x14ac:dyDescent="0.25">
      <c r="A590" s="2"/>
      <c r="B590" s="4"/>
      <c r="C590" s="18"/>
      <c r="E590" s="20">
        <v>45076</v>
      </c>
      <c r="F590" s="17" t="s">
        <v>200</v>
      </c>
      <c r="G590" s="21">
        <v>31</v>
      </c>
      <c r="H590" s="21">
        <v>50</v>
      </c>
      <c r="I590" s="25">
        <v>0.23</v>
      </c>
      <c r="J590" s="21">
        <v>5</v>
      </c>
      <c r="K590" s="21">
        <v>0.38750000000000001</v>
      </c>
      <c r="L590" s="21">
        <v>0</v>
      </c>
      <c r="M590" s="17" t="s">
        <v>122</v>
      </c>
      <c r="N590" s="17" t="s">
        <v>115</v>
      </c>
      <c r="O590" s="21">
        <v>2.5</v>
      </c>
      <c r="P590" s="21">
        <v>0</v>
      </c>
    </row>
    <row r="591" spans="1:16" ht="16.5" x14ac:dyDescent="0.25">
      <c r="A591" s="2"/>
      <c r="B591" s="4"/>
      <c r="C591" s="18"/>
      <c r="E591" s="20">
        <v>45076</v>
      </c>
      <c r="F591" s="17" t="s">
        <v>200</v>
      </c>
      <c r="G591" s="21">
        <v>31</v>
      </c>
      <c r="H591" s="21">
        <v>48</v>
      </c>
      <c r="I591" s="25">
        <v>0.20416666666666664</v>
      </c>
      <c r="J591" s="21">
        <v>4.8000000000000007</v>
      </c>
      <c r="K591" s="21">
        <v>0.38750000000000001</v>
      </c>
      <c r="L591" s="21">
        <v>0</v>
      </c>
      <c r="M591" s="17" t="s">
        <v>121</v>
      </c>
      <c r="N591" s="17" t="s">
        <v>115</v>
      </c>
      <c r="O591" s="21">
        <v>2.4000000000000004</v>
      </c>
      <c r="P591" s="21">
        <v>0</v>
      </c>
    </row>
    <row r="592" spans="1:16" ht="16.5" x14ac:dyDescent="0.25">
      <c r="A592" s="2"/>
      <c r="B592" s="4"/>
      <c r="C592" s="18"/>
      <c r="E592" s="20">
        <v>45076</v>
      </c>
      <c r="F592" s="17" t="s">
        <v>200</v>
      </c>
      <c r="G592" s="21">
        <v>31</v>
      </c>
      <c r="H592" s="21">
        <v>46</v>
      </c>
      <c r="I592" s="25">
        <v>0.17608695652173909</v>
      </c>
      <c r="J592" s="21">
        <v>4.6000000000000005</v>
      </c>
      <c r="K592" s="21">
        <v>0.38750000000000001</v>
      </c>
      <c r="L592" s="21">
        <v>0</v>
      </c>
      <c r="M592" s="17" t="s">
        <v>120</v>
      </c>
      <c r="N592" s="17" t="s">
        <v>115</v>
      </c>
      <c r="O592" s="21">
        <v>2.3000000000000003</v>
      </c>
      <c r="P592" s="21">
        <v>0</v>
      </c>
    </row>
    <row r="593" spans="1:16" ht="16.5" x14ac:dyDescent="0.25">
      <c r="A593" s="2"/>
      <c r="B593" s="4"/>
      <c r="C593" s="18"/>
      <c r="E593" s="20">
        <v>45076</v>
      </c>
      <c r="F593" s="17" t="s">
        <v>200</v>
      </c>
      <c r="G593" s="21">
        <v>31</v>
      </c>
      <c r="H593" s="21">
        <v>44</v>
      </c>
      <c r="I593" s="25">
        <v>0.14545454545454548</v>
      </c>
      <c r="J593" s="21">
        <v>4.4000000000000004</v>
      </c>
      <c r="K593" s="21">
        <v>0.38750000000000001</v>
      </c>
      <c r="L593" s="21">
        <v>0</v>
      </c>
      <c r="M593" s="17" t="s">
        <v>113</v>
      </c>
      <c r="N593" s="17" t="s">
        <v>115</v>
      </c>
      <c r="O593" s="21">
        <v>2.2000000000000002</v>
      </c>
      <c r="P593" s="21">
        <v>0</v>
      </c>
    </row>
    <row r="594" spans="1:16" ht="16.5" x14ac:dyDescent="0.25">
      <c r="A594" s="2"/>
      <c r="B594" s="4"/>
      <c r="C594" s="18"/>
      <c r="E594" s="20">
        <v>45076</v>
      </c>
      <c r="F594" s="17" t="s">
        <v>201</v>
      </c>
      <c r="G594" s="21">
        <v>16</v>
      </c>
      <c r="H594" s="21">
        <v>27.9</v>
      </c>
      <c r="I594" s="25">
        <v>0.15652329749103944</v>
      </c>
      <c r="J594" s="21">
        <v>2.79</v>
      </c>
      <c r="K594" s="21">
        <v>0</v>
      </c>
      <c r="L594" s="21">
        <v>3.3479999999999999</v>
      </c>
      <c r="M594" s="17" t="s">
        <v>122</v>
      </c>
      <c r="N594" s="17" t="s">
        <v>116</v>
      </c>
      <c r="O594" s="21">
        <v>1.395</v>
      </c>
      <c r="P594" s="21">
        <v>3.3479999999999999</v>
      </c>
    </row>
    <row r="595" spans="1:16" ht="16.5" x14ac:dyDescent="0.25">
      <c r="A595" s="2"/>
      <c r="B595" s="4"/>
      <c r="C595" s="18"/>
      <c r="E595" s="20">
        <v>45076</v>
      </c>
      <c r="F595" s="17" t="s">
        <v>201</v>
      </c>
      <c r="G595" s="21">
        <v>16</v>
      </c>
      <c r="H595" s="21">
        <v>26.9</v>
      </c>
      <c r="I595" s="25">
        <v>0.13520446096654265</v>
      </c>
      <c r="J595" s="21">
        <v>2.69</v>
      </c>
      <c r="K595" s="21">
        <v>0</v>
      </c>
      <c r="L595" s="21">
        <v>3.2279999999999998</v>
      </c>
      <c r="M595" s="17" t="s">
        <v>121</v>
      </c>
      <c r="N595" s="17" t="s">
        <v>116</v>
      </c>
      <c r="O595" s="21">
        <v>1.345</v>
      </c>
      <c r="P595" s="21">
        <v>3.2279999999999998</v>
      </c>
    </row>
    <row r="596" spans="1:16" ht="16.5" x14ac:dyDescent="0.25">
      <c r="A596" s="2"/>
      <c r="B596" s="4"/>
      <c r="C596" s="18"/>
      <c r="E596" s="20">
        <v>45076</v>
      </c>
      <c r="F596" s="17" t="s">
        <v>201</v>
      </c>
      <c r="G596" s="21">
        <v>16</v>
      </c>
      <c r="H596" s="21">
        <v>25.9</v>
      </c>
      <c r="I596" s="25">
        <v>0.11223938223938218</v>
      </c>
      <c r="J596" s="21">
        <v>2.59</v>
      </c>
      <c r="K596" s="21">
        <v>0</v>
      </c>
      <c r="L596" s="21">
        <v>3.1079999999999997</v>
      </c>
      <c r="M596" s="17" t="s">
        <v>120</v>
      </c>
      <c r="N596" s="17" t="s">
        <v>116</v>
      </c>
      <c r="O596" s="21">
        <v>1.2949999999999999</v>
      </c>
      <c r="P596" s="21">
        <v>3.1079999999999997</v>
      </c>
    </row>
    <row r="597" spans="1:16" ht="16.5" x14ac:dyDescent="0.25">
      <c r="A597" s="2"/>
      <c r="B597" s="4"/>
      <c r="C597" s="18"/>
      <c r="E597" s="20">
        <v>45076</v>
      </c>
      <c r="F597" s="17" t="s">
        <v>201</v>
      </c>
      <c r="G597" s="21">
        <v>16</v>
      </c>
      <c r="H597" s="21">
        <v>24.9</v>
      </c>
      <c r="I597" s="25">
        <v>8.7429718875501966E-2</v>
      </c>
      <c r="J597" s="21">
        <v>2.4900000000000002</v>
      </c>
      <c r="K597" s="21">
        <v>0</v>
      </c>
      <c r="L597" s="21">
        <v>2.9879999999999995</v>
      </c>
      <c r="M597" s="17" t="s">
        <v>113</v>
      </c>
      <c r="N597" s="17" t="s">
        <v>116</v>
      </c>
      <c r="O597" s="21">
        <v>1.2450000000000001</v>
      </c>
      <c r="P597" s="21">
        <v>2.9879999999999995</v>
      </c>
    </row>
    <row r="598" spans="1:16" ht="16.5" x14ac:dyDescent="0.25">
      <c r="A598" s="2"/>
      <c r="B598" s="4"/>
      <c r="C598" s="18"/>
      <c r="E598" s="20">
        <v>45076</v>
      </c>
      <c r="F598" s="17" t="s">
        <v>201</v>
      </c>
      <c r="G598" s="21">
        <v>16</v>
      </c>
      <c r="H598" s="21">
        <v>24.9</v>
      </c>
      <c r="I598" s="25">
        <v>0.20742971887550196</v>
      </c>
      <c r="J598" s="21">
        <v>2.4900000000000002</v>
      </c>
      <c r="K598" s="21">
        <v>0.2</v>
      </c>
      <c r="L598" s="21">
        <v>0</v>
      </c>
      <c r="M598" s="17" t="s">
        <v>122</v>
      </c>
      <c r="N598" s="17" t="s">
        <v>115</v>
      </c>
      <c r="O598" s="21">
        <v>1.2450000000000001</v>
      </c>
      <c r="P598" s="21">
        <v>0</v>
      </c>
    </row>
    <row r="599" spans="1:16" ht="16.5" x14ac:dyDescent="0.25">
      <c r="A599" s="2"/>
      <c r="B599" s="4"/>
      <c r="C599" s="18"/>
      <c r="E599" s="20">
        <v>45076</v>
      </c>
      <c r="F599" s="17" t="s">
        <v>201</v>
      </c>
      <c r="G599" s="21">
        <v>16</v>
      </c>
      <c r="H599" s="21">
        <v>23.9</v>
      </c>
      <c r="I599" s="25">
        <v>0.18054393305439323</v>
      </c>
      <c r="J599" s="21">
        <v>2.39</v>
      </c>
      <c r="K599" s="21">
        <v>0.2</v>
      </c>
      <c r="L599" s="21">
        <v>0</v>
      </c>
      <c r="M599" s="17" t="s">
        <v>121</v>
      </c>
      <c r="N599" s="17" t="s">
        <v>115</v>
      </c>
      <c r="O599" s="21">
        <v>1.1950000000000001</v>
      </c>
      <c r="P599" s="21">
        <v>0</v>
      </c>
    </row>
    <row r="600" spans="1:16" ht="16.5" x14ac:dyDescent="0.25">
      <c r="A600" s="2"/>
      <c r="B600" s="4"/>
      <c r="C600" s="18"/>
      <c r="E600" s="20">
        <v>45076</v>
      </c>
      <c r="F600" s="17" t="s">
        <v>201</v>
      </c>
      <c r="G600" s="21">
        <v>16</v>
      </c>
      <c r="H600" s="21">
        <v>22.9</v>
      </c>
      <c r="I600" s="25">
        <v>0.15131004366812223</v>
      </c>
      <c r="J600" s="21">
        <v>2.29</v>
      </c>
      <c r="K600" s="21">
        <v>0.2</v>
      </c>
      <c r="L600" s="21">
        <v>0</v>
      </c>
      <c r="M600" s="17" t="s">
        <v>120</v>
      </c>
      <c r="N600" s="17" t="s">
        <v>115</v>
      </c>
      <c r="O600" s="21">
        <v>1.145</v>
      </c>
      <c r="P600" s="21">
        <v>0</v>
      </c>
    </row>
    <row r="601" spans="1:16" ht="16.5" x14ac:dyDescent="0.25">
      <c r="A601" s="2"/>
      <c r="B601" s="4"/>
      <c r="C601" s="18"/>
      <c r="E601" s="20">
        <v>45076</v>
      </c>
      <c r="F601" s="17" t="s">
        <v>201</v>
      </c>
      <c r="G601" s="21">
        <v>16</v>
      </c>
      <c r="H601" s="21">
        <v>21.9</v>
      </c>
      <c r="I601" s="25">
        <v>0.11940639269406389</v>
      </c>
      <c r="J601" s="21">
        <v>2.19</v>
      </c>
      <c r="K601" s="21">
        <v>0.2</v>
      </c>
      <c r="L601" s="21">
        <v>0</v>
      </c>
      <c r="M601" s="17" t="s">
        <v>113</v>
      </c>
      <c r="N601" s="17" t="s">
        <v>115</v>
      </c>
      <c r="O601" s="21">
        <v>1.095</v>
      </c>
      <c r="P601" s="21">
        <v>0</v>
      </c>
    </row>
    <row r="602" spans="1:16" ht="16.5" x14ac:dyDescent="0.25">
      <c r="A602" s="2"/>
      <c r="B602" s="4"/>
      <c r="C602" s="18"/>
      <c r="E602" s="20">
        <v>45076</v>
      </c>
      <c r="F602" s="17" t="s">
        <v>201</v>
      </c>
      <c r="G602" s="21">
        <v>15.8</v>
      </c>
      <c r="H602" s="21">
        <v>29.9</v>
      </c>
      <c r="I602" s="25">
        <v>0.14227190635451503</v>
      </c>
      <c r="J602" s="21">
        <v>2.99</v>
      </c>
      <c r="K602" s="21">
        <v>0.2</v>
      </c>
      <c r="L602" s="21">
        <v>3.5879999999999996</v>
      </c>
      <c r="M602" s="17" t="s">
        <v>122</v>
      </c>
      <c r="N602" s="17" t="s">
        <v>117</v>
      </c>
      <c r="O602" s="21">
        <v>1.4950000000000001</v>
      </c>
      <c r="P602" s="21">
        <v>5.3610699999999998</v>
      </c>
    </row>
    <row r="603" spans="1:16" ht="16.5" x14ac:dyDescent="0.25">
      <c r="A603" s="2"/>
      <c r="B603" s="4"/>
      <c r="C603" s="18"/>
      <c r="E603" s="20">
        <v>45076</v>
      </c>
      <c r="F603" s="17" t="s">
        <v>201</v>
      </c>
      <c r="G603" s="21">
        <v>15.8</v>
      </c>
      <c r="H603" s="21">
        <v>28.9</v>
      </c>
      <c r="I603" s="25">
        <v>0.12398719723183382</v>
      </c>
      <c r="J603" s="21">
        <v>2.89</v>
      </c>
      <c r="K603" s="21">
        <v>0.2</v>
      </c>
      <c r="L603" s="21">
        <v>3.4679999999999995</v>
      </c>
      <c r="M603" s="17" t="s">
        <v>121</v>
      </c>
      <c r="N603" s="17" t="s">
        <v>117</v>
      </c>
      <c r="O603" s="21">
        <v>1.4450000000000001</v>
      </c>
      <c r="P603" s="21">
        <v>5.1817700000000002</v>
      </c>
    </row>
    <row r="604" spans="1:16" ht="16.5" x14ac:dyDescent="0.25">
      <c r="A604" s="2"/>
      <c r="B604" s="4"/>
      <c r="C604" s="18"/>
      <c r="E604" s="20">
        <v>45076</v>
      </c>
      <c r="F604" s="17" t="s">
        <v>201</v>
      </c>
      <c r="G604" s="21">
        <v>15.8</v>
      </c>
      <c r="H604" s="21">
        <v>27.9</v>
      </c>
      <c r="I604" s="25">
        <v>0.10439175627240142</v>
      </c>
      <c r="J604" s="21">
        <v>2.79</v>
      </c>
      <c r="K604" s="21">
        <v>0.2</v>
      </c>
      <c r="L604" s="21">
        <v>3.3479999999999999</v>
      </c>
      <c r="M604" s="17" t="s">
        <v>120</v>
      </c>
      <c r="N604" s="17" t="s">
        <v>117</v>
      </c>
      <c r="O604" s="21">
        <v>1.395</v>
      </c>
      <c r="P604" s="21">
        <v>5.0024699999999998</v>
      </c>
    </row>
    <row r="605" spans="1:16" ht="16.5" x14ac:dyDescent="0.25">
      <c r="A605" s="2"/>
      <c r="B605" s="4"/>
      <c r="C605" s="18"/>
      <c r="E605" s="20">
        <v>45076</v>
      </c>
      <c r="F605" s="17" t="s">
        <v>201</v>
      </c>
      <c r="G605" s="21">
        <v>15.8</v>
      </c>
      <c r="H605" s="21">
        <v>26.9</v>
      </c>
      <c r="I605" s="25">
        <v>8.3339405204460856E-2</v>
      </c>
      <c r="J605" s="21">
        <v>2.69</v>
      </c>
      <c r="K605" s="21">
        <v>0.2</v>
      </c>
      <c r="L605" s="21">
        <v>3.2279999999999998</v>
      </c>
      <c r="M605" s="17" t="s">
        <v>113</v>
      </c>
      <c r="N605" s="17" t="s">
        <v>117</v>
      </c>
      <c r="O605" s="21">
        <v>1.345</v>
      </c>
      <c r="P605" s="21">
        <v>4.8231700000000002</v>
      </c>
    </row>
    <row r="606" spans="1:16" ht="16.5" x14ac:dyDescent="0.25">
      <c r="A606" s="2"/>
      <c r="B606" s="4"/>
      <c r="C606" s="18"/>
      <c r="E606" s="20">
        <v>45049</v>
      </c>
      <c r="F606" s="17" t="s">
        <v>194</v>
      </c>
      <c r="G606" s="21">
        <v>9.1</v>
      </c>
      <c r="H606" s="21">
        <v>15.9</v>
      </c>
      <c r="I606" s="25">
        <v>0.22267295597484285</v>
      </c>
      <c r="J606" s="21">
        <v>1.59</v>
      </c>
      <c r="K606" s="21">
        <v>0</v>
      </c>
      <c r="L606" s="21">
        <v>0.87450000000000006</v>
      </c>
      <c r="M606" s="17" t="s">
        <v>122</v>
      </c>
      <c r="N606" s="17" t="s">
        <v>116</v>
      </c>
      <c r="O606" s="21">
        <v>0.79500000000000004</v>
      </c>
      <c r="P606" s="21">
        <v>0.87450000000000006</v>
      </c>
    </row>
    <row r="607" spans="1:16" ht="16.5" x14ac:dyDescent="0.25">
      <c r="A607" s="2"/>
      <c r="B607" s="4"/>
      <c r="C607" s="18"/>
      <c r="E607" s="20">
        <v>45049</v>
      </c>
      <c r="F607" s="17" t="s">
        <v>194</v>
      </c>
      <c r="G607" s="21">
        <v>9.1</v>
      </c>
      <c r="H607" s="21">
        <v>14.9</v>
      </c>
      <c r="I607" s="25">
        <v>0.18426174496644299</v>
      </c>
      <c r="J607" s="21">
        <v>1.4900000000000002</v>
      </c>
      <c r="K607" s="21">
        <v>0</v>
      </c>
      <c r="L607" s="21">
        <v>0.81950000000000001</v>
      </c>
      <c r="M607" s="17" t="s">
        <v>121</v>
      </c>
      <c r="N607" s="17" t="s">
        <v>116</v>
      </c>
      <c r="O607" s="21">
        <v>0.74500000000000011</v>
      </c>
      <c r="P607" s="21">
        <v>0.81950000000000001</v>
      </c>
    </row>
    <row r="608" spans="1:16" ht="16.5" x14ac:dyDescent="0.25">
      <c r="A608" s="2"/>
      <c r="B608" s="4"/>
      <c r="C608" s="18"/>
      <c r="E608" s="20">
        <v>45049</v>
      </c>
      <c r="F608" s="17" t="s">
        <v>194</v>
      </c>
      <c r="G608" s="21">
        <v>9.1</v>
      </c>
      <c r="H608" s="21">
        <v>13.9</v>
      </c>
      <c r="I608" s="25">
        <v>0.14032374100719427</v>
      </c>
      <c r="J608" s="21">
        <v>1.3900000000000001</v>
      </c>
      <c r="K608" s="21">
        <v>0</v>
      </c>
      <c r="L608" s="21">
        <v>0.76450000000000007</v>
      </c>
      <c r="M608" s="17" t="s">
        <v>120</v>
      </c>
      <c r="N608" s="17" t="s">
        <v>116</v>
      </c>
      <c r="O608" s="21">
        <v>0.69500000000000006</v>
      </c>
      <c r="P608" s="21">
        <v>0.76450000000000007</v>
      </c>
    </row>
    <row r="609" spans="1:16" ht="16.5" x14ac:dyDescent="0.25">
      <c r="A609" s="2"/>
      <c r="B609" s="4"/>
      <c r="C609" s="18"/>
      <c r="E609" s="20">
        <v>45049</v>
      </c>
      <c r="F609" s="17" t="s">
        <v>194</v>
      </c>
      <c r="G609" s="21">
        <v>9.1</v>
      </c>
      <c r="H609" s="21">
        <v>12.9</v>
      </c>
      <c r="I609" s="25">
        <v>8.9573643410852749E-2</v>
      </c>
      <c r="J609" s="21">
        <v>1.29</v>
      </c>
      <c r="K609" s="21">
        <v>0</v>
      </c>
      <c r="L609" s="21">
        <v>0.70950000000000002</v>
      </c>
      <c r="M609" s="17" t="s">
        <v>113</v>
      </c>
      <c r="N609" s="17" t="s">
        <v>116</v>
      </c>
      <c r="O609" s="21">
        <v>0.64500000000000002</v>
      </c>
      <c r="P609" s="21">
        <v>0.70950000000000002</v>
      </c>
    </row>
    <row r="610" spans="1:16" ht="16.5" x14ac:dyDescent="0.25">
      <c r="A610" s="2"/>
      <c r="B610" s="4"/>
      <c r="C610" s="18"/>
      <c r="E610" s="20">
        <v>45049</v>
      </c>
      <c r="F610" s="17" t="s">
        <v>194</v>
      </c>
      <c r="G610" s="21">
        <v>9.1</v>
      </c>
      <c r="H610" s="21">
        <v>12.9</v>
      </c>
      <c r="I610" s="25">
        <v>8.9573643410852749E-2</v>
      </c>
      <c r="J610" s="21">
        <v>1.29</v>
      </c>
      <c r="K610" s="21">
        <v>0</v>
      </c>
      <c r="L610" s="21">
        <v>0.70950000000000002</v>
      </c>
      <c r="M610" s="17" t="s">
        <v>122</v>
      </c>
      <c r="N610" s="17" t="s">
        <v>116</v>
      </c>
      <c r="O610" s="21">
        <v>0.64500000000000002</v>
      </c>
      <c r="P610" s="21">
        <v>0.70950000000000002</v>
      </c>
    </row>
    <row r="611" spans="1:16" ht="16.5" x14ac:dyDescent="0.25">
      <c r="A611" s="2"/>
      <c r="B611" s="4"/>
      <c r="C611" s="18"/>
      <c r="E611" s="20">
        <v>45049</v>
      </c>
      <c r="F611" s="17" t="s">
        <v>194</v>
      </c>
      <c r="G611" s="21">
        <v>8.0079999999999991</v>
      </c>
      <c r="H611" s="21">
        <v>16.899999999999999</v>
      </c>
      <c r="I611" s="25">
        <v>0.19685384615384616</v>
      </c>
      <c r="J611" s="21">
        <v>1.69</v>
      </c>
      <c r="K611" s="21">
        <v>1.0919999999999999</v>
      </c>
      <c r="L611" s="21">
        <v>2.0279999999999996</v>
      </c>
      <c r="M611" s="17" t="s">
        <v>122</v>
      </c>
      <c r="N611" s="17" t="s">
        <v>117</v>
      </c>
      <c r="O611" s="21">
        <v>0.84499999999999997</v>
      </c>
      <c r="P611" s="21">
        <v>3.03017</v>
      </c>
    </row>
    <row r="612" spans="1:16" ht="16.5" x14ac:dyDescent="0.25">
      <c r="A612" s="2"/>
      <c r="B612" s="4"/>
      <c r="C612" s="18"/>
      <c r="E612" s="20">
        <v>45049</v>
      </c>
      <c r="F612" s="17" t="s">
        <v>194</v>
      </c>
      <c r="G612" s="21">
        <v>8.0079999999999991</v>
      </c>
      <c r="H612" s="21">
        <v>15.9</v>
      </c>
      <c r="I612" s="25">
        <v>0.16705220125786169</v>
      </c>
      <c r="J612" s="21">
        <v>1.59</v>
      </c>
      <c r="K612" s="21">
        <v>1.0919999999999999</v>
      </c>
      <c r="L612" s="21">
        <v>1.9079999999999999</v>
      </c>
      <c r="M612" s="17" t="s">
        <v>121</v>
      </c>
      <c r="N612" s="17" t="s">
        <v>117</v>
      </c>
      <c r="O612" s="21">
        <v>0.79500000000000004</v>
      </c>
      <c r="P612" s="21">
        <v>2.8508700000000005</v>
      </c>
    </row>
    <row r="613" spans="1:16" ht="16.5" x14ac:dyDescent="0.25">
      <c r="A613" s="2"/>
      <c r="B613" s="4"/>
      <c r="C613" s="18"/>
      <c r="E613" s="20">
        <v>45049</v>
      </c>
      <c r="F613" s="17" t="s">
        <v>194</v>
      </c>
      <c r="G613" s="21">
        <v>8.0079999999999991</v>
      </c>
      <c r="H613" s="21">
        <v>14.9</v>
      </c>
      <c r="I613" s="25">
        <v>0.13325033557046981</v>
      </c>
      <c r="J613" s="21">
        <v>1.4900000000000002</v>
      </c>
      <c r="K613" s="21">
        <v>1.0919999999999999</v>
      </c>
      <c r="L613" s="21">
        <v>1.788</v>
      </c>
      <c r="M613" s="17" t="s">
        <v>120</v>
      </c>
      <c r="N613" s="17" t="s">
        <v>117</v>
      </c>
      <c r="O613" s="21">
        <v>0.74500000000000011</v>
      </c>
      <c r="P613" s="21">
        <v>2.6715700000000004</v>
      </c>
    </row>
    <row r="614" spans="1:16" ht="16.5" x14ac:dyDescent="0.25">
      <c r="A614" s="2"/>
      <c r="B614" s="4"/>
      <c r="C614" s="18"/>
      <c r="E614" s="20">
        <v>45049</v>
      </c>
      <c r="F614" s="17" t="s">
        <v>194</v>
      </c>
      <c r="G614" s="21">
        <v>8.0079999999999991</v>
      </c>
      <c r="H614" s="21">
        <v>13.9</v>
      </c>
      <c r="I614" s="25">
        <v>9.4584892086331029E-2</v>
      </c>
      <c r="J614" s="21">
        <v>1.3900000000000001</v>
      </c>
      <c r="K614" s="21">
        <v>1.0919999999999999</v>
      </c>
      <c r="L614" s="21">
        <v>1.6679999999999999</v>
      </c>
      <c r="M614" s="17" t="s">
        <v>113</v>
      </c>
      <c r="N614" s="17" t="s">
        <v>117</v>
      </c>
      <c r="O614" s="21">
        <v>0.69500000000000006</v>
      </c>
      <c r="P614" s="21">
        <v>2.4922700000000004</v>
      </c>
    </row>
    <row r="615" spans="1:16" ht="16.5" x14ac:dyDescent="0.25">
      <c r="A615" s="2"/>
      <c r="B615" s="4"/>
      <c r="C615" s="18"/>
      <c r="E615" s="20">
        <v>44992</v>
      </c>
      <c r="F615" s="17" t="s">
        <v>103</v>
      </c>
      <c r="G615" s="21">
        <v>9.8559999999999999</v>
      </c>
      <c r="H615" s="21">
        <v>19</v>
      </c>
      <c r="I615" s="25">
        <v>0.20196315789473673</v>
      </c>
      <c r="J615" s="21">
        <v>1.9000000000000001</v>
      </c>
      <c r="K615" s="21">
        <v>1.3439999999999999</v>
      </c>
      <c r="L615" s="21">
        <v>1.33</v>
      </c>
      <c r="M615" s="17" t="s">
        <v>122</v>
      </c>
      <c r="N615" s="17" t="s">
        <v>117</v>
      </c>
      <c r="O615" s="21">
        <v>0.95000000000000007</v>
      </c>
      <c r="P615" s="21">
        <v>2.4567000000000001</v>
      </c>
    </row>
    <row r="616" spans="1:16" ht="16.5" x14ac:dyDescent="0.25">
      <c r="A616" s="2"/>
      <c r="B616" s="4"/>
      <c r="C616" s="18"/>
      <c r="E616" s="20">
        <v>44992</v>
      </c>
      <c r="F616" s="17" t="s">
        <v>103</v>
      </c>
      <c r="G616" s="21">
        <v>9.8559999999999999</v>
      </c>
      <c r="H616" s="21">
        <v>18</v>
      </c>
      <c r="I616" s="25">
        <v>0.17314444444444441</v>
      </c>
      <c r="J616" s="21">
        <v>1.8</v>
      </c>
      <c r="K616" s="21">
        <v>1.3439999999999999</v>
      </c>
      <c r="L616" s="21">
        <v>1.2600000000000002</v>
      </c>
      <c r="M616" s="17" t="s">
        <v>121</v>
      </c>
      <c r="N616" s="17" t="s">
        <v>117</v>
      </c>
      <c r="O616" s="21">
        <v>0.9</v>
      </c>
      <c r="P616" s="21">
        <v>2.3273999999999999</v>
      </c>
    </row>
    <row r="617" spans="1:16" ht="16.5" x14ac:dyDescent="0.25">
      <c r="A617" s="2"/>
      <c r="B617" s="4"/>
      <c r="C617" s="18"/>
      <c r="E617" s="20">
        <v>44992</v>
      </c>
      <c r="F617" s="17" t="s">
        <v>103</v>
      </c>
      <c r="G617" s="21">
        <v>9.8559999999999999</v>
      </c>
      <c r="H617" s="21">
        <v>17</v>
      </c>
      <c r="I617" s="25">
        <v>0.14093529411764708</v>
      </c>
      <c r="J617" s="21">
        <v>1.7000000000000002</v>
      </c>
      <c r="K617" s="21">
        <v>1.3439999999999999</v>
      </c>
      <c r="L617" s="21">
        <v>1.1900000000000002</v>
      </c>
      <c r="M617" s="17" t="s">
        <v>120</v>
      </c>
      <c r="N617" s="17" t="s">
        <v>117</v>
      </c>
      <c r="O617" s="21">
        <v>0.85000000000000009</v>
      </c>
      <c r="P617" s="21">
        <v>2.1981000000000002</v>
      </c>
    </row>
    <row r="618" spans="1:16" ht="16.5" x14ac:dyDescent="0.25">
      <c r="A618" s="2"/>
      <c r="B618" s="4"/>
      <c r="C618" s="18"/>
      <c r="E618" s="20">
        <v>44992</v>
      </c>
      <c r="F618" s="17" t="s">
        <v>103</v>
      </c>
      <c r="G618" s="21">
        <v>9.8559999999999999</v>
      </c>
      <c r="H618" s="21">
        <v>16</v>
      </c>
      <c r="I618" s="25">
        <v>0.10470000000000004</v>
      </c>
      <c r="J618" s="21">
        <v>1.6</v>
      </c>
      <c r="K618" s="21">
        <v>1.3439999999999999</v>
      </c>
      <c r="L618" s="21">
        <v>1.1200000000000001</v>
      </c>
      <c r="M618" s="17" t="s">
        <v>113</v>
      </c>
      <c r="N618" s="17" t="s">
        <v>117</v>
      </c>
      <c r="O618" s="21">
        <v>0.8</v>
      </c>
      <c r="P618" s="21">
        <v>2.0688</v>
      </c>
    </row>
    <row r="619" spans="1:16" ht="16.5" x14ac:dyDescent="0.25">
      <c r="A619" s="2"/>
      <c r="B619" s="4"/>
      <c r="C619" s="18"/>
      <c r="E619" s="20">
        <v>44992</v>
      </c>
      <c r="F619" s="17" t="s">
        <v>103</v>
      </c>
      <c r="G619" s="21">
        <v>9.8559999999999999</v>
      </c>
      <c r="H619" s="21">
        <v>16</v>
      </c>
      <c r="I619" s="25">
        <v>0.10470000000000004</v>
      </c>
      <c r="J619" s="21">
        <v>1.6</v>
      </c>
      <c r="K619" s="21">
        <v>1.3439999999999999</v>
      </c>
      <c r="L619" s="21">
        <v>1.1200000000000001</v>
      </c>
      <c r="M619" s="17" t="s">
        <v>122</v>
      </c>
      <c r="N619" s="17" t="s">
        <v>117</v>
      </c>
      <c r="O619" s="21">
        <v>0.8</v>
      </c>
      <c r="P619" s="21">
        <v>2.0688</v>
      </c>
    </row>
    <row r="620" spans="1:16" ht="16.5" x14ac:dyDescent="0.25">
      <c r="A620" s="2"/>
      <c r="B620" s="4"/>
      <c r="C620" s="18"/>
      <c r="E620" s="20">
        <v>44992</v>
      </c>
      <c r="F620" s="17" t="s">
        <v>102</v>
      </c>
      <c r="G620" s="21">
        <v>21.824000000000002</v>
      </c>
      <c r="H620" s="21">
        <v>37.9</v>
      </c>
      <c r="I620" s="25">
        <v>0.14486886543535618</v>
      </c>
      <c r="J620" s="21">
        <v>3.79</v>
      </c>
      <c r="K620" s="21">
        <v>2.976</v>
      </c>
      <c r="L620" s="21">
        <v>2.653</v>
      </c>
      <c r="M620" s="17" t="s">
        <v>122</v>
      </c>
      <c r="N620" s="17" t="s">
        <v>117</v>
      </c>
      <c r="O620" s="21">
        <v>1.895</v>
      </c>
      <c r="P620" s="21">
        <v>4.9004699999999994</v>
      </c>
    </row>
    <row r="621" spans="1:16" ht="16.5" x14ac:dyDescent="0.25">
      <c r="A621" s="2"/>
      <c r="B621" s="4"/>
      <c r="C621" s="18"/>
      <c r="E621" s="20">
        <v>44992</v>
      </c>
      <c r="F621" s="17" t="s">
        <v>102</v>
      </c>
      <c r="G621" s="21">
        <v>21.824000000000002</v>
      </c>
      <c r="H621" s="21">
        <v>36.9</v>
      </c>
      <c r="I621" s="25">
        <v>0.12926368563685633</v>
      </c>
      <c r="J621" s="21">
        <v>3.69</v>
      </c>
      <c r="K621" s="21">
        <v>2.976</v>
      </c>
      <c r="L621" s="21">
        <v>2.5830000000000002</v>
      </c>
      <c r="M621" s="17" t="s">
        <v>121</v>
      </c>
      <c r="N621" s="17" t="s">
        <v>117</v>
      </c>
      <c r="O621" s="21">
        <v>1.845</v>
      </c>
      <c r="P621" s="21">
        <v>4.7711699999999997</v>
      </c>
    </row>
    <row r="622" spans="1:16" ht="16.5" x14ac:dyDescent="0.25">
      <c r="A622" s="2"/>
      <c r="B622" s="4"/>
      <c r="C622" s="18"/>
      <c r="E622" s="20">
        <v>44992</v>
      </c>
      <c r="F622" s="17" t="s">
        <v>102</v>
      </c>
      <c r="G622" s="21">
        <v>21.824000000000002</v>
      </c>
      <c r="H622" s="21">
        <v>35.9</v>
      </c>
      <c r="I622" s="25">
        <v>0.1127891364902506</v>
      </c>
      <c r="J622" s="21">
        <v>3.59</v>
      </c>
      <c r="K622" s="21">
        <v>2.976</v>
      </c>
      <c r="L622" s="21">
        <v>2.5130000000000003</v>
      </c>
      <c r="M622" s="17" t="s">
        <v>120</v>
      </c>
      <c r="N622" s="17" t="s">
        <v>117</v>
      </c>
      <c r="O622" s="21">
        <v>1.7949999999999999</v>
      </c>
      <c r="P622" s="21">
        <v>4.6418699999999999</v>
      </c>
    </row>
    <row r="623" spans="1:16" ht="16.5" x14ac:dyDescent="0.25">
      <c r="A623" s="2"/>
      <c r="B623" s="4"/>
      <c r="C623" s="18"/>
      <c r="E623" s="20">
        <v>44992</v>
      </c>
      <c r="F623" s="17" t="s">
        <v>102</v>
      </c>
      <c r="G623" s="21">
        <v>21.824000000000002</v>
      </c>
      <c r="H623" s="21">
        <v>34.9</v>
      </c>
      <c r="I623" s="25">
        <v>9.5370487106017088E-2</v>
      </c>
      <c r="J623" s="21">
        <v>3.49</v>
      </c>
      <c r="K623" s="21">
        <v>2.976</v>
      </c>
      <c r="L623" s="21">
        <v>2.4430000000000001</v>
      </c>
      <c r="M623" s="17" t="s">
        <v>113</v>
      </c>
      <c r="N623" s="17" t="s">
        <v>117</v>
      </c>
      <c r="O623" s="21">
        <v>1.7450000000000001</v>
      </c>
      <c r="P623" s="21">
        <v>4.5125700000000002</v>
      </c>
    </row>
    <row r="624" spans="1:16" ht="16.5" x14ac:dyDescent="0.25">
      <c r="A624" s="2"/>
      <c r="B624" s="4"/>
      <c r="C624" s="18"/>
      <c r="E624" s="20">
        <v>44992</v>
      </c>
      <c r="F624" s="17" t="s">
        <v>101</v>
      </c>
      <c r="G624" s="21">
        <v>12.144</v>
      </c>
      <c r="H624" s="21">
        <v>22.6</v>
      </c>
      <c r="I624" s="25">
        <v>0.18335486725663716</v>
      </c>
      <c r="J624" s="21">
        <v>2.2600000000000002</v>
      </c>
      <c r="K624" s="21">
        <v>1.6559999999999999</v>
      </c>
      <c r="L624" s="21">
        <v>1.5820000000000003</v>
      </c>
      <c r="M624" s="17" t="s">
        <v>122</v>
      </c>
      <c r="N624" s="17" t="s">
        <v>117</v>
      </c>
      <c r="O624" s="21">
        <v>1.1300000000000001</v>
      </c>
      <c r="P624" s="21">
        <v>2.92218</v>
      </c>
    </row>
    <row r="625" spans="1:16" ht="16.5" x14ac:dyDescent="0.25">
      <c r="A625" s="2"/>
      <c r="B625" s="4"/>
      <c r="C625" s="18"/>
      <c r="E625" s="20">
        <v>44992</v>
      </c>
      <c r="F625" s="17" t="s">
        <v>101</v>
      </c>
      <c r="G625" s="21">
        <v>12.144</v>
      </c>
      <c r="H625" s="21">
        <v>21.6</v>
      </c>
      <c r="I625" s="25">
        <v>0.1584777777777778</v>
      </c>
      <c r="J625" s="21">
        <v>2.16</v>
      </c>
      <c r="K625" s="21">
        <v>1.6559999999999999</v>
      </c>
      <c r="L625" s="21">
        <v>1.5120000000000002</v>
      </c>
      <c r="M625" s="17" t="s">
        <v>121</v>
      </c>
      <c r="N625" s="17" t="s">
        <v>117</v>
      </c>
      <c r="O625" s="21">
        <v>1.08</v>
      </c>
      <c r="P625" s="21">
        <v>2.7928800000000003</v>
      </c>
    </row>
    <row r="626" spans="1:16" ht="16.5" x14ac:dyDescent="0.25">
      <c r="A626" s="2"/>
      <c r="B626" s="4"/>
      <c r="C626" s="18"/>
      <c r="E626" s="20">
        <v>44992</v>
      </c>
      <c r="F626" s="17" t="s">
        <v>101</v>
      </c>
      <c r="G626" s="21">
        <v>12.144</v>
      </c>
      <c r="H626" s="21">
        <v>20.6</v>
      </c>
      <c r="I626" s="25">
        <v>0.13118543689320394</v>
      </c>
      <c r="J626" s="21">
        <v>2.06</v>
      </c>
      <c r="K626" s="21">
        <v>1.6559999999999999</v>
      </c>
      <c r="L626" s="21">
        <v>1.4420000000000002</v>
      </c>
      <c r="M626" s="17" t="s">
        <v>120</v>
      </c>
      <c r="N626" s="17" t="s">
        <v>117</v>
      </c>
      <c r="O626" s="21">
        <v>1.03</v>
      </c>
      <c r="P626" s="21">
        <v>2.6635800000000001</v>
      </c>
    </row>
    <row r="627" spans="1:16" ht="16.5" x14ac:dyDescent="0.25">
      <c r="A627" s="2"/>
      <c r="B627" s="4"/>
      <c r="C627" s="18"/>
      <c r="E627" s="20">
        <v>44992</v>
      </c>
      <c r="F627" s="17" t="s">
        <v>101</v>
      </c>
      <c r="G627" s="21">
        <v>12.144</v>
      </c>
      <c r="H627" s="21">
        <v>19.600000000000001</v>
      </c>
      <c r="I627" s="25">
        <v>0.10110816326530622</v>
      </c>
      <c r="J627" s="21">
        <v>1.9600000000000002</v>
      </c>
      <c r="K627" s="21">
        <v>1.6559999999999999</v>
      </c>
      <c r="L627" s="21">
        <v>1.3720000000000003</v>
      </c>
      <c r="M627" s="17" t="s">
        <v>113</v>
      </c>
      <c r="N627" s="17" t="s">
        <v>117</v>
      </c>
      <c r="O627" s="21">
        <v>0.98000000000000009</v>
      </c>
      <c r="P627" s="21">
        <v>2.5342800000000003</v>
      </c>
    </row>
    <row r="628" spans="1:16" ht="16.5" x14ac:dyDescent="0.25">
      <c r="A628" s="2"/>
      <c r="B628" s="4"/>
      <c r="C628" s="18"/>
      <c r="E628" s="20">
        <v>44967</v>
      </c>
      <c r="F628" s="17" t="s">
        <v>92</v>
      </c>
      <c r="G628" s="21">
        <v>7.3075000000000001</v>
      </c>
      <c r="H628" s="21">
        <v>15.9</v>
      </c>
      <c r="I628" s="25">
        <v>0.21110880503144652</v>
      </c>
      <c r="J628" s="21">
        <v>1.59</v>
      </c>
      <c r="K628" s="21">
        <v>9.2500000000000013E-2</v>
      </c>
      <c r="L628" s="21">
        <v>1.9079999999999999</v>
      </c>
      <c r="M628" s="17" t="s">
        <v>122</v>
      </c>
      <c r="N628" s="17" t="s">
        <v>117</v>
      </c>
      <c r="O628" s="21">
        <v>0.79500000000000004</v>
      </c>
      <c r="P628" s="21">
        <v>2.8508700000000005</v>
      </c>
    </row>
    <row r="629" spans="1:16" ht="16.5" x14ac:dyDescent="0.25">
      <c r="A629" s="2"/>
      <c r="B629" s="4"/>
      <c r="C629" s="18"/>
      <c r="E629" s="20">
        <v>44967</v>
      </c>
      <c r="F629" s="17" t="s">
        <v>92</v>
      </c>
      <c r="G629" s="21">
        <v>7.3075000000000001</v>
      </c>
      <c r="H629" s="21">
        <v>14.9</v>
      </c>
      <c r="I629" s="25">
        <v>0.18026375838926167</v>
      </c>
      <c r="J629" s="21">
        <v>1.4900000000000002</v>
      </c>
      <c r="K629" s="21">
        <v>9.2500000000000013E-2</v>
      </c>
      <c r="L629" s="21">
        <v>1.788</v>
      </c>
      <c r="M629" s="17" t="s">
        <v>121</v>
      </c>
      <c r="N629" s="17" t="s">
        <v>117</v>
      </c>
      <c r="O629" s="21">
        <v>0.74500000000000011</v>
      </c>
      <c r="P629" s="21">
        <v>2.6715700000000004</v>
      </c>
    </row>
    <row r="630" spans="1:16" ht="16.5" x14ac:dyDescent="0.25">
      <c r="A630" s="2"/>
      <c r="B630" s="4"/>
      <c r="C630" s="18"/>
      <c r="E630" s="20">
        <v>44967</v>
      </c>
      <c r="F630" s="17" t="s">
        <v>92</v>
      </c>
      <c r="G630" s="21">
        <v>7.3075000000000001</v>
      </c>
      <c r="H630" s="21">
        <v>13.9</v>
      </c>
      <c r="I630" s="25">
        <v>0.14498057553956836</v>
      </c>
      <c r="J630" s="21">
        <v>1.3900000000000001</v>
      </c>
      <c r="K630" s="21">
        <v>9.2500000000000013E-2</v>
      </c>
      <c r="L630" s="21">
        <v>1.6679999999999999</v>
      </c>
      <c r="M630" s="17" t="s">
        <v>120</v>
      </c>
      <c r="N630" s="17" t="s">
        <v>117</v>
      </c>
      <c r="O630" s="21">
        <v>0.69500000000000006</v>
      </c>
      <c r="P630" s="21">
        <v>2.4922700000000004</v>
      </c>
    </row>
    <row r="631" spans="1:16" ht="16.5" x14ac:dyDescent="0.25">
      <c r="A631" s="2"/>
      <c r="B631" s="4"/>
      <c r="C631" s="18"/>
      <c r="E631" s="20">
        <v>44963</v>
      </c>
      <c r="F631" s="17" t="s">
        <v>92</v>
      </c>
      <c r="G631" s="21">
        <v>7.3075000000000001</v>
      </c>
      <c r="H631" s="21">
        <v>14.4</v>
      </c>
      <c r="I631" s="25">
        <v>0.16323472222222221</v>
      </c>
      <c r="J631" s="21">
        <v>1.4400000000000002</v>
      </c>
      <c r="K631" s="21">
        <v>9.2500000000000013E-2</v>
      </c>
      <c r="L631" s="21">
        <v>1.728</v>
      </c>
      <c r="M631" s="17" t="s">
        <v>122</v>
      </c>
      <c r="N631" s="17" t="s">
        <v>117</v>
      </c>
      <c r="O631" s="21">
        <v>0.72000000000000008</v>
      </c>
      <c r="P631" s="21">
        <v>2.5819200000000002</v>
      </c>
    </row>
    <row r="632" spans="1:16" ht="16.5" x14ac:dyDescent="0.25">
      <c r="A632" s="2"/>
      <c r="B632" s="4"/>
      <c r="C632" s="18"/>
      <c r="E632" s="20">
        <v>44963</v>
      </c>
      <c r="F632" s="17" t="s">
        <v>92</v>
      </c>
      <c r="G632" s="21">
        <v>7.3075000000000001</v>
      </c>
      <c r="H632" s="21">
        <v>13.9</v>
      </c>
      <c r="I632" s="25">
        <v>0.14498057553956836</v>
      </c>
      <c r="J632" s="21">
        <v>1.3900000000000001</v>
      </c>
      <c r="K632" s="21">
        <v>9.2500000000000013E-2</v>
      </c>
      <c r="L632" s="21">
        <v>1.6679999999999999</v>
      </c>
      <c r="M632" s="17" t="s">
        <v>121</v>
      </c>
      <c r="N632" s="17" t="s">
        <v>117</v>
      </c>
      <c r="O632" s="21">
        <v>0.69500000000000006</v>
      </c>
      <c r="P632" s="21">
        <v>2.4922700000000004</v>
      </c>
    </row>
    <row r="633" spans="1:16" ht="16.5" x14ac:dyDescent="0.25">
      <c r="A633" s="2"/>
      <c r="B633" s="4"/>
      <c r="C633" s="18"/>
      <c r="E633" s="20">
        <v>44963</v>
      </c>
      <c r="F633" s="17" t="s">
        <v>92</v>
      </c>
      <c r="G633" s="21">
        <v>7.3075000000000001</v>
      </c>
      <c r="H633" s="21">
        <v>13.4</v>
      </c>
      <c r="I633" s="25">
        <v>0.12536417910447759</v>
      </c>
      <c r="J633" s="21">
        <v>1.34</v>
      </c>
      <c r="K633" s="21">
        <v>9.2500000000000013E-2</v>
      </c>
      <c r="L633" s="21">
        <v>1.6079999999999999</v>
      </c>
      <c r="M633" s="17" t="s">
        <v>120</v>
      </c>
      <c r="N633" s="17" t="s">
        <v>117</v>
      </c>
      <c r="O633" s="21">
        <v>0.67</v>
      </c>
      <c r="P633" s="21">
        <v>2.4026200000000002</v>
      </c>
    </row>
    <row r="634" spans="1:16" ht="16.5" x14ac:dyDescent="0.25">
      <c r="A634" s="2"/>
      <c r="B634" s="4"/>
      <c r="C634" s="18"/>
      <c r="E634" s="20">
        <v>44963</v>
      </c>
      <c r="F634" s="17" t="s">
        <v>92</v>
      </c>
      <c r="G634" s="21">
        <v>7.3075000000000001</v>
      </c>
      <c r="H634" s="21">
        <v>12.9</v>
      </c>
      <c r="I634" s="25">
        <v>0.10422713178294575</v>
      </c>
      <c r="J634" s="21">
        <v>1.29</v>
      </c>
      <c r="K634" s="21">
        <v>9.2500000000000013E-2</v>
      </c>
      <c r="L634" s="21">
        <v>1.548</v>
      </c>
      <c r="M634" s="17" t="s">
        <v>113</v>
      </c>
      <c r="N634" s="17" t="s">
        <v>117</v>
      </c>
      <c r="O634" s="21">
        <v>0.64500000000000002</v>
      </c>
      <c r="P634" s="21">
        <v>2.3129700000000004</v>
      </c>
    </row>
    <row r="635" spans="1:16" ht="16.5" x14ac:dyDescent="0.25">
      <c r="A635" s="2"/>
      <c r="B635" s="4"/>
      <c r="C635" s="18"/>
      <c r="E635" s="20">
        <v>44963</v>
      </c>
      <c r="F635" s="17" t="s">
        <v>92</v>
      </c>
      <c r="G635" s="21">
        <v>7.4</v>
      </c>
      <c r="H635" s="21">
        <v>12.4</v>
      </c>
      <c r="I635" s="25">
        <v>0.19822580645161283</v>
      </c>
      <c r="J635" s="21">
        <v>1.2400000000000002</v>
      </c>
      <c r="K635" s="21">
        <v>0</v>
      </c>
      <c r="L635" s="21">
        <v>0.68200000000000005</v>
      </c>
      <c r="M635" s="17" t="s">
        <v>122</v>
      </c>
      <c r="N635" s="17" t="s">
        <v>116</v>
      </c>
      <c r="O635" s="21">
        <v>0.62000000000000011</v>
      </c>
      <c r="P635" s="21">
        <v>0.68200000000000005</v>
      </c>
    </row>
    <row r="636" spans="1:16" ht="16.5" x14ac:dyDescent="0.25">
      <c r="A636" s="2"/>
      <c r="B636" s="4"/>
      <c r="C636" s="18"/>
      <c r="E636" s="20">
        <v>44963</v>
      </c>
      <c r="F636" s="17" t="s">
        <v>92</v>
      </c>
      <c r="G636" s="21">
        <v>7.4</v>
      </c>
      <c r="H636" s="21">
        <v>11.9</v>
      </c>
      <c r="I636" s="25">
        <v>0.17315126050420163</v>
      </c>
      <c r="J636" s="21">
        <v>1.1900000000000002</v>
      </c>
      <c r="K636" s="21">
        <v>0</v>
      </c>
      <c r="L636" s="21">
        <v>0.65449999999999997</v>
      </c>
      <c r="M636" s="17" t="s">
        <v>121</v>
      </c>
      <c r="N636" s="17" t="s">
        <v>116</v>
      </c>
      <c r="O636" s="21">
        <v>0.59500000000000008</v>
      </c>
      <c r="P636" s="21">
        <v>0.65449999999999997</v>
      </c>
    </row>
    <row r="637" spans="1:16" ht="16.5" x14ac:dyDescent="0.25">
      <c r="A637" s="2"/>
      <c r="B637" s="4"/>
      <c r="C637" s="18"/>
      <c r="E637" s="20">
        <v>44963</v>
      </c>
      <c r="F637" s="17" t="s">
        <v>92</v>
      </c>
      <c r="G637" s="21">
        <v>7.4</v>
      </c>
      <c r="H637" s="21">
        <v>11.4</v>
      </c>
      <c r="I637" s="25">
        <v>0.14587719298245605</v>
      </c>
      <c r="J637" s="21">
        <v>1.1400000000000001</v>
      </c>
      <c r="K637" s="21">
        <v>0</v>
      </c>
      <c r="L637" s="21">
        <v>0.627</v>
      </c>
      <c r="M637" s="17" t="s">
        <v>120</v>
      </c>
      <c r="N637" s="17" t="s">
        <v>116</v>
      </c>
      <c r="O637" s="21">
        <v>0.57000000000000006</v>
      </c>
      <c r="P637" s="21">
        <v>0.627</v>
      </c>
    </row>
    <row r="638" spans="1:16" ht="16.5" x14ac:dyDescent="0.25">
      <c r="A638" s="2"/>
      <c r="B638" s="4"/>
      <c r="C638" s="18"/>
      <c r="E638" s="20">
        <v>44963</v>
      </c>
      <c r="F638" s="17" t="s">
        <v>92</v>
      </c>
      <c r="G638" s="21">
        <v>7.4</v>
      </c>
      <c r="H638" s="21">
        <v>10.9</v>
      </c>
      <c r="I638" s="25">
        <v>0.11610091743119258</v>
      </c>
      <c r="J638" s="21">
        <v>1.0900000000000001</v>
      </c>
      <c r="K638" s="21">
        <v>0</v>
      </c>
      <c r="L638" s="21">
        <v>0.59950000000000003</v>
      </c>
      <c r="M638" s="17" t="s">
        <v>113</v>
      </c>
      <c r="N638" s="17" t="s">
        <v>116</v>
      </c>
      <c r="O638" s="21">
        <v>0.54500000000000004</v>
      </c>
      <c r="P638" s="21">
        <v>0.59950000000000003</v>
      </c>
    </row>
    <row r="639" spans="1:16" ht="16.5" x14ac:dyDescent="0.25">
      <c r="A639" s="2"/>
      <c r="B639" s="4"/>
      <c r="C639" s="18"/>
      <c r="E639" s="20">
        <v>44963</v>
      </c>
      <c r="F639" s="17" t="s">
        <v>92</v>
      </c>
      <c r="G639" s="21">
        <v>7.4</v>
      </c>
      <c r="H639" s="21">
        <v>11.4</v>
      </c>
      <c r="I639" s="25">
        <v>0.14587719298245605</v>
      </c>
      <c r="J639" s="21">
        <v>1.1400000000000001</v>
      </c>
      <c r="K639" s="21">
        <v>0</v>
      </c>
      <c r="L639" s="21">
        <v>0.627</v>
      </c>
      <c r="M639" s="17" t="s">
        <v>113</v>
      </c>
      <c r="N639" s="17" t="s">
        <v>116</v>
      </c>
      <c r="O639" s="21">
        <v>0.57000000000000006</v>
      </c>
      <c r="P639" s="21">
        <v>0.627</v>
      </c>
    </row>
    <row r="640" spans="1:16" ht="16.5" x14ac:dyDescent="0.25">
      <c r="A640" s="2"/>
      <c r="B640" s="4"/>
      <c r="C640" s="18"/>
      <c r="E640" s="20">
        <v>44963</v>
      </c>
      <c r="F640" s="17" t="s">
        <v>92</v>
      </c>
      <c r="G640" s="21">
        <v>7.4</v>
      </c>
      <c r="H640" s="21">
        <v>10.9</v>
      </c>
      <c r="I640" s="25">
        <v>0.11610091743119258</v>
      </c>
      <c r="J640" s="21">
        <v>1.0900000000000001</v>
      </c>
      <c r="K640" s="21">
        <v>0</v>
      </c>
      <c r="L640" s="21">
        <v>0.59950000000000003</v>
      </c>
      <c r="M640" s="17" t="s">
        <v>113</v>
      </c>
      <c r="N640" s="17" t="s">
        <v>116</v>
      </c>
      <c r="O640" s="21">
        <v>0.54500000000000004</v>
      </c>
      <c r="P640" s="21">
        <v>0.59950000000000003</v>
      </c>
    </row>
    <row r="641" spans="1:16" ht="16.5" x14ac:dyDescent="0.25">
      <c r="A641" s="2"/>
      <c r="B641" s="4"/>
      <c r="C641" s="18"/>
      <c r="E641" s="20">
        <v>44963</v>
      </c>
      <c r="F641" s="17" t="s">
        <v>92</v>
      </c>
      <c r="G641" s="21">
        <v>7.4</v>
      </c>
      <c r="H641" s="21">
        <v>11.4</v>
      </c>
      <c r="I641" s="25">
        <v>0.2008771929824561</v>
      </c>
      <c r="J641" s="21">
        <v>1.1400000000000001</v>
      </c>
      <c r="K641" s="21">
        <v>9.2500000000000013E-2</v>
      </c>
      <c r="L641" s="21">
        <v>0</v>
      </c>
      <c r="M641" s="17" t="s">
        <v>122</v>
      </c>
      <c r="N641" s="17" t="s">
        <v>115</v>
      </c>
      <c r="O641" s="21">
        <v>0.57000000000000006</v>
      </c>
      <c r="P641" s="21">
        <v>0</v>
      </c>
    </row>
    <row r="642" spans="1:16" ht="16.5" x14ac:dyDescent="0.25">
      <c r="A642" s="2"/>
      <c r="B642" s="4"/>
      <c r="C642" s="18"/>
      <c r="E642" s="20">
        <v>44963</v>
      </c>
      <c r="F642" s="17" t="s">
        <v>92</v>
      </c>
      <c r="G642" s="21">
        <v>7.4</v>
      </c>
      <c r="H642" s="21">
        <v>10.9</v>
      </c>
      <c r="I642" s="25">
        <v>0.17110091743119266</v>
      </c>
      <c r="J642" s="21">
        <v>1.0900000000000001</v>
      </c>
      <c r="K642" s="21">
        <v>9.2500000000000013E-2</v>
      </c>
      <c r="L642" s="21">
        <v>0</v>
      </c>
      <c r="M642" s="17" t="s">
        <v>121</v>
      </c>
      <c r="N642" s="17" t="s">
        <v>115</v>
      </c>
      <c r="O642" s="21">
        <v>0.54500000000000004</v>
      </c>
      <c r="P642" s="21">
        <v>0</v>
      </c>
    </row>
    <row r="643" spans="1:16" ht="16.5" x14ac:dyDescent="0.25">
      <c r="A643" s="2"/>
      <c r="B643" s="4"/>
      <c r="C643" s="18"/>
      <c r="E643" s="20">
        <v>44963</v>
      </c>
      <c r="F643" s="17" t="s">
        <v>92</v>
      </c>
      <c r="G643" s="21">
        <v>7.4</v>
      </c>
      <c r="H643" s="21">
        <v>10.4</v>
      </c>
      <c r="I643" s="25">
        <v>0.13846153846153844</v>
      </c>
      <c r="J643" s="21">
        <v>1.04</v>
      </c>
      <c r="K643" s="21">
        <v>9.2500000000000013E-2</v>
      </c>
      <c r="L643" s="21">
        <v>0</v>
      </c>
      <c r="M643" s="17" t="s">
        <v>120</v>
      </c>
      <c r="N643" s="17" t="s">
        <v>115</v>
      </c>
      <c r="O643" s="21">
        <v>0.52</v>
      </c>
      <c r="P643" s="21">
        <v>0</v>
      </c>
    </row>
    <row r="644" spans="1:16" ht="16.5" x14ac:dyDescent="0.25">
      <c r="A644" s="2"/>
      <c r="B644" s="4"/>
      <c r="C644" s="18"/>
      <c r="E644" s="20">
        <v>44963</v>
      </c>
      <c r="F644" s="17" t="s">
        <v>92</v>
      </c>
      <c r="G644" s="21">
        <v>7.4</v>
      </c>
      <c r="H644" s="21">
        <v>9.9</v>
      </c>
      <c r="I644" s="25">
        <v>0.10252525252525249</v>
      </c>
      <c r="J644" s="21">
        <v>0.9900000000000001</v>
      </c>
      <c r="K644" s="21">
        <v>9.2500000000000013E-2</v>
      </c>
      <c r="L644" s="21">
        <v>0</v>
      </c>
      <c r="M644" s="17" t="s">
        <v>113</v>
      </c>
      <c r="N644" s="17" t="s">
        <v>115</v>
      </c>
      <c r="O644" s="21">
        <v>0.49500000000000005</v>
      </c>
      <c r="P644" s="21">
        <v>0</v>
      </c>
    </row>
    <row r="645" spans="1:16" ht="16.5" x14ac:dyDescent="0.25">
      <c r="A645" s="2"/>
      <c r="B645" s="4"/>
      <c r="C645" s="18"/>
      <c r="E645" s="20">
        <v>44963</v>
      </c>
      <c r="F645" s="17" t="s">
        <v>202</v>
      </c>
      <c r="G645" s="21">
        <v>13.1</v>
      </c>
      <c r="H645" s="21">
        <v>20.5</v>
      </c>
      <c r="I645" s="25">
        <v>0.21097560975609753</v>
      </c>
      <c r="J645" s="21">
        <v>2.0500000000000003</v>
      </c>
      <c r="K645" s="21">
        <v>0.16375000000000001</v>
      </c>
      <c r="L645" s="21">
        <v>0</v>
      </c>
      <c r="M645" s="17" t="s">
        <v>122</v>
      </c>
      <c r="N645" s="17" t="s">
        <v>115</v>
      </c>
      <c r="O645" s="21">
        <v>1.0250000000000001</v>
      </c>
      <c r="P645" s="21">
        <v>0</v>
      </c>
    </row>
    <row r="646" spans="1:16" ht="16.5" x14ac:dyDescent="0.25">
      <c r="A646" s="2"/>
      <c r="B646" s="4"/>
      <c r="C646" s="18"/>
      <c r="E646" s="20">
        <v>44963</v>
      </c>
      <c r="F646" s="17" t="s">
        <v>202</v>
      </c>
      <c r="G646" s="21">
        <v>13.1</v>
      </c>
      <c r="H646" s="21">
        <v>19.5</v>
      </c>
      <c r="I646" s="25">
        <v>0.17820512820512824</v>
      </c>
      <c r="J646" s="21">
        <v>1.9500000000000002</v>
      </c>
      <c r="K646" s="21">
        <v>0.16375000000000001</v>
      </c>
      <c r="L646" s="21">
        <v>0</v>
      </c>
      <c r="M646" s="17" t="s">
        <v>121</v>
      </c>
      <c r="N646" s="17" t="s">
        <v>115</v>
      </c>
      <c r="O646" s="21">
        <v>0.97500000000000009</v>
      </c>
      <c r="P646" s="21">
        <v>0</v>
      </c>
    </row>
    <row r="647" spans="1:16" ht="16.5" x14ac:dyDescent="0.25">
      <c r="A647" s="2"/>
      <c r="B647" s="4"/>
      <c r="C647" s="18"/>
      <c r="E647" s="20">
        <v>44963</v>
      </c>
      <c r="F647" s="17" t="s">
        <v>202</v>
      </c>
      <c r="G647" s="21">
        <v>13.1</v>
      </c>
      <c r="H647" s="21">
        <v>18.5</v>
      </c>
      <c r="I647" s="25">
        <v>0.14189189189189191</v>
      </c>
      <c r="J647" s="21">
        <v>1.85</v>
      </c>
      <c r="K647" s="21">
        <v>0.16375000000000001</v>
      </c>
      <c r="L647" s="21">
        <v>0</v>
      </c>
      <c r="M647" s="17" t="s">
        <v>120</v>
      </c>
      <c r="N647" s="17" t="s">
        <v>115</v>
      </c>
      <c r="O647" s="21">
        <v>0.92500000000000004</v>
      </c>
      <c r="P647" s="21">
        <v>0</v>
      </c>
    </row>
    <row r="648" spans="1:16" ht="16.5" x14ac:dyDescent="0.25">
      <c r="A648" s="2"/>
      <c r="B648" s="4"/>
      <c r="C648" s="18"/>
      <c r="E648" s="20">
        <v>44963</v>
      </c>
      <c r="F648" s="17" t="s">
        <v>202</v>
      </c>
      <c r="G648" s="21">
        <v>13.1</v>
      </c>
      <c r="H648" s="21">
        <v>17.5</v>
      </c>
      <c r="I648" s="25">
        <v>0.10142857142857145</v>
      </c>
      <c r="J648" s="21">
        <v>1.75</v>
      </c>
      <c r="K648" s="21">
        <v>0.16375000000000001</v>
      </c>
      <c r="L648" s="21">
        <v>0</v>
      </c>
      <c r="M648" s="17" t="s">
        <v>113</v>
      </c>
      <c r="N648" s="17" t="s">
        <v>115</v>
      </c>
      <c r="O648" s="21">
        <v>0.875</v>
      </c>
      <c r="P648" s="21">
        <v>0</v>
      </c>
    </row>
    <row r="649" spans="1:16" ht="16.5" x14ac:dyDescent="0.25">
      <c r="A649" s="2"/>
      <c r="B649" s="4"/>
      <c r="C649" s="18"/>
      <c r="E649" s="20">
        <v>44963</v>
      </c>
      <c r="F649" s="17" t="s">
        <v>202</v>
      </c>
      <c r="G649" s="21">
        <v>13.1</v>
      </c>
      <c r="H649" s="21">
        <v>22</v>
      </c>
      <c r="I649" s="25">
        <v>0.19954545454545453</v>
      </c>
      <c r="J649" s="21">
        <v>2.2000000000000002</v>
      </c>
      <c r="K649" s="21">
        <v>0</v>
      </c>
      <c r="L649" s="21">
        <v>1.21</v>
      </c>
      <c r="M649" s="17" t="s">
        <v>122</v>
      </c>
      <c r="N649" s="17" t="s">
        <v>116</v>
      </c>
      <c r="O649" s="21">
        <v>1.1000000000000001</v>
      </c>
      <c r="P649" s="21">
        <v>1.21</v>
      </c>
    </row>
    <row r="650" spans="1:16" ht="16.5" x14ac:dyDescent="0.25">
      <c r="A650" s="2"/>
      <c r="B650" s="4"/>
      <c r="C650" s="18"/>
      <c r="E650" s="20">
        <v>44963</v>
      </c>
      <c r="F650" s="17" t="s">
        <v>202</v>
      </c>
      <c r="G650" s="21">
        <v>13.1</v>
      </c>
      <c r="H650" s="21">
        <v>21</v>
      </c>
      <c r="I650" s="25">
        <v>0.17119047619047617</v>
      </c>
      <c r="J650" s="21">
        <v>2.1</v>
      </c>
      <c r="K650" s="21">
        <v>0</v>
      </c>
      <c r="L650" s="21">
        <v>1.155</v>
      </c>
      <c r="M650" s="17" t="s">
        <v>121</v>
      </c>
      <c r="N650" s="17" t="s">
        <v>116</v>
      </c>
      <c r="O650" s="21">
        <v>1.05</v>
      </c>
      <c r="P650" s="21">
        <v>1.155</v>
      </c>
    </row>
    <row r="651" spans="1:16" ht="16.5" x14ac:dyDescent="0.25">
      <c r="A651" s="2"/>
      <c r="B651" s="4"/>
      <c r="C651" s="18"/>
      <c r="E651" s="20">
        <v>44963</v>
      </c>
      <c r="F651" s="17" t="s">
        <v>202</v>
      </c>
      <c r="G651" s="21">
        <v>13.1</v>
      </c>
      <c r="H651" s="21">
        <v>20</v>
      </c>
      <c r="I651" s="25">
        <v>0.13999999999999996</v>
      </c>
      <c r="J651" s="21">
        <v>2</v>
      </c>
      <c r="K651" s="21">
        <v>0</v>
      </c>
      <c r="L651" s="21">
        <v>1.1000000000000001</v>
      </c>
      <c r="M651" s="17" t="s">
        <v>120</v>
      </c>
      <c r="N651" s="17" t="s">
        <v>116</v>
      </c>
      <c r="O651" s="21">
        <v>1</v>
      </c>
      <c r="P651" s="21">
        <v>1.1000000000000001</v>
      </c>
    </row>
    <row r="652" spans="1:16" ht="16.5" x14ac:dyDescent="0.25">
      <c r="A652" s="2"/>
      <c r="B652" s="4"/>
      <c r="C652" s="18"/>
      <c r="E652" s="20">
        <v>44963</v>
      </c>
      <c r="F652" s="17" t="s">
        <v>202</v>
      </c>
      <c r="G652" s="21">
        <v>13.1</v>
      </c>
      <c r="H652" s="21">
        <v>19</v>
      </c>
      <c r="I652" s="25">
        <v>0.10552631578947358</v>
      </c>
      <c r="J652" s="21">
        <v>1.9000000000000001</v>
      </c>
      <c r="K652" s="21">
        <v>0</v>
      </c>
      <c r="L652" s="21">
        <v>1.0449999999999999</v>
      </c>
      <c r="M652" s="17" t="s">
        <v>113</v>
      </c>
      <c r="N652" s="17" t="s">
        <v>116</v>
      </c>
      <c r="O652" s="21">
        <v>0.95000000000000007</v>
      </c>
      <c r="P652" s="21">
        <v>1.0449999999999999</v>
      </c>
    </row>
    <row r="653" spans="1:16" ht="16.5" x14ac:dyDescent="0.25">
      <c r="A653" s="2"/>
      <c r="B653" s="4"/>
      <c r="C653" s="18"/>
      <c r="E653" s="20">
        <v>44963</v>
      </c>
      <c r="F653" s="17" t="s">
        <v>202</v>
      </c>
      <c r="G653" s="21">
        <v>12.936249999999999</v>
      </c>
      <c r="H653" s="21">
        <v>25.5</v>
      </c>
      <c r="I653" s="25">
        <v>0.16339607843137252</v>
      </c>
      <c r="J653" s="21">
        <v>2.5500000000000003</v>
      </c>
      <c r="K653" s="21">
        <v>0.16375000000000001</v>
      </c>
      <c r="L653" s="21">
        <v>3.06</v>
      </c>
      <c r="M653" s="17" t="s">
        <v>122</v>
      </c>
      <c r="N653" s="17" t="s">
        <v>117</v>
      </c>
      <c r="O653" s="21">
        <v>1.2750000000000001</v>
      </c>
      <c r="P653" s="21">
        <v>4.5721500000000006</v>
      </c>
    </row>
    <row r="654" spans="1:16" ht="16.5" x14ac:dyDescent="0.25">
      <c r="A654" s="2"/>
      <c r="B654" s="4"/>
      <c r="C654" s="18"/>
      <c r="E654" s="20">
        <v>44963</v>
      </c>
      <c r="F654" s="17" t="s">
        <v>202</v>
      </c>
      <c r="G654" s="21">
        <v>12.936249999999999</v>
      </c>
      <c r="H654" s="21">
        <v>24.5</v>
      </c>
      <c r="I654" s="25">
        <v>0.14268979591836742</v>
      </c>
      <c r="J654" s="21">
        <v>2.4500000000000002</v>
      </c>
      <c r="K654" s="21">
        <v>0.16375000000000001</v>
      </c>
      <c r="L654" s="21">
        <v>2.94</v>
      </c>
      <c r="M654" s="17" t="s">
        <v>121</v>
      </c>
      <c r="N654" s="17" t="s">
        <v>117</v>
      </c>
      <c r="O654" s="21">
        <v>1.2250000000000001</v>
      </c>
      <c r="P654" s="21">
        <v>4.3928500000000001</v>
      </c>
    </row>
    <row r="655" spans="1:16" ht="16.5" x14ac:dyDescent="0.25">
      <c r="A655" s="2"/>
      <c r="B655" s="4"/>
      <c r="C655" s="18"/>
      <c r="E655" s="20">
        <v>44963</v>
      </c>
      <c r="F655" s="17" t="s">
        <v>202</v>
      </c>
      <c r="G655" s="21">
        <v>12.936249999999999</v>
      </c>
      <c r="H655" s="21">
        <v>23.5</v>
      </c>
      <c r="I655" s="25">
        <v>0.12022127659574465</v>
      </c>
      <c r="J655" s="21">
        <v>2.35</v>
      </c>
      <c r="K655" s="21">
        <v>0.16375000000000001</v>
      </c>
      <c r="L655" s="21">
        <v>2.82</v>
      </c>
      <c r="M655" s="17" t="s">
        <v>120</v>
      </c>
      <c r="N655" s="17" t="s">
        <v>117</v>
      </c>
      <c r="O655" s="21">
        <v>1.175</v>
      </c>
      <c r="P655" s="21">
        <v>4.2135500000000006</v>
      </c>
    </row>
    <row r="656" spans="1:16" ht="16.5" x14ac:dyDescent="0.25">
      <c r="A656" s="2"/>
      <c r="B656" s="4"/>
      <c r="C656" s="18"/>
      <c r="E656" s="20">
        <v>44963</v>
      </c>
      <c r="F656" s="17" t="s">
        <v>202</v>
      </c>
      <c r="G656" s="21">
        <v>12.936249999999999</v>
      </c>
      <c r="H656" s="21">
        <v>22.5</v>
      </c>
      <c r="I656" s="25">
        <v>9.575555555555558E-2</v>
      </c>
      <c r="J656" s="21">
        <v>2.25</v>
      </c>
      <c r="K656" s="21">
        <v>0.16375000000000001</v>
      </c>
      <c r="L656" s="21">
        <v>2.6999999999999997</v>
      </c>
      <c r="M656" s="17" t="s">
        <v>113</v>
      </c>
      <c r="N656" s="17" t="s">
        <v>117</v>
      </c>
      <c r="O656" s="21">
        <v>1.125</v>
      </c>
      <c r="P656" s="21">
        <v>4.0342500000000001</v>
      </c>
    </row>
    <row r="657" spans="1:16" ht="16.5" x14ac:dyDescent="0.25">
      <c r="A657" s="2"/>
      <c r="B657" s="4"/>
      <c r="C657" s="18"/>
      <c r="E657" s="20">
        <v>44823</v>
      </c>
      <c r="F657" s="17" t="s">
        <v>103</v>
      </c>
      <c r="G657" s="21">
        <v>9.24</v>
      </c>
      <c r="H657" s="21">
        <v>18</v>
      </c>
      <c r="I657" s="25">
        <v>0.20736666666666659</v>
      </c>
      <c r="J657" s="21">
        <v>1.8</v>
      </c>
      <c r="K657" s="21">
        <v>1.26</v>
      </c>
      <c r="L657" s="21">
        <v>1.2600000000000002</v>
      </c>
      <c r="M657" s="17" t="s">
        <v>122</v>
      </c>
      <c r="N657" s="17" t="s">
        <v>117</v>
      </c>
      <c r="O657" s="21">
        <v>0.9</v>
      </c>
      <c r="P657" s="21">
        <v>2.3273999999999999</v>
      </c>
    </row>
    <row r="658" spans="1:16" ht="16.5" x14ac:dyDescent="0.25">
      <c r="A658" s="2"/>
      <c r="B658" s="4"/>
      <c r="C658" s="18"/>
      <c r="E658" s="20">
        <v>44823</v>
      </c>
      <c r="F658" s="17" t="s">
        <v>103</v>
      </c>
      <c r="G658" s="21">
        <v>9.24</v>
      </c>
      <c r="H658" s="21">
        <v>17</v>
      </c>
      <c r="I658" s="25">
        <v>0.17717058823529411</v>
      </c>
      <c r="J658" s="21">
        <v>1.7000000000000002</v>
      </c>
      <c r="K658" s="21">
        <v>1.26</v>
      </c>
      <c r="L658" s="21">
        <v>1.1900000000000002</v>
      </c>
      <c r="M658" s="17" t="s">
        <v>121</v>
      </c>
      <c r="N658" s="17" t="s">
        <v>117</v>
      </c>
      <c r="O658" s="21">
        <v>0.85000000000000009</v>
      </c>
      <c r="P658" s="21">
        <v>2.1981000000000002</v>
      </c>
    </row>
    <row r="659" spans="1:16" ht="16.5" x14ac:dyDescent="0.25">
      <c r="A659" s="2"/>
      <c r="B659" s="4"/>
      <c r="C659" s="18"/>
      <c r="E659" s="20">
        <v>44823</v>
      </c>
      <c r="F659" s="17" t="s">
        <v>103</v>
      </c>
      <c r="G659" s="21">
        <v>9.24</v>
      </c>
      <c r="H659" s="21">
        <v>16</v>
      </c>
      <c r="I659" s="25">
        <v>0.14320000000000002</v>
      </c>
      <c r="J659" s="21">
        <v>1.6</v>
      </c>
      <c r="K659" s="21">
        <v>1.26</v>
      </c>
      <c r="L659" s="21">
        <v>1.1200000000000001</v>
      </c>
      <c r="M659" s="17" t="s">
        <v>120</v>
      </c>
      <c r="N659" s="17" t="s">
        <v>117</v>
      </c>
      <c r="O659" s="21">
        <v>0.8</v>
      </c>
      <c r="P659" s="21">
        <v>2.0688</v>
      </c>
    </row>
    <row r="660" spans="1:16" ht="16.5" x14ac:dyDescent="0.25">
      <c r="A660" s="2"/>
      <c r="B660" s="4"/>
      <c r="C660" s="18"/>
      <c r="E660" s="20">
        <v>44823</v>
      </c>
      <c r="F660" s="17" t="s">
        <v>103</v>
      </c>
      <c r="G660" s="21">
        <v>9.24</v>
      </c>
      <c r="H660" s="21">
        <v>15</v>
      </c>
      <c r="I660" s="25">
        <v>0.10469999999999995</v>
      </c>
      <c r="J660" s="21">
        <v>1.5</v>
      </c>
      <c r="K660" s="21">
        <v>1.26</v>
      </c>
      <c r="L660" s="21">
        <v>1.05</v>
      </c>
      <c r="M660" s="17" t="s">
        <v>113</v>
      </c>
      <c r="N660" s="17" t="s">
        <v>117</v>
      </c>
      <c r="O660" s="21">
        <v>0.75</v>
      </c>
      <c r="P660" s="21">
        <v>1.9395</v>
      </c>
    </row>
    <row r="661" spans="1:16" ht="16.5" x14ac:dyDescent="0.25">
      <c r="A661" s="2"/>
      <c r="B661" s="4"/>
      <c r="C661" s="18"/>
      <c r="E661" s="20">
        <v>44823</v>
      </c>
      <c r="F661" s="17" t="s">
        <v>102</v>
      </c>
      <c r="G661" s="21">
        <v>19.8</v>
      </c>
      <c r="H661" s="21">
        <v>35</v>
      </c>
      <c r="I661" s="25">
        <v>0.15498571428571423</v>
      </c>
      <c r="J661" s="21">
        <v>3.5</v>
      </c>
      <c r="K661" s="21">
        <v>2.6999999999999997</v>
      </c>
      <c r="L661" s="21">
        <v>2.4500000000000002</v>
      </c>
      <c r="M661" s="17" t="s">
        <v>122</v>
      </c>
      <c r="N661" s="17" t="s">
        <v>117</v>
      </c>
      <c r="O661" s="21">
        <v>1.75</v>
      </c>
      <c r="P661" s="21">
        <v>4.5255000000000001</v>
      </c>
    </row>
    <row r="662" spans="1:16" ht="16.5" x14ac:dyDescent="0.25">
      <c r="A662" s="2"/>
      <c r="B662" s="4"/>
      <c r="C662" s="18"/>
      <c r="E662" s="20">
        <v>44823</v>
      </c>
      <c r="F662" s="17" t="s">
        <v>102</v>
      </c>
      <c r="G662" s="21">
        <v>19.8</v>
      </c>
      <c r="H662" s="21">
        <v>34</v>
      </c>
      <c r="I662" s="25">
        <v>0.13834705882352938</v>
      </c>
      <c r="J662" s="21">
        <v>3.4000000000000004</v>
      </c>
      <c r="K662" s="21">
        <v>2.6999999999999997</v>
      </c>
      <c r="L662" s="21">
        <v>2.3800000000000003</v>
      </c>
      <c r="M662" s="17" t="s">
        <v>121</v>
      </c>
      <c r="N662" s="17" t="s">
        <v>117</v>
      </c>
      <c r="O662" s="21">
        <v>1.7000000000000002</v>
      </c>
      <c r="P662" s="21">
        <v>4.3962000000000003</v>
      </c>
    </row>
    <row r="663" spans="1:16" ht="16.5" x14ac:dyDescent="0.25">
      <c r="A663" s="2"/>
      <c r="B663" s="4"/>
      <c r="C663" s="18"/>
      <c r="E663" s="20">
        <v>44823</v>
      </c>
      <c r="F663" s="17" t="s">
        <v>102</v>
      </c>
      <c r="G663" s="21">
        <v>19.8</v>
      </c>
      <c r="H663" s="21">
        <v>33</v>
      </c>
      <c r="I663" s="25">
        <v>0.12069999999999997</v>
      </c>
      <c r="J663" s="21">
        <v>3.3000000000000003</v>
      </c>
      <c r="K663" s="21">
        <v>2.6999999999999997</v>
      </c>
      <c r="L663" s="21">
        <v>2.31</v>
      </c>
      <c r="M663" s="17" t="s">
        <v>120</v>
      </c>
      <c r="N663" s="17" t="s">
        <v>117</v>
      </c>
      <c r="O663" s="21">
        <v>1.6500000000000001</v>
      </c>
      <c r="P663" s="21">
        <v>4.2668999999999997</v>
      </c>
    </row>
    <row r="664" spans="1:16" ht="16.5" x14ac:dyDescent="0.25">
      <c r="A664" s="2"/>
      <c r="B664" s="4"/>
      <c r="C664" s="18"/>
      <c r="E664" s="20">
        <v>44823</v>
      </c>
      <c r="F664" s="17" t="s">
        <v>102</v>
      </c>
      <c r="G664" s="21">
        <v>19.8</v>
      </c>
      <c r="H664" s="21">
        <v>32</v>
      </c>
      <c r="I664" s="25">
        <v>0.10195000000000001</v>
      </c>
      <c r="J664" s="21">
        <v>3.2</v>
      </c>
      <c r="K664" s="21">
        <v>2.6999999999999997</v>
      </c>
      <c r="L664" s="21">
        <v>2.2400000000000002</v>
      </c>
      <c r="M664" s="17" t="s">
        <v>113</v>
      </c>
      <c r="N664" s="17" t="s">
        <v>117</v>
      </c>
      <c r="O664" s="21">
        <v>1.6</v>
      </c>
      <c r="P664" s="21">
        <v>4.1375999999999999</v>
      </c>
    </row>
    <row r="665" spans="1:16" ht="16.5" x14ac:dyDescent="0.25">
      <c r="A665" s="2"/>
      <c r="B665" s="4"/>
      <c r="C665" s="18"/>
      <c r="E665" s="20">
        <v>44823</v>
      </c>
      <c r="F665" s="17" t="s">
        <v>101</v>
      </c>
      <c r="G665" s="21">
        <v>11.44</v>
      </c>
      <c r="H665" s="21">
        <v>21.5</v>
      </c>
      <c r="I665" s="25">
        <v>0.18860697674418611</v>
      </c>
      <c r="J665" s="21">
        <v>2.15</v>
      </c>
      <c r="K665" s="21">
        <v>1.56</v>
      </c>
      <c r="L665" s="21">
        <v>1.5050000000000001</v>
      </c>
      <c r="M665" s="17" t="s">
        <v>122</v>
      </c>
      <c r="N665" s="17" t="s">
        <v>117</v>
      </c>
      <c r="O665" s="21">
        <v>1.075</v>
      </c>
      <c r="P665" s="21">
        <v>2.7799499999999999</v>
      </c>
    </row>
    <row r="666" spans="1:16" ht="16.5" x14ac:dyDescent="0.25">
      <c r="A666" s="2"/>
      <c r="B666" s="4"/>
      <c r="C666" s="18"/>
      <c r="E666" s="20">
        <v>44823</v>
      </c>
      <c r="F666" s="17" t="s">
        <v>101</v>
      </c>
      <c r="G666" s="21">
        <v>11.44</v>
      </c>
      <c r="H666" s="21">
        <v>20.5</v>
      </c>
      <c r="I666" s="25">
        <v>0.16265121951219516</v>
      </c>
      <c r="J666" s="21">
        <v>2.0500000000000003</v>
      </c>
      <c r="K666" s="21">
        <v>1.56</v>
      </c>
      <c r="L666" s="21">
        <v>1.4350000000000001</v>
      </c>
      <c r="M666" s="17" t="s">
        <v>121</v>
      </c>
      <c r="N666" s="17" t="s">
        <v>117</v>
      </c>
      <c r="O666" s="21">
        <v>1.0250000000000001</v>
      </c>
      <c r="P666" s="21">
        <v>2.6506500000000002</v>
      </c>
    </row>
    <row r="667" spans="1:16" ht="16.5" x14ac:dyDescent="0.25">
      <c r="A667" s="2"/>
      <c r="B667" s="4"/>
      <c r="C667" s="18"/>
      <c r="E667" s="20">
        <v>44823</v>
      </c>
      <c r="F667" s="17" t="s">
        <v>101</v>
      </c>
      <c r="G667" s="21">
        <v>11.44</v>
      </c>
      <c r="H667" s="21">
        <v>19.5</v>
      </c>
      <c r="I667" s="25">
        <v>0.13403333333333345</v>
      </c>
      <c r="J667" s="21">
        <v>1.9500000000000002</v>
      </c>
      <c r="K667" s="21">
        <v>1.56</v>
      </c>
      <c r="L667" s="21">
        <v>1.3650000000000002</v>
      </c>
      <c r="M667" s="17" t="s">
        <v>120</v>
      </c>
      <c r="N667" s="17" t="s">
        <v>117</v>
      </c>
      <c r="O667" s="21">
        <v>0.97500000000000009</v>
      </c>
      <c r="P667" s="21">
        <v>2.52135</v>
      </c>
    </row>
    <row r="668" spans="1:16" ht="16.5" x14ac:dyDescent="0.25">
      <c r="A668" s="2"/>
      <c r="B668" s="4"/>
      <c r="C668" s="18"/>
      <c r="E668" s="20">
        <v>44823</v>
      </c>
      <c r="F668" s="17" t="s">
        <v>101</v>
      </c>
      <c r="G668" s="21">
        <v>11.44</v>
      </c>
      <c r="H668" s="21">
        <v>18.5</v>
      </c>
      <c r="I668" s="25">
        <v>0.10232162162162159</v>
      </c>
      <c r="J668" s="21">
        <v>1.85</v>
      </c>
      <c r="K668" s="21">
        <v>1.56</v>
      </c>
      <c r="L668" s="21">
        <v>1.2950000000000002</v>
      </c>
      <c r="M668" s="17" t="s">
        <v>113</v>
      </c>
      <c r="N668" s="17" t="s">
        <v>117</v>
      </c>
      <c r="O668" s="21">
        <v>0.92500000000000004</v>
      </c>
      <c r="P668" s="21">
        <v>2.3920499999999998</v>
      </c>
    </row>
    <row r="669" spans="1:16" ht="16.5" x14ac:dyDescent="0.25">
      <c r="A669" s="2"/>
      <c r="B669" s="4"/>
      <c r="C669" s="18"/>
      <c r="E669" s="20">
        <v>44764</v>
      </c>
      <c r="F669" s="17" t="s">
        <v>199</v>
      </c>
      <c r="G669" s="21">
        <v>29</v>
      </c>
      <c r="H669" s="21">
        <v>49</v>
      </c>
      <c r="I669" s="25">
        <v>0.13816326530612241</v>
      </c>
      <c r="J669" s="21">
        <v>4.9000000000000004</v>
      </c>
      <c r="K669" s="21">
        <v>0</v>
      </c>
      <c r="L669" s="21">
        <v>5.88</v>
      </c>
      <c r="M669" s="17" t="s">
        <v>122</v>
      </c>
      <c r="N669" s="17" t="s">
        <v>116</v>
      </c>
      <c r="O669" s="21">
        <v>2.4500000000000002</v>
      </c>
      <c r="P669" s="21">
        <v>5.88</v>
      </c>
    </row>
    <row r="670" spans="1:16" ht="16.5" x14ac:dyDescent="0.25">
      <c r="A670" s="2"/>
      <c r="B670" s="4"/>
      <c r="C670" s="18"/>
      <c r="E670" s="20">
        <v>44764</v>
      </c>
      <c r="F670" s="17" t="s">
        <v>199</v>
      </c>
      <c r="G670" s="21">
        <v>29</v>
      </c>
      <c r="H670" s="21">
        <v>47</v>
      </c>
      <c r="I670" s="25">
        <v>0.11297872340425531</v>
      </c>
      <c r="J670" s="21">
        <v>4.7</v>
      </c>
      <c r="K670" s="21">
        <v>0</v>
      </c>
      <c r="L670" s="21">
        <v>5.64</v>
      </c>
      <c r="M670" s="17" t="s">
        <v>121</v>
      </c>
      <c r="N670" s="17" t="s">
        <v>116</v>
      </c>
      <c r="O670" s="21">
        <v>2.35</v>
      </c>
      <c r="P670" s="21">
        <v>5.64</v>
      </c>
    </row>
    <row r="671" spans="1:16" ht="16.5" x14ac:dyDescent="0.25">
      <c r="A671" s="2"/>
      <c r="B671" s="4"/>
      <c r="C671" s="18"/>
      <c r="E671" s="20">
        <v>44764</v>
      </c>
      <c r="F671" s="17" t="s">
        <v>199</v>
      </c>
      <c r="G671" s="21">
        <v>29</v>
      </c>
      <c r="H671" s="21">
        <v>45</v>
      </c>
      <c r="I671" s="25">
        <v>8.5555555555555593E-2</v>
      </c>
      <c r="J671" s="21">
        <v>4.5</v>
      </c>
      <c r="K671" s="21">
        <v>0</v>
      </c>
      <c r="L671" s="21">
        <v>5.3999999999999995</v>
      </c>
      <c r="M671" s="17" t="s">
        <v>120</v>
      </c>
      <c r="N671" s="17" t="s">
        <v>116</v>
      </c>
      <c r="O671" s="21">
        <v>2.25</v>
      </c>
      <c r="P671" s="21">
        <v>5.3999999999999995</v>
      </c>
    </row>
    <row r="672" spans="1:16" ht="16.5" x14ac:dyDescent="0.25">
      <c r="A672" s="2"/>
      <c r="B672" s="4"/>
      <c r="C672" s="18"/>
      <c r="E672" s="20">
        <v>44764</v>
      </c>
      <c r="F672" s="17" t="s">
        <v>199</v>
      </c>
      <c r="G672" s="21">
        <v>29</v>
      </c>
      <c r="H672" s="21">
        <v>43</v>
      </c>
      <c r="I672" s="25">
        <v>5.5581395348837284E-2</v>
      </c>
      <c r="J672" s="21">
        <v>4.3</v>
      </c>
      <c r="K672" s="21">
        <v>0</v>
      </c>
      <c r="L672" s="21">
        <v>5.16</v>
      </c>
      <c r="M672" s="17" t="s">
        <v>113</v>
      </c>
      <c r="N672" s="17" t="s">
        <v>116</v>
      </c>
      <c r="O672" s="21">
        <v>2.15</v>
      </c>
      <c r="P672" s="21">
        <v>5.16</v>
      </c>
    </row>
    <row r="673" spans="1:16" ht="16.5" x14ac:dyDescent="0.25">
      <c r="A673" s="2"/>
      <c r="B673" s="4"/>
      <c r="C673" s="18"/>
      <c r="E673" s="20">
        <v>44764</v>
      </c>
      <c r="F673" s="17" t="s">
        <v>199</v>
      </c>
      <c r="G673" s="21">
        <v>29</v>
      </c>
      <c r="H673" s="21">
        <v>43</v>
      </c>
      <c r="I673" s="25">
        <v>5.5581395348837284E-2</v>
      </c>
      <c r="J673" s="21">
        <v>4.3</v>
      </c>
      <c r="K673" s="21">
        <v>0</v>
      </c>
      <c r="L673" s="21">
        <v>5.16</v>
      </c>
      <c r="M673" s="17" t="s">
        <v>122</v>
      </c>
      <c r="N673" s="17" t="s">
        <v>116</v>
      </c>
      <c r="O673" s="21">
        <v>2.15</v>
      </c>
      <c r="P673" s="21">
        <v>5.16</v>
      </c>
    </row>
    <row r="674" spans="1:16" ht="16.5" x14ac:dyDescent="0.25">
      <c r="A674" s="2"/>
      <c r="B674" s="4"/>
      <c r="C674" s="18"/>
      <c r="E674" s="20">
        <v>44764</v>
      </c>
      <c r="F674" s="17" t="s">
        <v>199</v>
      </c>
      <c r="G674" s="21">
        <v>28.65</v>
      </c>
      <c r="H674" s="21">
        <v>53</v>
      </c>
      <c r="I674" s="25">
        <v>0.130133962264151</v>
      </c>
      <c r="J674" s="21">
        <v>5.3000000000000007</v>
      </c>
      <c r="K674" s="21">
        <v>0.35000000000000003</v>
      </c>
      <c r="L674" s="21">
        <v>6.3599999999999994</v>
      </c>
      <c r="M674" s="17" t="s">
        <v>122</v>
      </c>
      <c r="N674" s="17" t="s">
        <v>117</v>
      </c>
      <c r="O674" s="21">
        <v>2.6500000000000004</v>
      </c>
      <c r="P674" s="21">
        <v>9.5029000000000003</v>
      </c>
    </row>
    <row r="675" spans="1:16" ht="16.5" x14ac:dyDescent="0.25">
      <c r="A675" s="2"/>
      <c r="B675" s="4"/>
      <c r="C675" s="18"/>
      <c r="E675" s="20">
        <v>44764</v>
      </c>
      <c r="F675" s="17" t="s">
        <v>199</v>
      </c>
      <c r="G675" s="21">
        <v>28.65</v>
      </c>
      <c r="H675" s="21">
        <v>51</v>
      </c>
      <c r="I675" s="25">
        <v>0.10893529411764703</v>
      </c>
      <c r="J675" s="21">
        <v>5.1000000000000005</v>
      </c>
      <c r="K675" s="21">
        <v>0.35000000000000003</v>
      </c>
      <c r="L675" s="21">
        <v>6.12</v>
      </c>
      <c r="M675" s="17" t="s">
        <v>121</v>
      </c>
      <c r="N675" s="17" t="s">
        <v>117</v>
      </c>
      <c r="O675" s="21">
        <v>2.5500000000000003</v>
      </c>
      <c r="P675" s="21">
        <v>9.1443000000000012</v>
      </c>
    </row>
    <row r="676" spans="1:16" ht="16.5" x14ac:dyDescent="0.25">
      <c r="A676" s="2"/>
      <c r="B676" s="4"/>
      <c r="C676" s="18"/>
      <c r="E676" s="20">
        <v>44764</v>
      </c>
      <c r="F676" s="17" t="s">
        <v>199</v>
      </c>
      <c r="G676" s="21">
        <v>28.65</v>
      </c>
      <c r="H676" s="21">
        <v>49</v>
      </c>
      <c r="I676" s="25">
        <v>8.6006122448979663E-2</v>
      </c>
      <c r="J676" s="21">
        <v>4.9000000000000004</v>
      </c>
      <c r="K676" s="21">
        <v>0.35000000000000003</v>
      </c>
      <c r="L676" s="21">
        <v>5.88</v>
      </c>
      <c r="M676" s="17" t="s">
        <v>120</v>
      </c>
      <c r="N676" s="17" t="s">
        <v>117</v>
      </c>
      <c r="O676" s="21">
        <v>2.4500000000000002</v>
      </c>
      <c r="P676" s="21">
        <v>8.7857000000000003</v>
      </c>
    </row>
    <row r="677" spans="1:16" ht="16.5" x14ac:dyDescent="0.25">
      <c r="A677" s="2"/>
      <c r="B677" s="4"/>
      <c r="C677" s="18"/>
      <c r="E677" s="20">
        <v>44764</v>
      </c>
      <c r="F677" s="17" t="s">
        <v>199</v>
      </c>
      <c r="G677" s="21">
        <v>28.65</v>
      </c>
      <c r="H677" s="21">
        <v>47</v>
      </c>
      <c r="I677" s="25">
        <v>6.1125531914893588E-2</v>
      </c>
      <c r="J677" s="21">
        <v>4.7</v>
      </c>
      <c r="K677" s="21">
        <v>0.35000000000000003</v>
      </c>
      <c r="L677" s="21">
        <v>5.64</v>
      </c>
      <c r="M677" s="17" t="s">
        <v>113</v>
      </c>
      <c r="N677" s="17" t="s">
        <v>117</v>
      </c>
      <c r="O677" s="21">
        <v>2.35</v>
      </c>
      <c r="P677" s="21">
        <v>8.4271000000000011</v>
      </c>
    </row>
    <row r="678" spans="1:16" ht="16.5" x14ac:dyDescent="0.25">
      <c r="A678" s="2"/>
      <c r="B678" s="4"/>
      <c r="C678" s="18"/>
      <c r="E678" s="20">
        <v>44764</v>
      </c>
      <c r="F678" s="17" t="s">
        <v>199</v>
      </c>
      <c r="G678" s="21">
        <v>29</v>
      </c>
      <c r="H678" s="21">
        <v>45</v>
      </c>
      <c r="I678" s="25">
        <v>0.20555555555555555</v>
      </c>
      <c r="J678" s="21">
        <v>4.5</v>
      </c>
      <c r="K678" s="21">
        <v>0.35000000000000003</v>
      </c>
      <c r="L678" s="21">
        <v>0</v>
      </c>
      <c r="M678" s="17" t="s">
        <v>122</v>
      </c>
      <c r="N678" s="17" t="s">
        <v>115</v>
      </c>
      <c r="O678" s="21">
        <v>2.25</v>
      </c>
      <c r="P678" s="21">
        <v>0</v>
      </c>
    </row>
    <row r="679" spans="1:16" ht="16.5" x14ac:dyDescent="0.25">
      <c r="A679" s="2"/>
      <c r="B679" s="4"/>
      <c r="C679" s="18"/>
      <c r="E679" s="20">
        <v>44764</v>
      </c>
      <c r="F679" s="17" t="s">
        <v>199</v>
      </c>
      <c r="G679" s="21">
        <v>29</v>
      </c>
      <c r="H679" s="21">
        <v>43</v>
      </c>
      <c r="I679" s="25">
        <v>0.17558139534883721</v>
      </c>
      <c r="J679" s="21">
        <v>4.3</v>
      </c>
      <c r="K679" s="21">
        <v>0.35000000000000003</v>
      </c>
      <c r="L679" s="21">
        <v>0</v>
      </c>
      <c r="M679" s="17" t="s">
        <v>121</v>
      </c>
      <c r="N679" s="17" t="s">
        <v>115</v>
      </c>
      <c r="O679" s="21">
        <v>2.15</v>
      </c>
      <c r="P679" s="21">
        <v>0</v>
      </c>
    </row>
    <row r="680" spans="1:16" ht="16.5" x14ac:dyDescent="0.25">
      <c r="A680" s="2"/>
      <c r="B680" s="4"/>
      <c r="C680" s="18"/>
      <c r="E680" s="20">
        <v>44764</v>
      </c>
      <c r="F680" s="17" t="s">
        <v>199</v>
      </c>
      <c r="G680" s="21">
        <v>29</v>
      </c>
      <c r="H680" s="21">
        <v>41</v>
      </c>
      <c r="I680" s="25">
        <v>0.14268292682926825</v>
      </c>
      <c r="J680" s="21">
        <v>4.1000000000000005</v>
      </c>
      <c r="K680" s="21">
        <v>0.35000000000000003</v>
      </c>
      <c r="L680" s="21">
        <v>0</v>
      </c>
      <c r="M680" s="17" t="s">
        <v>120</v>
      </c>
      <c r="N680" s="17" t="s">
        <v>115</v>
      </c>
      <c r="O680" s="21">
        <v>2.0500000000000003</v>
      </c>
      <c r="P680" s="21">
        <v>0</v>
      </c>
    </row>
    <row r="681" spans="1:16" ht="16.5" x14ac:dyDescent="0.25">
      <c r="A681" s="2"/>
      <c r="B681" s="4"/>
      <c r="C681" s="18"/>
      <c r="E681" s="20">
        <v>44764</v>
      </c>
      <c r="F681" s="17" t="s">
        <v>199</v>
      </c>
      <c r="G681" s="21">
        <v>29</v>
      </c>
      <c r="H681" s="21">
        <v>39</v>
      </c>
      <c r="I681" s="25">
        <v>0.10641025641025642</v>
      </c>
      <c r="J681" s="21">
        <v>3.9000000000000004</v>
      </c>
      <c r="K681" s="21">
        <v>0.35000000000000003</v>
      </c>
      <c r="L681" s="21">
        <v>0</v>
      </c>
      <c r="M681" s="17" t="s">
        <v>113</v>
      </c>
      <c r="N681" s="17" t="s">
        <v>115</v>
      </c>
      <c r="O681" s="21">
        <v>1.9500000000000002</v>
      </c>
      <c r="P681" s="21">
        <v>0</v>
      </c>
    </row>
    <row r="682" spans="1:16" ht="16.5" x14ac:dyDescent="0.25">
      <c r="A682" s="2"/>
      <c r="B682" s="4"/>
      <c r="C682" s="18"/>
      <c r="E682" s="20">
        <v>44764</v>
      </c>
      <c r="F682" s="17" t="s">
        <v>200</v>
      </c>
      <c r="G682" s="21">
        <v>32</v>
      </c>
      <c r="H682" s="21">
        <v>52</v>
      </c>
      <c r="I682" s="25">
        <v>0.11461538461538458</v>
      </c>
      <c r="J682" s="21">
        <v>5.2</v>
      </c>
      <c r="K682" s="21">
        <v>0</v>
      </c>
      <c r="L682" s="21">
        <v>6.24</v>
      </c>
      <c r="M682" s="17" t="s">
        <v>122</v>
      </c>
      <c r="N682" s="17" t="s">
        <v>116</v>
      </c>
      <c r="O682" s="21">
        <v>2.6</v>
      </c>
      <c r="P682" s="21">
        <v>6.24</v>
      </c>
    </row>
    <row r="683" spans="1:16" ht="16.5" x14ac:dyDescent="0.25">
      <c r="A683" s="2"/>
      <c r="B683" s="4"/>
      <c r="C683" s="18"/>
      <c r="E683" s="20">
        <v>44764</v>
      </c>
      <c r="F683" s="17" t="s">
        <v>200</v>
      </c>
      <c r="G683" s="21">
        <v>32</v>
      </c>
      <c r="H683" s="21">
        <v>50</v>
      </c>
      <c r="I683" s="25">
        <v>0.09</v>
      </c>
      <c r="J683" s="21">
        <v>5</v>
      </c>
      <c r="K683" s="21">
        <v>0</v>
      </c>
      <c r="L683" s="21">
        <v>6</v>
      </c>
      <c r="M683" s="17" t="s">
        <v>121</v>
      </c>
      <c r="N683" s="17" t="s">
        <v>116</v>
      </c>
      <c r="O683" s="21">
        <v>2.5</v>
      </c>
      <c r="P683" s="21">
        <v>6</v>
      </c>
    </row>
    <row r="684" spans="1:16" ht="16.5" x14ac:dyDescent="0.25">
      <c r="A684" s="2"/>
      <c r="B684" s="4"/>
      <c r="C684" s="18"/>
      <c r="E684" s="20">
        <v>44764</v>
      </c>
      <c r="F684" s="17" t="s">
        <v>200</v>
      </c>
      <c r="G684" s="21">
        <v>32</v>
      </c>
      <c r="H684" s="21">
        <v>48</v>
      </c>
      <c r="I684" s="25">
        <v>6.3333333333333353E-2</v>
      </c>
      <c r="J684" s="21">
        <v>4.8000000000000007</v>
      </c>
      <c r="K684" s="21">
        <v>0</v>
      </c>
      <c r="L684" s="21">
        <v>5.76</v>
      </c>
      <c r="M684" s="17" t="s">
        <v>120</v>
      </c>
      <c r="N684" s="17" t="s">
        <v>116</v>
      </c>
      <c r="O684" s="21">
        <v>2.4000000000000004</v>
      </c>
      <c r="P684" s="21">
        <v>5.76</v>
      </c>
    </row>
    <row r="685" spans="1:16" ht="16.5" x14ac:dyDescent="0.25">
      <c r="A685" s="2"/>
      <c r="B685" s="4"/>
      <c r="C685" s="18"/>
      <c r="E685" s="20">
        <v>44764</v>
      </c>
      <c r="F685" s="17" t="s">
        <v>200</v>
      </c>
      <c r="G685" s="21">
        <v>32</v>
      </c>
      <c r="H685" s="21">
        <v>46</v>
      </c>
      <c r="I685" s="25">
        <v>3.4347826086956579E-2</v>
      </c>
      <c r="J685" s="21">
        <v>4.6000000000000005</v>
      </c>
      <c r="K685" s="21">
        <v>0</v>
      </c>
      <c r="L685" s="21">
        <v>5.52</v>
      </c>
      <c r="M685" s="17" t="s">
        <v>113</v>
      </c>
      <c r="N685" s="17" t="s">
        <v>116</v>
      </c>
      <c r="O685" s="21">
        <v>2.3000000000000003</v>
      </c>
      <c r="P685" s="21">
        <v>5.52</v>
      </c>
    </row>
    <row r="686" spans="1:16" ht="16.5" x14ac:dyDescent="0.25">
      <c r="A686" s="2"/>
      <c r="B686" s="4"/>
      <c r="C686" s="18"/>
      <c r="E686" s="20">
        <v>44764</v>
      </c>
      <c r="F686" s="17" t="s">
        <v>200</v>
      </c>
      <c r="G686" s="21">
        <v>32</v>
      </c>
      <c r="H686" s="21">
        <v>46</v>
      </c>
      <c r="I686" s="25">
        <v>3.4347826086956579E-2</v>
      </c>
      <c r="J686" s="21">
        <v>4.6000000000000005</v>
      </c>
      <c r="K686" s="21">
        <v>0</v>
      </c>
      <c r="L686" s="21">
        <v>5.52</v>
      </c>
      <c r="M686" s="17" t="s">
        <v>122</v>
      </c>
      <c r="N686" s="17" t="s">
        <v>116</v>
      </c>
      <c r="O686" s="21">
        <v>2.3000000000000003</v>
      </c>
      <c r="P686" s="21">
        <v>5.52</v>
      </c>
    </row>
    <row r="687" spans="1:16" ht="16.5" x14ac:dyDescent="0.25">
      <c r="A687" s="2"/>
      <c r="B687" s="4"/>
      <c r="C687" s="18"/>
      <c r="E687" s="20">
        <v>44764</v>
      </c>
      <c r="F687" s="17" t="s">
        <v>200</v>
      </c>
      <c r="G687" s="21">
        <v>31.612500000000001</v>
      </c>
      <c r="H687" s="21">
        <v>56</v>
      </c>
      <c r="I687" s="25">
        <v>0.10619107142857132</v>
      </c>
      <c r="J687" s="21">
        <v>5.6000000000000005</v>
      </c>
      <c r="K687" s="21">
        <v>0.38750000000000001</v>
      </c>
      <c r="L687" s="21">
        <v>6.72</v>
      </c>
      <c r="M687" s="17" t="s">
        <v>122</v>
      </c>
      <c r="N687" s="17" t="s">
        <v>117</v>
      </c>
      <c r="O687" s="21">
        <v>2.8000000000000003</v>
      </c>
      <c r="P687" s="21">
        <v>10.040800000000001</v>
      </c>
    </row>
    <row r="688" spans="1:16" ht="16.5" x14ac:dyDescent="0.25">
      <c r="A688" s="2"/>
      <c r="B688" s="4"/>
      <c r="C688" s="18"/>
      <c r="E688" s="20">
        <v>44764</v>
      </c>
      <c r="F688" s="17" t="s">
        <v>200</v>
      </c>
      <c r="G688" s="21">
        <v>31.612500000000001</v>
      </c>
      <c r="H688" s="21">
        <v>54</v>
      </c>
      <c r="I688" s="25">
        <v>8.5283333333333294E-2</v>
      </c>
      <c r="J688" s="21">
        <v>5.4</v>
      </c>
      <c r="K688" s="21">
        <v>0.38750000000000001</v>
      </c>
      <c r="L688" s="21">
        <v>6.4799999999999995</v>
      </c>
      <c r="M688" s="17" t="s">
        <v>121</v>
      </c>
      <c r="N688" s="17" t="s">
        <v>117</v>
      </c>
      <c r="O688" s="21">
        <v>2.7</v>
      </c>
      <c r="P688" s="21">
        <v>9.6822000000000017</v>
      </c>
    </row>
    <row r="689" spans="1:16" ht="16.5" x14ac:dyDescent="0.25">
      <c r="A689" s="2"/>
      <c r="B689" s="4"/>
      <c r="C689" s="18"/>
      <c r="E689" s="20">
        <v>44764</v>
      </c>
      <c r="F689" s="17" t="s">
        <v>200</v>
      </c>
      <c r="G689" s="21">
        <v>31.612500000000001</v>
      </c>
      <c r="H689" s="21">
        <v>52</v>
      </c>
      <c r="I689" s="25">
        <v>6.2767307692307706E-2</v>
      </c>
      <c r="J689" s="21">
        <v>5.2</v>
      </c>
      <c r="K689" s="21">
        <v>0.38750000000000001</v>
      </c>
      <c r="L689" s="21">
        <v>6.24</v>
      </c>
      <c r="M689" s="17" t="s">
        <v>120</v>
      </c>
      <c r="N689" s="17" t="s">
        <v>117</v>
      </c>
      <c r="O689" s="21">
        <v>2.6</v>
      </c>
      <c r="P689" s="21">
        <v>9.3236000000000008</v>
      </c>
    </row>
    <row r="690" spans="1:16" ht="16.5" x14ac:dyDescent="0.25">
      <c r="A690" s="2"/>
      <c r="B690" s="4"/>
      <c r="C690" s="18"/>
      <c r="E690" s="20">
        <v>44764</v>
      </c>
      <c r="F690" s="17" t="s">
        <v>200</v>
      </c>
      <c r="G690" s="21">
        <v>31.612500000000001</v>
      </c>
      <c r="H690" s="21">
        <v>50</v>
      </c>
      <c r="I690" s="25">
        <v>3.8449999999999915E-2</v>
      </c>
      <c r="J690" s="21">
        <v>5</v>
      </c>
      <c r="K690" s="21">
        <v>0.38750000000000001</v>
      </c>
      <c r="L690" s="21">
        <v>6</v>
      </c>
      <c r="M690" s="17" t="s">
        <v>113</v>
      </c>
      <c r="N690" s="17" t="s">
        <v>117</v>
      </c>
      <c r="O690" s="21">
        <v>2.5</v>
      </c>
      <c r="P690" s="21">
        <v>8.9649999999999999</v>
      </c>
    </row>
    <row r="691" spans="1:16" ht="16.5" x14ac:dyDescent="0.25">
      <c r="A691" s="2"/>
      <c r="B691" s="4"/>
      <c r="C691" s="18"/>
      <c r="E691" s="20">
        <v>44764</v>
      </c>
      <c r="F691" s="17" t="s">
        <v>200</v>
      </c>
      <c r="G691" s="21">
        <v>31.612500000000001</v>
      </c>
      <c r="H691" s="21">
        <v>50</v>
      </c>
      <c r="I691" s="25">
        <v>3.8449999999999915E-2</v>
      </c>
      <c r="J691" s="21">
        <v>5</v>
      </c>
      <c r="K691" s="21">
        <v>0.38750000000000001</v>
      </c>
      <c r="L691" s="21">
        <v>6</v>
      </c>
      <c r="M691" s="17" t="s">
        <v>122</v>
      </c>
      <c r="N691" s="17" t="s">
        <v>117</v>
      </c>
      <c r="O691" s="21">
        <v>2.5</v>
      </c>
      <c r="P691" s="21">
        <v>8.9649999999999999</v>
      </c>
    </row>
    <row r="692" spans="1:16" ht="16.5" x14ac:dyDescent="0.25">
      <c r="A692" s="2"/>
      <c r="B692" s="4"/>
      <c r="C692" s="18"/>
      <c r="E692" s="20">
        <v>44764</v>
      </c>
      <c r="F692" s="17" t="s">
        <v>200</v>
      </c>
      <c r="G692" s="21">
        <v>32</v>
      </c>
      <c r="H692" s="21">
        <v>48</v>
      </c>
      <c r="I692" s="25">
        <v>0.18333333333333332</v>
      </c>
      <c r="J692" s="21">
        <v>4.8000000000000007</v>
      </c>
      <c r="K692" s="21">
        <v>0.38750000000000001</v>
      </c>
      <c r="L692" s="21">
        <v>0</v>
      </c>
      <c r="M692" s="17" t="s">
        <v>122</v>
      </c>
      <c r="N692" s="17" t="s">
        <v>115</v>
      </c>
      <c r="O692" s="21">
        <v>2.4000000000000004</v>
      </c>
      <c r="P692" s="21">
        <v>0</v>
      </c>
    </row>
    <row r="693" spans="1:16" ht="16.5" x14ac:dyDescent="0.25">
      <c r="A693" s="2"/>
      <c r="B693" s="4"/>
      <c r="C693" s="18"/>
      <c r="E693" s="20">
        <v>44764</v>
      </c>
      <c r="F693" s="17" t="s">
        <v>200</v>
      </c>
      <c r="G693" s="21">
        <v>32</v>
      </c>
      <c r="H693" s="21">
        <v>46</v>
      </c>
      <c r="I693" s="25">
        <v>0.15434782608695649</v>
      </c>
      <c r="J693" s="21">
        <v>4.6000000000000005</v>
      </c>
      <c r="K693" s="21">
        <v>0.38750000000000001</v>
      </c>
      <c r="L693" s="21">
        <v>0</v>
      </c>
      <c r="M693" s="17" t="s">
        <v>121</v>
      </c>
      <c r="N693" s="17" t="s">
        <v>115</v>
      </c>
      <c r="O693" s="21">
        <v>2.3000000000000003</v>
      </c>
      <c r="P693" s="21">
        <v>0</v>
      </c>
    </row>
    <row r="694" spans="1:16" ht="16.5" x14ac:dyDescent="0.25">
      <c r="A694" s="2"/>
      <c r="B694" s="4"/>
      <c r="C694" s="18"/>
      <c r="E694" s="20">
        <v>44764</v>
      </c>
      <c r="F694" s="17" t="s">
        <v>200</v>
      </c>
      <c r="G694" s="21">
        <v>32</v>
      </c>
      <c r="H694" s="21">
        <v>44</v>
      </c>
      <c r="I694" s="25">
        <v>0.12272727272727274</v>
      </c>
      <c r="J694" s="21">
        <v>4.4000000000000004</v>
      </c>
      <c r="K694" s="21">
        <v>0.38750000000000001</v>
      </c>
      <c r="L694" s="21">
        <v>0</v>
      </c>
      <c r="M694" s="17" t="s">
        <v>120</v>
      </c>
      <c r="N694" s="17" t="s">
        <v>115</v>
      </c>
      <c r="O694" s="21">
        <v>2.2000000000000002</v>
      </c>
      <c r="P694" s="21">
        <v>0</v>
      </c>
    </row>
    <row r="695" spans="1:16" ht="16.5" x14ac:dyDescent="0.25">
      <c r="A695" s="2"/>
      <c r="B695" s="4"/>
      <c r="C695" s="18"/>
      <c r="E695" s="20">
        <v>44764</v>
      </c>
      <c r="F695" s="17" t="s">
        <v>200</v>
      </c>
      <c r="G695" s="21">
        <v>32</v>
      </c>
      <c r="H695" s="21">
        <v>42</v>
      </c>
      <c r="I695" s="25">
        <v>8.8095238095238101E-2</v>
      </c>
      <c r="J695" s="21">
        <v>4.2</v>
      </c>
      <c r="K695" s="21">
        <v>0.38750000000000001</v>
      </c>
      <c r="L695" s="21">
        <v>0</v>
      </c>
      <c r="M695" s="17" t="s">
        <v>113</v>
      </c>
      <c r="N695" s="17" t="s">
        <v>115</v>
      </c>
      <c r="O695" s="21">
        <v>2.1</v>
      </c>
      <c r="P695" s="21">
        <v>0</v>
      </c>
    </row>
    <row r="696" spans="1:16" ht="16.5" x14ac:dyDescent="0.25">
      <c r="A696" s="2"/>
      <c r="B696" s="4"/>
      <c r="C696" s="18"/>
      <c r="E696" s="20">
        <v>44764</v>
      </c>
      <c r="F696" s="17" t="s">
        <v>201</v>
      </c>
      <c r="G696" s="21">
        <v>16.8</v>
      </c>
      <c r="H696" s="21">
        <v>28</v>
      </c>
      <c r="I696" s="25">
        <v>0.12069999999999989</v>
      </c>
      <c r="J696" s="21">
        <v>2.8000000000000003</v>
      </c>
      <c r="K696" s="21">
        <v>0.2</v>
      </c>
      <c r="L696" s="21">
        <v>3.36</v>
      </c>
      <c r="M696" s="17" t="s">
        <v>122</v>
      </c>
      <c r="N696" s="17" t="s">
        <v>117</v>
      </c>
      <c r="O696" s="21">
        <v>0</v>
      </c>
      <c r="P696" s="21">
        <v>5.0204000000000004</v>
      </c>
    </row>
    <row r="697" spans="1:16" ht="16.5" x14ac:dyDescent="0.25">
      <c r="A697" s="2"/>
      <c r="B697" s="4"/>
      <c r="C697" s="18"/>
      <c r="E697" s="20">
        <v>44764</v>
      </c>
      <c r="F697" s="17" t="s">
        <v>201</v>
      </c>
      <c r="G697" s="21">
        <v>16.8</v>
      </c>
      <c r="H697" s="21">
        <v>27</v>
      </c>
      <c r="I697" s="25">
        <v>9.847777777777772E-2</v>
      </c>
      <c r="J697" s="21">
        <v>2.7</v>
      </c>
      <c r="K697" s="21">
        <v>0.2</v>
      </c>
      <c r="L697" s="21">
        <v>3.2399999999999998</v>
      </c>
      <c r="M697" s="17" t="s">
        <v>121</v>
      </c>
      <c r="N697" s="17" t="s">
        <v>117</v>
      </c>
      <c r="O697" s="21">
        <v>0</v>
      </c>
      <c r="P697" s="21">
        <v>4.8411000000000008</v>
      </c>
    </row>
    <row r="698" spans="1:16" ht="16.5" x14ac:dyDescent="0.25">
      <c r="A698" s="2"/>
      <c r="B698" s="4"/>
      <c r="C698" s="18"/>
      <c r="E698" s="20">
        <v>44764</v>
      </c>
      <c r="F698" s="17" t="s">
        <v>201</v>
      </c>
      <c r="G698" s="21">
        <v>16.8</v>
      </c>
      <c r="H698" s="21">
        <v>26</v>
      </c>
      <c r="I698" s="25">
        <v>7.4546153846153831E-2</v>
      </c>
      <c r="J698" s="21">
        <v>2.6</v>
      </c>
      <c r="K698" s="21">
        <v>0.2</v>
      </c>
      <c r="L698" s="21">
        <v>3.12</v>
      </c>
      <c r="M698" s="17" t="s">
        <v>120</v>
      </c>
      <c r="N698" s="17" t="s">
        <v>117</v>
      </c>
      <c r="O698" s="21">
        <v>0</v>
      </c>
      <c r="P698" s="21">
        <v>4.6618000000000004</v>
      </c>
    </row>
    <row r="699" spans="1:16" ht="16.5" x14ac:dyDescent="0.25">
      <c r="A699" s="2"/>
      <c r="B699" s="4"/>
      <c r="C699" s="18"/>
      <c r="E699" s="20">
        <v>44764</v>
      </c>
      <c r="F699" s="17" t="s">
        <v>201</v>
      </c>
      <c r="G699" s="21">
        <v>16.8</v>
      </c>
      <c r="H699" s="21">
        <v>25</v>
      </c>
      <c r="I699" s="25">
        <v>4.8699999999999903E-2</v>
      </c>
      <c r="J699" s="21">
        <v>2.5</v>
      </c>
      <c r="K699" s="21">
        <v>0.2</v>
      </c>
      <c r="L699" s="21">
        <v>3</v>
      </c>
      <c r="M699" s="17" t="s">
        <v>113</v>
      </c>
      <c r="N699" s="17" t="s">
        <v>117</v>
      </c>
      <c r="O699" s="21">
        <v>0</v>
      </c>
      <c r="P699" s="21">
        <v>4.4824999999999999</v>
      </c>
    </row>
    <row r="700" spans="1:16" ht="16.5" x14ac:dyDescent="0.25">
      <c r="A700" s="2"/>
      <c r="B700" s="4"/>
      <c r="C700" s="18"/>
      <c r="E700" s="20">
        <v>44764</v>
      </c>
      <c r="F700" s="17" t="s">
        <v>201</v>
      </c>
      <c r="G700" s="21">
        <v>17</v>
      </c>
      <c r="H700" s="21">
        <v>26</v>
      </c>
      <c r="I700" s="25">
        <v>0.12615384615384612</v>
      </c>
      <c r="J700" s="21">
        <v>2.6</v>
      </c>
      <c r="K700" s="21">
        <v>0</v>
      </c>
      <c r="L700" s="21">
        <v>3.12</v>
      </c>
      <c r="M700" s="17" t="s">
        <v>122</v>
      </c>
      <c r="N700" s="17" t="s">
        <v>116</v>
      </c>
      <c r="O700" s="21">
        <v>0</v>
      </c>
      <c r="P700" s="21">
        <v>3.12</v>
      </c>
    </row>
    <row r="701" spans="1:16" ht="16.5" x14ac:dyDescent="0.25">
      <c r="A701" s="2"/>
      <c r="B701" s="4"/>
      <c r="C701" s="18"/>
      <c r="E701" s="20">
        <v>44764</v>
      </c>
      <c r="F701" s="17" t="s">
        <v>201</v>
      </c>
      <c r="G701" s="21">
        <v>17</v>
      </c>
      <c r="H701" s="21">
        <v>25</v>
      </c>
      <c r="I701" s="25">
        <v>0.1</v>
      </c>
      <c r="J701" s="21">
        <v>2.5</v>
      </c>
      <c r="K701" s="21">
        <v>0</v>
      </c>
      <c r="L701" s="21">
        <v>3</v>
      </c>
      <c r="M701" s="17" t="s">
        <v>121</v>
      </c>
      <c r="N701" s="17" t="s">
        <v>116</v>
      </c>
      <c r="O701" s="21">
        <v>0</v>
      </c>
      <c r="P701" s="21">
        <v>3</v>
      </c>
    </row>
    <row r="702" spans="1:16" ht="16.5" x14ac:dyDescent="0.25">
      <c r="A702" s="2"/>
      <c r="B702" s="4"/>
      <c r="C702" s="18"/>
      <c r="E702" s="20">
        <v>44764</v>
      </c>
      <c r="F702" s="17" t="s">
        <v>201</v>
      </c>
      <c r="G702" s="21">
        <v>17</v>
      </c>
      <c r="H702" s="21">
        <v>24</v>
      </c>
      <c r="I702" s="25">
        <v>7.1666666666666698E-2</v>
      </c>
      <c r="J702" s="21">
        <v>2.4000000000000004</v>
      </c>
      <c r="K702" s="21">
        <v>0</v>
      </c>
      <c r="L702" s="21">
        <v>2.88</v>
      </c>
      <c r="M702" s="17" t="s">
        <v>120</v>
      </c>
      <c r="N702" s="17" t="s">
        <v>116</v>
      </c>
      <c r="O702" s="21">
        <v>0</v>
      </c>
      <c r="P702" s="21">
        <v>2.88</v>
      </c>
    </row>
    <row r="703" spans="1:16" ht="16.5" x14ac:dyDescent="0.25">
      <c r="A703" s="2"/>
      <c r="B703" s="4"/>
      <c r="C703" s="18"/>
      <c r="E703" s="20">
        <v>44764</v>
      </c>
      <c r="F703" s="17" t="s">
        <v>201</v>
      </c>
      <c r="G703" s="21">
        <v>17</v>
      </c>
      <c r="H703" s="21">
        <v>23</v>
      </c>
      <c r="I703" s="25">
        <v>4.0869565217391379E-2</v>
      </c>
      <c r="J703" s="21">
        <v>2.3000000000000003</v>
      </c>
      <c r="K703" s="21">
        <v>0</v>
      </c>
      <c r="L703" s="21">
        <v>2.76</v>
      </c>
      <c r="M703" s="17" t="s">
        <v>113</v>
      </c>
      <c r="N703" s="17" t="s">
        <v>116</v>
      </c>
      <c r="O703" s="21">
        <v>0</v>
      </c>
      <c r="P703" s="21">
        <v>2.76</v>
      </c>
    </row>
    <row r="704" spans="1:16" ht="16.5" x14ac:dyDescent="0.25">
      <c r="A704" s="2"/>
      <c r="B704" s="4"/>
      <c r="C704" s="18"/>
      <c r="E704" s="20">
        <v>44764</v>
      </c>
      <c r="F704" s="17" t="s">
        <v>201</v>
      </c>
      <c r="G704" s="21">
        <v>17</v>
      </c>
      <c r="H704" s="21">
        <v>23</v>
      </c>
      <c r="I704" s="25">
        <v>0.16086956521739129</v>
      </c>
      <c r="J704" s="21">
        <v>2.3000000000000003</v>
      </c>
      <c r="K704" s="21">
        <v>0.2</v>
      </c>
      <c r="L704" s="21">
        <v>0</v>
      </c>
      <c r="M704" s="17" t="s">
        <v>122</v>
      </c>
      <c r="N704" s="17" t="s">
        <v>115</v>
      </c>
      <c r="O704" s="21">
        <v>0</v>
      </c>
      <c r="P704" s="21">
        <v>0</v>
      </c>
    </row>
    <row r="705" spans="1:16" ht="16.5" x14ac:dyDescent="0.25">
      <c r="A705" s="2"/>
      <c r="B705" s="4"/>
      <c r="C705" s="18"/>
      <c r="E705" s="20">
        <v>44764</v>
      </c>
      <c r="F705" s="17" t="s">
        <v>201</v>
      </c>
      <c r="G705" s="21">
        <v>17</v>
      </c>
      <c r="H705" s="21">
        <v>22</v>
      </c>
      <c r="I705" s="25">
        <v>0.12727272727272726</v>
      </c>
      <c r="J705" s="21">
        <v>2.2000000000000002</v>
      </c>
      <c r="K705" s="21">
        <v>0.2</v>
      </c>
      <c r="L705" s="21">
        <v>0</v>
      </c>
      <c r="M705" s="17" t="s">
        <v>121</v>
      </c>
      <c r="N705" s="17" t="s">
        <v>115</v>
      </c>
      <c r="O705" s="21">
        <v>0</v>
      </c>
      <c r="P705" s="21">
        <v>0</v>
      </c>
    </row>
    <row r="706" spans="1:16" ht="16.5" x14ac:dyDescent="0.25">
      <c r="A706" s="2"/>
      <c r="B706" s="4"/>
      <c r="C706" s="18"/>
      <c r="E706" s="20">
        <v>44764</v>
      </c>
      <c r="F706" s="17" t="s">
        <v>201</v>
      </c>
      <c r="G706" s="21">
        <v>17</v>
      </c>
      <c r="H706" s="21">
        <v>21</v>
      </c>
      <c r="I706" s="25">
        <v>9.0476190476190474E-2</v>
      </c>
      <c r="J706" s="21">
        <v>2.1</v>
      </c>
      <c r="K706" s="21">
        <v>0.2</v>
      </c>
      <c r="L706" s="21">
        <v>0</v>
      </c>
      <c r="M706" s="17" t="s">
        <v>120</v>
      </c>
      <c r="N706" s="17" t="s">
        <v>115</v>
      </c>
      <c r="O706" s="21">
        <v>0</v>
      </c>
      <c r="P706" s="21">
        <v>0</v>
      </c>
    </row>
    <row r="707" spans="1:16" ht="16.5" x14ac:dyDescent="0.25">
      <c r="A707" s="2"/>
      <c r="B707" s="4"/>
      <c r="C707" s="18"/>
      <c r="E707" s="20">
        <v>44764</v>
      </c>
      <c r="F707" s="17" t="s">
        <v>201</v>
      </c>
      <c r="G707" s="21">
        <v>17</v>
      </c>
      <c r="H707" s="21">
        <v>20</v>
      </c>
      <c r="I707" s="25">
        <v>0.05</v>
      </c>
      <c r="J707" s="21">
        <v>2</v>
      </c>
      <c r="K707" s="21">
        <v>0.2</v>
      </c>
      <c r="L707" s="21">
        <v>0</v>
      </c>
      <c r="M707" s="17" t="s">
        <v>113</v>
      </c>
      <c r="N707" s="17" t="s">
        <v>115</v>
      </c>
      <c r="O707" s="21">
        <v>0</v>
      </c>
      <c r="P707" s="21">
        <v>0</v>
      </c>
    </row>
    <row r="708" spans="1:16" ht="16.5" x14ac:dyDescent="0.25">
      <c r="A708" s="2"/>
      <c r="B708" s="4"/>
      <c r="C708" s="18"/>
      <c r="E708" s="20">
        <v>44763</v>
      </c>
      <c r="F708" s="17" t="s">
        <v>199</v>
      </c>
      <c r="G708" s="21">
        <v>29</v>
      </c>
      <c r="H708" s="21">
        <v>46</v>
      </c>
      <c r="I708" s="25">
        <v>0.2195652173913043</v>
      </c>
      <c r="J708" s="21">
        <v>4.6000000000000005</v>
      </c>
      <c r="K708" s="21">
        <v>0.35000000000000003</v>
      </c>
      <c r="L708" s="21">
        <v>0</v>
      </c>
      <c r="M708" s="17" t="s">
        <v>122</v>
      </c>
      <c r="N708" s="17" t="s">
        <v>115</v>
      </c>
      <c r="O708" s="21">
        <v>2.3000000000000003</v>
      </c>
      <c r="P708" s="21">
        <v>0</v>
      </c>
    </row>
    <row r="709" spans="1:16" ht="16.5" x14ac:dyDescent="0.25">
      <c r="A709" s="2"/>
      <c r="B709" s="4"/>
      <c r="C709" s="18"/>
      <c r="E709" s="20">
        <v>44763</v>
      </c>
      <c r="F709" s="17" t="s">
        <v>199</v>
      </c>
      <c r="G709" s="21">
        <v>29</v>
      </c>
      <c r="H709" s="21">
        <v>44</v>
      </c>
      <c r="I709" s="25">
        <v>0.19090909090909092</v>
      </c>
      <c r="J709" s="21">
        <v>4.4000000000000004</v>
      </c>
      <c r="K709" s="21">
        <v>0.35000000000000003</v>
      </c>
      <c r="L709" s="21">
        <v>0</v>
      </c>
      <c r="M709" s="17" t="s">
        <v>121</v>
      </c>
      <c r="N709" s="17" t="s">
        <v>115</v>
      </c>
      <c r="O709" s="21">
        <v>2.2000000000000002</v>
      </c>
      <c r="P709" s="21">
        <v>0</v>
      </c>
    </row>
    <row r="710" spans="1:16" ht="16.5" x14ac:dyDescent="0.25">
      <c r="A710" s="2"/>
      <c r="B710" s="4"/>
      <c r="C710" s="18"/>
      <c r="E710" s="20">
        <v>44763</v>
      </c>
      <c r="F710" s="17" t="s">
        <v>199</v>
      </c>
      <c r="G710" s="21">
        <v>29</v>
      </c>
      <c r="H710" s="21">
        <v>42</v>
      </c>
      <c r="I710" s="25">
        <v>0.15952380952380954</v>
      </c>
      <c r="J710" s="21">
        <v>4.2</v>
      </c>
      <c r="K710" s="21">
        <v>0.35000000000000003</v>
      </c>
      <c r="L710" s="21">
        <v>0</v>
      </c>
      <c r="M710" s="17" t="s">
        <v>120</v>
      </c>
      <c r="N710" s="17" t="s">
        <v>115</v>
      </c>
      <c r="O710" s="21">
        <v>2.1</v>
      </c>
      <c r="P710" s="21">
        <v>0</v>
      </c>
    </row>
    <row r="711" spans="1:16" ht="16.5" x14ac:dyDescent="0.25">
      <c r="A711" s="2"/>
      <c r="B711" s="4"/>
      <c r="C711" s="18"/>
      <c r="E711" s="20">
        <v>44763</v>
      </c>
      <c r="F711" s="17" t="s">
        <v>199</v>
      </c>
      <c r="G711" s="21">
        <v>29</v>
      </c>
      <c r="H711" s="21">
        <v>40</v>
      </c>
      <c r="I711" s="25">
        <v>0.125</v>
      </c>
      <c r="J711" s="21">
        <v>4</v>
      </c>
      <c r="K711" s="21">
        <v>0.35000000000000003</v>
      </c>
      <c r="L711" s="21">
        <v>0</v>
      </c>
      <c r="M711" s="17" t="s">
        <v>113</v>
      </c>
      <c r="N711" s="17" t="s">
        <v>115</v>
      </c>
      <c r="O711" s="21">
        <v>2</v>
      </c>
      <c r="P711" s="21">
        <v>0</v>
      </c>
    </row>
    <row r="712" spans="1:16" ht="16.5" x14ac:dyDescent="0.25">
      <c r="A712" s="2"/>
      <c r="B712" s="4"/>
      <c r="C712" s="18"/>
      <c r="E712" s="20">
        <v>44763</v>
      </c>
      <c r="F712" s="17" t="s">
        <v>199</v>
      </c>
      <c r="G712" s="21">
        <v>28.65</v>
      </c>
      <c r="H712" s="21">
        <v>57</v>
      </c>
      <c r="I712" s="25">
        <v>0.16806842105263156</v>
      </c>
      <c r="J712" s="21">
        <v>5.7</v>
      </c>
      <c r="K712" s="21">
        <v>0.35000000000000003</v>
      </c>
      <c r="L712" s="21">
        <v>6.84</v>
      </c>
      <c r="M712" s="17" t="s">
        <v>122</v>
      </c>
      <c r="N712" s="17" t="s">
        <v>117</v>
      </c>
      <c r="O712" s="21">
        <v>2.85</v>
      </c>
      <c r="P712" s="21">
        <v>10.2201</v>
      </c>
    </row>
    <row r="713" spans="1:16" ht="16.5" x14ac:dyDescent="0.25">
      <c r="A713" s="2"/>
      <c r="B713" s="4"/>
      <c r="C713" s="18"/>
      <c r="E713" s="20">
        <v>44763</v>
      </c>
      <c r="F713" s="17" t="s">
        <v>199</v>
      </c>
      <c r="G713" s="21">
        <v>28.65</v>
      </c>
      <c r="H713" s="21">
        <v>55</v>
      </c>
      <c r="I713" s="25">
        <v>0.14979090909090911</v>
      </c>
      <c r="J713" s="21">
        <v>5.5</v>
      </c>
      <c r="K713" s="21">
        <v>0.35000000000000003</v>
      </c>
      <c r="L713" s="21">
        <v>6.6</v>
      </c>
      <c r="M713" s="17" t="s">
        <v>121</v>
      </c>
      <c r="N713" s="17" t="s">
        <v>117</v>
      </c>
      <c r="O713" s="21">
        <v>2.75</v>
      </c>
      <c r="P713" s="21">
        <v>9.8615000000000013</v>
      </c>
    </row>
    <row r="714" spans="1:16" ht="16.5" x14ac:dyDescent="0.25">
      <c r="A714" s="2"/>
      <c r="B714" s="4"/>
      <c r="C714" s="18"/>
      <c r="E714" s="20">
        <v>44763</v>
      </c>
      <c r="F714" s="17" t="s">
        <v>199</v>
      </c>
      <c r="G714" s="21">
        <v>28.65</v>
      </c>
      <c r="H714" s="21">
        <v>53</v>
      </c>
      <c r="I714" s="25">
        <v>0.130133962264151</v>
      </c>
      <c r="J714" s="21">
        <v>5.3000000000000007</v>
      </c>
      <c r="K714" s="21">
        <v>0.35000000000000003</v>
      </c>
      <c r="L714" s="21">
        <v>6.3599999999999994</v>
      </c>
      <c r="M714" s="17" t="s">
        <v>120</v>
      </c>
      <c r="N714" s="17" t="s">
        <v>117</v>
      </c>
      <c r="O714" s="21">
        <v>2.6500000000000004</v>
      </c>
      <c r="P714" s="21">
        <v>9.5029000000000003</v>
      </c>
    </row>
    <row r="715" spans="1:16" ht="16.5" x14ac:dyDescent="0.25">
      <c r="A715" s="2"/>
      <c r="B715" s="4"/>
      <c r="C715" s="18"/>
      <c r="E715" s="20">
        <v>44763</v>
      </c>
      <c r="F715" s="17" t="s">
        <v>199</v>
      </c>
      <c r="G715" s="21">
        <v>28.65</v>
      </c>
      <c r="H715" s="21">
        <v>51</v>
      </c>
      <c r="I715" s="25">
        <v>0.10893529411764703</v>
      </c>
      <c r="J715" s="21">
        <v>5.1000000000000005</v>
      </c>
      <c r="K715" s="21">
        <v>0.35000000000000003</v>
      </c>
      <c r="L715" s="21">
        <v>6.12</v>
      </c>
      <c r="M715" s="17" t="s">
        <v>113</v>
      </c>
      <c r="N715" s="17" t="s">
        <v>117</v>
      </c>
      <c r="O715" s="21">
        <v>2.5500000000000003</v>
      </c>
      <c r="P715" s="21">
        <v>9.1443000000000012</v>
      </c>
    </row>
    <row r="716" spans="1:16" ht="16.5" x14ac:dyDescent="0.25">
      <c r="A716" s="2"/>
      <c r="B716" s="4"/>
      <c r="C716" s="18"/>
      <c r="E716" s="20">
        <v>44763</v>
      </c>
      <c r="F716" s="17" t="s">
        <v>200</v>
      </c>
      <c r="G716" s="21">
        <v>31.612500000000001</v>
      </c>
      <c r="H716" s="21">
        <v>64</v>
      </c>
      <c r="I716" s="25">
        <v>0.17675468749999998</v>
      </c>
      <c r="J716" s="21">
        <v>6.4</v>
      </c>
      <c r="K716" s="21">
        <v>0.38750000000000001</v>
      </c>
      <c r="L716" s="21">
        <v>7.68</v>
      </c>
      <c r="M716" s="17" t="s">
        <v>122</v>
      </c>
      <c r="N716" s="17" t="s">
        <v>117</v>
      </c>
      <c r="O716" s="21">
        <v>3.2</v>
      </c>
      <c r="P716" s="21">
        <v>11.475200000000001</v>
      </c>
    </row>
    <row r="717" spans="1:16" ht="16.5" x14ac:dyDescent="0.25">
      <c r="A717" s="2"/>
      <c r="B717" s="4"/>
      <c r="C717" s="18"/>
      <c r="E717" s="20">
        <v>44763</v>
      </c>
      <c r="F717" s="17" t="s">
        <v>200</v>
      </c>
      <c r="G717" s="21">
        <v>31.612500000000001</v>
      </c>
      <c r="H717" s="21">
        <v>62</v>
      </c>
      <c r="I717" s="25">
        <v>0.16082096774193538</v>
      </c>
      <c r="J717" s="21">
        <v>6.2</v>
      </c>
      <c r="K717" s="21">
        <v>0.38750000000000001</v>
      </c>
      <c r="L717" s="21">
        <v>7.4399999999999995</v>
      </c>
      <c r="M717" s="17" t="s">
        <v>121</v>
      </c>
      <c r="N717" s="17" t="s">
        <v>117</v>
      </c>
      <c r="O717" s="21">
        <v>3.1</v>
      </c>
      <c r="P717" s="21">
        <v>11.116600000000002</v>
      </c>
    </row>
    <row r="718" spans="1:16" ht="16.5" x14ac:dyDescent="0.25">
      <c r="A718" s="2"/>
      <c r="B718" s="4"/>
      <c r="C718" s="18"/>
      <c r="E718" s="20">
        <v>44763</v>
      </c>
      <c r="F718" s="17" t="s">
        <v>200</v>
      </c>
      <c r="G718" s="21">
        <v>31.612500000000001</v>
      </c>
      <c r="H718" s="21">
        <v>59</v>
      </c>
      <c r="I718" s="25">
        <v>0.13489491525423733</v>
      </c>
      <c r="J718" s="21">
        <v>5.9</v>
      </c>
      <c r="K718" s="21">
        <v>0.38750000000000001</v>
      </c>
      <c r="L718" s="21">
        <v>7.08</v>
      </c>
      <c r="M718" s="17" t="s">
        <v>120</v>
      </c>
      <c r="N718" s="17" t="s">
        <v>117</v>
      </c>
      <c r="O718" s="21">
        <v>2.95</v>
      </c>
      <c r="P718" s="21">
        <v>10.578700000000001</v>
      </c>
    </row>
    <row r="719" spans="1:16" ht="16.5" x14ac:dyDescent="0.25">
      <c r="A719" s="2"/>
      <c r="B719" s="4"/>
      <c r="C719" s="18"/>
      <c r="E719" s="20">
        <v>44763</v>
      </c>
      <c r="F719" s="17" t="s">
        <v>200</v>
      </c>
      <c r="G719" s="21">
        <v>31.612500000000001</v>
      </c>
      <c r="H719" s="21">
        <v>57</v>
      </c>
      <c r="I719" s="25">
        <v>0.11609473684210521</v>
      </c>
      <c r="J719" s="21">
        <v>5.7</v>
      </c>
      <c r="K719" s="21">
        <v>0.38750000000000001</v>
      </c>
      <c r="L719" s="21">
        <v>6.84</v>
      </c>
      <c r="M719" s="17" t="s">
        <v>113</v>
      </c>
      <c r="N719" s="17" t="s">
        <v>117</v>
      </c>
      <c r="O719" s="21">
        <v>2.85</v>
      </c>
      <c r="P719" s="21">
        <v>10.2201</v>
      </c>
    </row>
    <row r="720" spans="1:16" ht="16.5" x14ac:dyDescent="0.25">
      <c r="A720" s="2"/>
      <c r="B720" s="4"/>
      <c r="C720" s="18"/>
      <c r="E720" s="20">
        <v>44763</v>
      </c>
      <c r="F720" s="17" t="s">
        <v>200</v>
      </c>
      <c r="G720" s="21">
        <v>32</v>
      </c>
      <c r="H720" s="21">
        <v>52</v>
      </c>
      <c r="I720" s="25">
        <v>0.23461538461538461</v>
      </c>
      <c r="J720" s="21">
        <v>5.2</v>
      </c>
      <c r="K720" s="21">
        <v>0.38750000000000001</v>
      </c>
      <c r="L720" s="21">
        <v>0</v>
      </c>
      <c r="M720" s="17" t="s">
        <v>122</v>
      </c>
      <c r="N720" s="17" t="s">
        <v>115</v>
      </c>
      <c r="O720" s="21">
        <v>2.6</v>
      </c>
      <c r="P720" s="21">
        <v>0</v>
      </c>
    </row>
    <row r="721" spans="1:16" ht="16.5" x14ac:dyDescent="0.25">
      <c r="A721" s="2"/>
      <c r="B721" s="4"/>
      <c r="C721" s="18"/>
      <c r="E721" s="20">
        <v>44763</v>
      </c>
      <c r="F721" s="17" t="s">
        <v>200</v>
      </c>
      <c r="G721" s="21">
        <v>32</v>
      </c>
      <c r="H721" s="21">
        <v>50</v>
      </c>
      <c r="I721" s="25">
        <v>0.21</v>
      </c>
      <c r="J721" s="21">
        <v>5</v>
      </c>
      <c r="K721" s="21">
        <v>0.38750000000000001</v>
      </c>
      <c r="L721" s="21">
        <v>0</v>
      </c>
      <c r="M721" s="17" t="s">
        <v>121</v>
      </c>
      <c r="N721" s="17" t="s">
        <v>115</v>
      </c>
      <c r="O721" s="21">
        <v>2.5</v>
      </c>
      <c r="P721" s="21">
        <v>0</v>
      </c>
    </row>
    <row r="722" spans="1:16" ht="16.5" x14ac:dyDescent="0.25">
      <c r="A722" s="2"/>
      <c r="B722" s="4"/>
      <c r="C722" s="18"/>
      <c r="E722" s="20">
        <v>44763</v>
      </c>
      <c r="F722" s="17" t="s">
        <v>200</v>
      </c>
      <c r="G722" s="21">
        <v>32</v>
      </c>
      <c r="H722" s="21">
        <v>48</v>
      </c>
      <c r="I722" s="25">
        <v>0.18333333333333332</v>
      </c>
      <c r="J722" s="21">
        <v>4.8000000000000007</v>
      </c>
      <c r="K722" s="21">
        <v>0.38750000000000001</v>
      </c>
      <c r="L722" s="21">
        <v>0</v>
      </c>
      <c r="M722" s="17" t="s">
        <v>120</v>
      </c>
      <c r="N722" s="17" t="s">
        <v>115</v>
      </c>
      <c r="O722" s="21">
        <v>2.4000000000000004</v>
      </c>
      <c r="P722" s="21">
        <v>0</v>
      </c>
    </row>
    <row r="723" spans="1:16" ht="16.5" x14ac:dyDescent="0.25">
      <c r="A723" s="2"/>
      <c r="B723" s="4"/>
      <c r="C723" s="18"/>
      <c r="E723" s="20">
        <v>44763</v>
      </c>
      <c r="F723" s="17" t="s">
        <v>200</v>
      </c>
      <c r="G723" s="21">
        <v>32</v>
      </c>
      <c r="H723" s="21">
        <v>46</v>
      </c>
      <c r="I723" s="25">
        <v>0.15434782608695649</v>
      </c>
      <c r="J723" s="21">
        <v>4.6000000000000005</v>
      </c>
      <c r="K723" s="21">
        <v>0.38750000000000001</v>
      </c>
      <c r="L723" s="21">
        <v>0</v>
      </c>
      <c r="M723" s="17" t="s">
        <v>113</v>
      </c>
      <c r="N723" s="17" t="s">
        <v>115</v>
      </c>
      <c r="O723" s="21">
        <v>2.3000000000000003</v>
      </c>
      <c r="P723" s="21">
        <v>0</v>
      </c>
    </row>
    <row r="724" spans="1:16" ht="16.5" x14ac:dyDescent="0.25">
      <c r="A724" s="2"/>
      <c r="B724" s="4"/>
      <c r="C724" s="18"/>
      <c r="E724" s="20">
        <v>44763</v>
      </c>
      <c r="F724" s="17" t="s">
        <v>201</v>
      </c>
      <c r="G724" s="21">
        <v>17</v>
      </c>
      <c r="H724" s="21">
        <v>26</v>
      </c>
      <c r="I724" s="25">
        <v>0.19615384615384615</v>
      </c>
      <c r="J724" s="21">
        <v>2.6</v>
      </c>
      <c r="K724" s="21">
        <v>0.2</v>
      </c>
      <c r="L724" s="21">
        <v>0</v>
      </c>
      <c r="M724" s="17" t="s">
        <v>122</v>
      </c>
      <c r="N724" s="17" t="s">
        <v>115</v>
      </c>
      <c r="O724" s="21">
        <v>1.3</v>
      </c>
      <c r="P724" s="21">
        <v>0</v>
      </c>
    </row>
    <row r="725" spans="1:16" ht="16.5" x14ac:dyDescent="0.25">
      <c r="A725" s="2"/>
      <c r="B725" s="4"/>
      <c r="C725" s="18"/>
      <c r="E725" s="20">
        <v>44763</v>
      </c>
      <c r="F725" s="17" t="s">
        <v>201</v>
      </c>
      <c r="G725" s="21">
        <v>17</v>
      </c>
      <c r="H725" s="21">
        <v>25</v>
      </c>
      <c r="I725" s="25">
        <v>0.17</v>
      </c>
      <c r="J725" s="21">
        <v>2.5</v>
      </c>
      <c r="K725" s="21">
        <v>0.2</v>
      </c>
      <c r="L725" s="21">
        <v>0</v>
      </c>
      <c r="M725" s="17" t="s">
        <v>121</v>
      </c>
      <c r="N725" s="17" t="s">
        <v>115</v>
      </c>
      <c r="O725" s="21">
        <v>1.25</v>
      </c>
      <c r="P725" s="21">
        <v>0</v>
      </c>
    </row>
    <row r="726" spans="1:16" ht="16.5" x14ac:dyDescent="0.25">
      <c r="A726" s="2"/>
      <c r="B726" s="4"/>
      <c r="C726" s="18"/>
      <c r="E726" s="20">
        <v>44763</v>
      </c>
      <c r="F726" s="17" t="s">
        <v>201</v>
      </c>
      <c r="G726" s="21">
        <v>17</v>
      </c>
      <c r="H726" s="21">
        <v>24</v>
      </c>
      <c r="I726" s="25">
        <v>0.14166666666666664</v>
      </c>
      <c r="J726" s="21">
        <v>2.4000000000000004</v>
      </c>
      <c r="K726" s="21">
        <v>0.2</v>
      </c>
      <c r="L726" s="21">
        <v>0</v>
      </c>
      <c r="M726" s="17" t="s">
        <v>120</v>
      </c>
      <c r="N726" s="17" t="s">
        <v>115</v>
      </c>
      <c r="O726" s="21">
        <v>1.2000000000000002</v>
      </c>
      <c r="P726" s="21">
        <v>0</v>
      </c>
    </row>
    <row r="727" spans="1:16" ht="16.5" x14ac:dyDescent="0.25">
      <c r="A727" s="2"/>
      <c r="B727" s="4"/>
      <c r="C727" s="18"/>
      <c r="E727" s="20">
        <v>44763</v>
      </c>
      <c r="F727" s="17" t="s">
        <v>201</v>
      </c>
      <c r="G727" s="21">
        <v>17</v>
      </c>
      <c r="H727" s="21">
        <v>23</v>
      </c>
      <c r="I727" s="25">
        <v>0.11086956521739127</v>
      </c>
      <c r="J727" s="21">
        <v>2.3000000000000003</v>
      </c>
      <c r="K727" s="21">
        <v>0.2</v>
      </c>
      <c r="L727" s="21">
        <v>0</v>
      </c>
      <c r="M727" s="17" t="s">
        <v>113</v>
      </c>
      <c r="N727" s="17" t="s">
        <v>115</v>
      </c>
      <c r="O727" s="21">
        <v>1.1500000000000001</v>
      </c>
      <c r="P727" s="21">
        <v>0</v>
      </c>
    </row>
    <row r="728" spans="1:16" ht="16.5" x14ac:dyDescent="0.25">
      <c r="A728" s="2"/>
      <c r="B728" s="4"/>
      <c r="C728" s="18"/>
      <c r="E728" s="20">
        <v>44763</v>
      </c>
      <c r="F728" s="17" t="s">
        <v>201</v>
      </c>
      <c r="G728" s="21">
        <v>16</v>
      </c>
      <c r="H728" s="21">
        <v>22</v>
      </c>
      <c r="I728" s="25">
        <v>0.12272727272727274</v>
      </c>
      <c r="J728" s="21">
        <v>2.2000000000000002</v>
      </c>
      <c r="K728" s="21">
        <v>0.2</v>
      </c>
      <c r="L728" s="21">
        <v>0</v>
      </c>
      <c r="M728" s="17" t="s">
        <v>113</v>
      </c>
      <c r="N728" s="17" t="s">
        <v>115</v>
      </c>
      <c r="O728" s="21">
        <v>1.1000000000000001</v>
      </c>
      <c r="P728" s="21">
        <v>0</v>
      </c>
    </row>
    <row r="729" spans="1:16" ht="16.5" x14ac:dyDescent="0.25">
      <c r="A729" s="2"/>
      <c r="B729" s="4"/>
      <c r="C729" s="18"/>
      <c r="E729" s="20">
        <v>44763</v>
      </c>
      <c r="F729" s="17" t="s">
        <v>201</v>
      </c>
      <c r="G729" s="21">
        <v>16</v>
      </c>
      <c r="H729" s="21">
        <v>24.5</v>
      </c>
      <c r="I729" s="25">
        <v>0.19693877551020408</v>
      </c>
      <c r="J729" s="21">
        <v>2.4500000000000002</v>
      </c>
      <c r="K729" s="21">
        <v>0.2</v>
      </c>
      <c r="L729" s="21">
        <v>0</v>
      </c>
      <c r="M729" s="17" t="s">
        <v>122</v>
      </c>
      <c r="N729" s="17" t="s">
        <v>115</v>
      </c>
      <c r="O729" s="21">
        <v>1.2250000000000001</v>
      </c>
      <c r="P729" s="21">
        <v>0</v>
      </c>
    </row>
    <row r="730" spans="1:16" ht="16.5" x14ac:dyDescent="0.25">
      <c r="A730" s="2"/>
      <c r="B730" s="4"/>
      <c r="C730" s="18"/>
      <c r="E730" s="20">
        <v>44763</v>
      </c>
      <c r="F730" s="17" t="s">
        <v>201</v>
      </c>
      <c r="G730" s="21">
        <v>16</v>
      </c>
      <c r="H730" s="21">
        <v>23.5</v>
      </c>
      <c r="I730" s="25">
        <v>0.16914893617021276</v>
      </c>
      <c r="J730" s="21">
        <v>2.35</v>
      </c>
      <c r="K730" s="21">
        <v>0.2</v>
      </c>
      <c r="L730" s="21">
        <v>0</v>
      </c>
      <c r="M730" s="17" t="s">
        <v>121</v>
      </c>
      <c r="N730" s="17" t="s">
        <v>115</v>
      </c>
      <c r="O730" s="21">
        <v>1.175</v>
      </c>
      <c r="P730" s="21">
        <v>0</v>
      </c>
    </row>
    <row r="731" spans="1:16" ht="16.5" x14ac:dyDescent="0.25">
      <c r="A731" s="2"/>
      <c r="B731" s="4"/>
      <c r="C731" s="18"/>
      <c r="E731" s="20">
        <v>44763</v>
      </c>
      <c r="F731" s="17" t="s">
        <v>201</v>
      </c>
      <c r="G731" s="21">
        <v>16</v>
      </c>
      <c r="H731" s="21">
        <v>22.5</v>
      </c>
      <c r="I731" s="25">
        <v>0.1388888888888889</v>
      </c>
      <c r="J731" s="21">
        <v>2.25</v>
      </c>
      <c r="K731" s="21">
        <v>0.2</v>
      </c>
      <c r="L731" s="21">
        <v>0</v>
      </c>
      <c r="M731" s="17" t="s">
        <v>120</v>
      </c>
      <c r="N731" s="17" t="s">
        <v>115</v>
      </c>
      <c r="O731" s="21">
        <v>1.125</v>
      </c>
      <c r="P731" s="21">
        <v>0</v>
      </c>
    </row>
    <row r="732" spans="1:16" ht="16.5" x14ac:dyDescent="0.25">
      <c r="A732" s="2"/>
      <c r="B732" s="4"/>
      <c r="C732" s="18"/>
      <c r="E732" s="20">
        <v>44763</v>
      </c>
      <c r="F732" s="17" t="s">
        <v>201</v>
      </c>
      <c r="G732" s="21">
        <v>16</v>
      </c>
      <c r="H732" s="21">
        <v>21.5</v>
      </c>
      <c r="I732" s="25">
        <v>0.1058139534883721</v>
      </c>
      <c r="J732" s="21">
        <v>2.15</v>
      </c>
      <c r="K732" s="21">
        <v>0.2</v>
      </c>
      <c r="L732" s="21">
        <v>0</v>
      </c>
      <c r="M732" s="17" t="s">
        <v>113</v>
      </c>
      <c r="N732" s="17" t="s">
        <v>115</v>
      </c>
      <c r="O732" s="21">
        <v>1.075</v>
      </c>
      <c r="P732" s="21">
        <v>0</v>
      </c>
    </row>
    <row r="733" spans="1:16" ht="16.5" x14ac:dyDescent="0.25">
      <c r="A733" s="2"/>
      <c r="B733" s="4"/>
      <c r="C733" s="18"/>
      <c r="E733" s="20">
        <v>44763</v>
      </c>
      <c r="F733" s="17" t="s">
        <v>201</v>
      </c>
      <c r="G733" s="21">
        <v>15.8</v>
      </c>
      <c r="H733" s="21">
        <v>30.5</v>
      </c>
      <c r="I733" s="25">
        <v>0.15266721311475404</v>
      </c>
      <c r="J733" s="21">
        <v>3.0500000000000003</v>
      </c>
      <c r="K733" s="21">
        <v>0.2</v>
      </c>
      <c r="L733" s="21">
        <v>3.6599999999999997</v>
      </c>
      <c r="M733" s="17" t="s">
        <v>122</v>
      </c>
      <c r="N733" s="17" t="s">
        <v>117</v>
      </c>
      <c r="O733" s="21">
        <v>1.5250000000000001</v>
      </c>
      <c r="P733" s="21">
        <v>5.4686500000000002</v>
      </c>
    </row>
    <row r="734" spans="1:16" ht="16.5" x14ac:dyDescent="0.25">
      <c r="A734" s="2"/>
      <c r="B734" s="4"/>
      <c r="C734" s="18"/>
      <c r="E734" s="20">
        <v>44763</v>
      </c>
      <c r="F734" s="17" t="s">
        <v>201</v>
      </c>
      <c r="G734" s="21">
        <v>15.8</v>
      </c>
      <c r="H734" s="21">
        <v>29.5</v>
      </c>
      <c r="I734" s="25">
        <v>0.13510677966101697</v>
      </c>
      <c r="J734" s="21">
        <v>2.95</v>
      </c>
      <c r="K734" s="21">
        <v>0.2</v>
      </c>
      <c r="L734" s="21">
        <v>3.54</v>
      </c>
      <c r="M734" s="17" t="s">
        <v>121</v>
      </c>
      <c r="N734" s="17" t="s">
        <v>117</v>
      </c>
      <c r="O734" s="21">
        <v>1.4750000000000001</v>
      </c>
      <c r="P734" s="21">
        <v>5.2893500000000007</v>
      </c>
    </row>
    <row r="735" spans="1:16" ht="16.5" x14ac:dyDescent="0.25">
      <c r="A735" s="2"/>
      <c r="B735" s="4"/>
      <c r="C735" s="18"/>
      <c r="E735" s="20">
        <v>44763</v>
      </c>
      <c r="F735" s="17" t="s">
        <v>201</v>
      </c>
      <c r="G735" s="21">
        <v>15.8</v>
      </c>
      <c r="H735" s="21">
        <v>28.5</v>
      </c>
      <c r="I735" s="25">
        <v>0.11631403508771924</v>
      </c>
      <c r="J735" s="21">
        <v>2.85</v>
      </c>
      <c r="K735" s="21">
        <v>0.2</v>
      </c>
      <c r="L735" s="21">
        <v>3.42</v>
      </c>
      <c r="M735" s="17" t="s">
        <v>120</v>
      </c>
      <c r="N735" s="17" t="s">
        <v>117</v>
      </c>
      <c r="O735" s="21">
        <v>1.425</v>
      </c>
      <c r="P735" s="21">
        <v>5.1100500000000002</v>
      </c>
    </row>
    <row r="736" spans="1:16" ht="16.5" x14ac:dyDescent="0.25">
      <c r="A736" s="2"/>
      <c r="B736" s="4"/>
      <c r="C736" s="18"/>
      <c r="E736" s="20">
        <v>44763</v>
      </c>
      <c r="F736" s="17" t="s">
        <v>201</v>
      </c>
      <c r="G736" s="21">
        <v>15.8</v>
      </c>
      <c r="H736" s="21">
        <v>27.5</v>
      </c>
      <c r="I736" s="25">
        <v>9.6154545454545437E-2</v>
      </c>
      <c r="J736" s="21">
        <v>2.75</v>
      </c>
      <c r="K736" s="21">
        <v>0.2</v>
      </c>
      <c r="L736" s="21">
        <v>3.3</v>
      </c>
      <c r="M736" s="17" t="s">
        <v>113</v>
      </c>
      <c r="N736" s="17" t="s">
        <v>117</v>
      </c>
      <c r="O736" s="21">
        <v>1.375</v>
      </c>
      <c r="P736" s="21">
        <v>4.9307500000000006</v>
      </c>
    </row>
    <row r="737" spans="1:16" ht="16.5" x14ac:dyDescent="0.25">
      <c r="A737" s="2"/>
      <c r="B737" s="4"/>
      <c r="C737" s="18"/>
      <c r="E737" s="20">
        <v>44763</v>
      </c>
      <c r="F737" s="17" t="s">
        <v>186</v>
      </c>
      <c r="G737" s="21">
        <v>9.0942483292629781</v>
      </c>
      <c r="H737" s="21">
        <v>16.5</v>
      </c>
      <c r="I737" s="25">
        <v>0.10953343459012246</v>
      </c>
      <c r="J737" s="21">
        <v>1.6500000000000001</v>
      </c>
      <c r="K737" s="21">
        <v>0.58114583333333336</v>
      </c>
      <c r="L737" s="21">
        <v>2.9699999999999998</v>
      </c>
      <c r="M737" s="17" t="s">
        <v>122</v>
      </c>
      <c r="N737" s="17" t="s">
        <v>117</v>
      </c>
      <c r="O737" s="21">
        <v>0</v>
      </c>
      <c r="P737" s="21">
        <v>3.9484500000000002</v>
      </c>
    </row>
    <row r="738" spans="1:16" ht="16.5" x14ac:dyDescent="0.25">
      <c r="A738" s="2"/>
      <c r="B738" s="4"/>
      <c r="C738" s="18"/>
      <c r="E738" s="20">
        <v>44763</v>
      </c>
      <c r="F738" s="17" t="s">
        <v>186</v>
      </c>
      <c r="G738" s="21">
        <v>9.0942483292629781</v>
      </c>
      <c r="H738" s="21">
        <v>16</v>
      </c>
      <c r="I738" s="25">
        <v>9.2309479421063795E-2</v>
      </c>
      <c r="J738" s="21">
        <v>1.6</v>
      </c>
      <c r="K738" s="21">
        <v>0.58114583333333336</v>
      </c>
      <c r="L738" s="21">
        <v>2.88</v>
      </c>
      <c r="M738" s="17" t="s">
        <v>121</v>
      </c>
      <c r="N738" s="17" t="s">
        <v>117</v>
      </c>
      <c r="O738" s="21">
        <v>0</v>
      </c>
      <c r="P738" s="21">
        <v>3.8288000000000002</v>
      </c>
    </row>
    <row r="739" spans="1:16" ht="16.5" x14ac:dyDescent="0.25">
      <c r="A739" s="2"/>
      <c r="B739" s="4"/>
      <c r="C739" s="18"/>
      <c r="E739" s="20">
        <v>44763</v>
      </c>
      <c r="F739" s="17" t="s">
        <v>186</v>
      </c>
      <c r="G739" s="21">
        <v>9.0942483292629781</v>
      </c>
      <c r="H739" s="21">
        <v>15.5</v>
      </c>
      <c r="I739" s="25">
        <v>7.3974301337872306E-2</v>
      </c>
      <c r="J739" s="21">
        <v>1.55</v>
      </c>
      <c r="K739" s="21">
        <v>0.58114583333333336</v>
      </c>
      <c r="L739" s="21">
        <v>2.79</v>
      </c>
      <c r="M739" s="17" t="s">
        <v>120</v>
      </c>
      <c r="N739" s="17" t="s">
        <v>117</v>
      </c>
      <c r="O739" s="21">
        <v>0</v>
      </c>
      <c r="P739" s="21">
        <v>3.7091500000000002</v>
      </c>
    </row>
    <row r="740" spans="1:16" ht="16.5" x14ac:dyDescent="0.25">
      <c r="A740" s="2"/>
      <c r="B740" s="4"/>
      <c r="C740" s="18"/>
      <c r="E740" s="20">
        <v>44763</v>
      </c>
      <c r="F740" s="17" t="s">
        <v>186</v>
      </c>
      <c r="G740" s="21">
        <v>9.0942483292629781</v>
      </c>
      <c r="H740" s="21">
        <v>15</v>
      </c>
      <c r="I740" s="25">
        <v>5.4416778049134723E-2</v>
      </c>
      <c r="J740" s="21">
        <v>1.5</v>
      </c>
      <c r="K740" s="21">
        <v>0.58114583333333336</v>
      </c>
      <c r="L740" s="21">
        <v>2.6999999999999997</v>
      </c>
      <c r="M740" s="17" t="s">
        <v>113</v>
      </c>
      <c r="N740" s="17" t="s">
        <v>117</v>
      </c>
      <c r="O740" s="21">
        <v>0</v>
      </c>
      <c r="P740" s="21">
        <v>3.5895000000000001</v>
      </c>
    </row>
    <row r="741" spans="1:16" ht="16.5" x14ac:dyDescent="0.25">
      <c r="A741" s="2"/>
      <c r="B741" s="4"/>
      <c r="C741" s="18"/>
      <c r="E741" s="20">
        <v>44763</v>
      </c>
      <c r="F741" s="17" t="s">
        <v>185</v>
      </c>
      <c r="G741" s="21">
        <v>4.2227556089835003</v>
      </c>
      <c r="H741" s="21">
        <v>10.5</v>
      </c>
      <c r="I741" s="25">
        <v>0.20853279914442846</v>
      </c>
      <c r="J741" s="21">
        <v>1.05</v>
      </c>
      <c r="K741" s="21">
        <v>0.44057291666666665</v>
      </c>
      <c r="L741" s="21">
        <v>1.89</v>
      </c>
      <c r="M741" s="17" t="s">
        <v>122</v>
      </c>
      <c r="N741" s="17" t="s">
        <v>117</v>
      </c>
      <c r="O741" s="21">
        <v>0.52500000000000002</v>
      </c>
      <c r="P741" s="21">
        <v>2.5126500000000003</v>
      </c>
    </row>
    <row r="742" spans="1:16" ht="16.5" x14ac:dyDescent="0.25">
      <c r="A742" s="2"/>
      <c r="B742" s="4"/>
      <c r="C742" s="18"/>
      <c r="E742" s="20">
        <v>44763</v>
      </c>
      <c r="F742" s="17" t="s">
        <v>185</v>
      </c>
      <c r="G742" s="21">
        <v>4.2227556089835003</v>
      </c>
      <c r="H742" s="21">
        <v>10</v>
      </c>
      <c r="I742" s="25">
        <v>0.18842443910164991</v>
      </c>
      <c r="J742" s="21">
        <v>1</v>
      </c>
      <c r="K742" s="21">
        <v>0.44057291666666665</v>
      </c>
      <c r="L742" s="21">
        <v>1.7999999999999998</v>
      </c>
      <c r="M742" s="17" t="s">
        <v>121</v>
      </c>
      <c r="N742" s="17" t="s">
        <v>117</v>
      </c>
      <c r="O742" s="21">
        <v>0.5</v>
      </c>
      <c r="P742" s="21">
        <v>2.3930000000000002</v>
      </c>
    </row>
    <row r="743" spans="1:16" ht="16.5" x14ac:dyDescent="0.25">
      <c r="A743" s="2"/>
      <c r="B743" s="4"/>
      <c r="C743" s="18"/>
      <c r="E743" s="20">
        <v>44763</v>
      </c>
      <c r="F743" s="17" t="s">
        <v>185</v>
      </c>
      <c r="G743" s="21">
        <v>4.2227556089835003</v>
      </c>
      <c r="H743" s="21">
        <v>9.5</v>
      </c>
      <c r="I743" s="25">
        <v>0.16619940958068408</v>
      </c>
      <c r="J743" s="21">
        <v>0.95000000000000007</v>
      </c>
      <c r="K743" s="21">
        <v>0.44057291666666665</v>
      </c>
      <c r="L743" s="21">
        <v>1.71</v>
      </c>
      <c r="M743" s="17" t="s">
        <v>120</v>
      </c>
      <c r="N743" s="17" t="s">
        <v>117</v>
      </c>
      <c r="O743" s="21">
        <v>0.47500000000000003</v>
      </c>
      <c r="P743" s="21">
        <v>2.2733500000000002</v>
      </c>
    </row>
    <row r="744" spans="1:16" ht="16.5" x14ac:dyDescent="0.25">
      <c r="A744" s="2"/>
      <c r="B744" s="4"/>
      <c r="C744" s="18"/>
      <c r="E744" s="20">
        <v>44763</v>
      </c>
      <c r="F744" s="17" t="s">
        <v>185</v>
      </c>
      <c r="G744" s="21">
        <v>4.2227556089835003</v>
      </c>
      <c r="H744" s="21">
        <v>9</v>
      </c>
      <c r="I744" s="25">
        <v>0.14150493233516656</v>
      </c>
      <c r="J744" s="21">
        <v>0.9</v>
      </c>
      <c r="K744" s="21">
        <v>0.44057291666666665</v>
      </c>
      <c r="L744" s="21">
        <v>1.6199999999999999</v>
      </c>
      <c r="M744" s="17" t="s">
        <v>113</v>
      </c>
      <c r="N744" s="17" t="s">
        <v>117</v>
      </c>
      <c r="O744" s="21">
        <v>0.45</v>
      </c>
      <c r="P744" s="21">
        <v>2.1537000000000002</v>
      </c>
    </row>
    <row r="745" spans="1:16" ht="16.5" x14ac:dyDescent="0.25">
      <c r="A745" s="2"/>
      <c r="B745" s="4"/>
      <c r="C745" s="18"/>
      <c r="E745" s="20">
        <v>44763</v>
      </c>
      <c r="F745" s="17" t="s">
        <v>184</v>
      </c>
      <c r="G745" s="21">
        <v>9.5442483292629774</v>
      </c>
      <c r="H745" s="21">
        <v>17.5</v>
      </c>
      <c r="I745" s="25">
        <v>0.11531438118497266</v>
      </c>
      <c r="J745" s="21">
        <v>1.75</v>
      </c>
      <c r="K745" s="21">
        <v>0.88114583333333329</v>
      </c>
      <c r="L745" s="21">
        <v>3.15</v>
      </c>
      <c r="M745" s="17" t="s">
        <v>122</v>
      </c>
      <c r="N745" s="17" t="s">
        <v>117</v>
      </c>
      <c r="O745" s="21">
        <v>0</v>
      </c>
      <c r="P745" s="21">
        <v>4.1877500000000003</v>
      </c>
    </row>
    <row r="746" spans="1:16" ht="16.5" x14ac:dyDescent="0.25">
      <c r="A746" s="2"/>
      <c r="B746" s="4"/>
      <c r="C746" s="18"/>
      <c r="E746" s="20">
        <v>44763</v>
      </c>
      <c r="F746" s="17" t="s">
        <v>184</v>
      </c>
      <c r="G746" s="21">
        <v>9.5442483292629774</v>
      </c>
      <c r="H746" s="21">
        <v>17</v>
      </c>
      <c r="I746" s="25">
        <v>9.9273627690413022E-2</v>
      </c>
      <c r="J746" s="21">
        <v>1.7000000000000002</v>
      </c>
      <c r="K746" s="21">
        <v>0.88114583333333329</v>
      </c>
      <c r="L746" s="21">
        <v>3.06</v>
      </c>
      <c r="M746" s="17" t="s">
        <v>121</v>
      </c>
      <c r="N746" s="17" t="s">
        <v>117</v>
      </c>
      <c r="O746" s="21">
        <v>0</v>
      </c>
      <c r="P746" s="21">
        <v>4.0681000000000003</v>
      </c>
    </row>
    <row r="747" spans="1:16" ht="16.5" x14ac:dyDescent="0.25">
      <c r="A747" s="2"/>
      <c r="B747" s="4"/>
      <c r="C747" s="18"/>
      <c r="E747" s="20">
        <v>44763</v>
      </c>
      <c r="F747" s="17" t="s">
        <v>184</v>
      </c>
      <c r="G747" s="21">
        <v>9.5442483292629774</v>
      </c>
      <c r="H747" s="21">
        <v>16.5</v>
      </c>
      <c r="I747" s="25">
        <v>8.2260707317395237E-2</v>
      </c>
      <c r="J747" s="21">
        <v>1.6500000000000001</v>
      </c>
      <c r="K747" s="21">
        <v>0.88114583333333329</v>
      </c>
      <c r="L747" s="21">
        <v>2.9699999999999998</v>
      </c>
      <c r="M747" s="17" t="s">
        <v>120</v>
      </c>
      <c r="N747" s="17" t="s">
        <v>117</v>
      </c>
      <c r="O747" s="21">
        <v>0</v>
      </c>
      <c r="P747" s="21">
        <v>3.9484500000000002</v>
      </c>
    </row>
    <row r="748" spans="1:16" ht="16.5" x14ac:dyDescent="0.25">
      <c r="A748" s="2"/>
      <c r="B748" s="4"/>
      <c r="C748" s="18"/>
      <c r="E748" s="20">
        <v>44763</v>
      </c>
      <c r="F748" s="17" t="s">
        <v>184</v>
      </c>
      <c r="G748" s="21">
        <v>9.5442483292629774</v>
      </c>
      <c r="H748" s="21">
        <v>16</v>
      </c>
      <c r="I748" s="25">
        <v>6.4184479421063839E-2</v>
      </c>
      <c r="J748" s="21">
        <v>1.6</v>
      </c>
      <c r="K748" s="21">
        <v>0.88114583333333329</v>
      </c>
      <c r="L748" s="21">
        <v>2.88</v>
      </c>
      <c r="M748" s="17" t="s">
        <v>113</v>
      </c>
      <c r="N748" s="17" t="s">
        <v>117</v>
      </c>
      <c r="O748" s="21">
        <v>0</v>
      </c>
      <c r="P748" s="21">
        <v>3.8288000000000002</v>
      </c>
    </row>
    <row r="749" spans="1:16" ht="16.5" x14ac:dyDescent="0.25">
      <c r="A749" s="2"/>
      <c r="B749" s="4"/>
      <c r="C749" s="18"/>
      <c r="E749" s="20">
        <v>44763</v>
      </c>
      <c r="F749" s="17" t="s">
        <v>88</v>
      </c>
      <c r="G749" s="21">
        <v>9.6753941625963122</v>
      </c>
      <c r="H749" s="21">
        <v>13</v>
      </c>
      <c r="I749" s="25">
        <v>0.15573891056951444</v>
      </c>
      <c r="J749" s="21">
        <v>1.3</v>
      </c>
      <c r="K749" s="21">
        <v>0.58114583333333336</v>
      </c>
      <c r="L749" s="21">
        <v>0</v>
      </c>
      <c r="M749" s="17" t="s">
        <v>122</v>
      </c>
      <c r="N749" s="17" t="s">
        <v>115</v>
      </c>
      <c r="O749" s="21">
        <v>0</v>
      </c>
      <c r="P749" s="21">
        <v>0</v>
      </c>
    </row>
    <row r="750" spans="1:16" ht="16.5" x14ac:dyDescent="0.25">
      <c r="A750" s="2"/>
      <c r="B750" s="4"/>
      <c r="C750" s="18"/>
      <c r="E750" s="20">
        <v>44763</v>
      </c>
      <c r="F750" s="17" t="s">
        <v>88</v>
      </c>
      <c r="G750" s="21">
        <v>9.6753941625963122</v>
      </c>
      <c r="H750" s="21">
        <v>12.5</v>
      </c>
      <c r="I750" s="25">
        <v>0.12596846699229503</v>
      </c>
      <c r="J750" s="21">
        <v>1.25</v>
      </c>
      <c r="K750" s="21">
        <v>0.58114583333333336</v>
      </c>
      <c r="L750" s="21">
        <v>0</v>
      </c>
      <c r="M750" s="17" t="s">
        <v>121</v>
      </c>
      <c r="N750" s="17" t="s">
        <v>115</v>
      </c>
      <c r="O750" s="21">
        <v>0</v>
      </c>
      <c r="P750" s="21">
        <v>0</v>
      </c>
    </row>
    <row r="751" spans="1:16" ht="16.5" x14ac:dyDescent="0.25">
      <c r="A751" s="2"/>
      <c r="B751" s="4"/>
      <c r="C751" s="18"/>
      <c r="E751" s="20">
        <v>44763</v>
      </c>
      <c r="F751" s="17" t="s">
        <v>88</v>
      </c>
      <c r="G751" s="21">
        <v>9.6753941625963122</v>
      </c>
      <c r="H751" s="21">
        <v>12</v>
      </c>
      <c r="I751" s="25">
        <v>9.371715311697397E-2</v>
      </c>
      <c r="J751" s="21">
        <v>1.2000000000000002</v>
      </c>
      <c r="K751" s="21">
        <v>0.58114583333333336</v>
      </c>
      <c r="L751" s="21">
        <v>0</v>
      </c>
      <c r="M751" s="17" t="s">
        <v>120</v>
      </c>
      <c r="N751" s="17" t="s">
        <v>115</v>
      </c>
      <c r="O751" s="21">
        <v>0</v>
      </c>
      <c r="P751" s="21">
        <v>0</v>
      </c>
    </row>
    <row r="752" spans="1:16" ht="16.5" x14ac:dyDescent="0.25">
      <c r="A752" s="2"/>
      <c r="B752" s="4"/>
      <c r="C752" s="18"/>
      <c r="E752" s="20">
        <v>44763</v>
      </c>
      <c r="F752" s="17" t="s">
        <v>88</v>
      </c>
      <c r="G752" s="21">
        <v>9.6753941625963122</v>
      </c>
      <c r="H752" s="21">
        <v>11.5</v>
      </c>
      <c r="I752" s="25">
        <v>5.8661377165538056E-2</v>
      </c>
      <c r="J752" s="21">
        <v>1.1500000000000001</v>
      </c>
      <c r="K752" s="21">
        <v>0.58114583333333336</v>
      </c>
      <c r="L752" s="21">
        <v>0</v>
      </c>
      <c r="M752" s="17" t="s">
        <v>113</v>
      </c>
      <c r="N752" s="17" t="s">
        <v>115</v>
      </c>
      <c r="O752" s="21">
        <v>0</v>
      </c>
      <c r="P752" s="21">
        <v>0</v>
      </c>
    </row>
    <row r="753" spans="1:16" ht="16.5" x14ac:dyDescent="0.25">
      <c r="A753" s="2"/>
      <c r="B753" s="4"/>
      <c r="C753" s="18"/>
      <c r="E753" s="20">
        <v>44763</v>
      </c>
      <c r="F753" s="17" t="s">
        <v>88</v>
      </c>
      <c r="G753" s="21">
        <v>9.6753941625963122</v>
      </c>
      <c r="H753" s="21">
        <v>11.5</v>
      </c>
      <c r="I753" s="25">
        <v>5.8661377165538056E-2</v>
      </c>
      <c r="J753" s="21">
        <v>1.1500000000000001</v>
      </c>
      <c r="K753" s="21">
        <v>0.58114583333333336</v>
      </c>
      <c r="L753" s="21">
        <v>0</v>
      </c>
      <c r="M753" s="17" t="s">
        <v>122</v>
      </c>
      <c r="N753" s="17" t="s">
        <v>115</v>
      </c>
      <c r="O753" s="21">
        <v>0</v>
      </c>
      <c r="P753" s="21">
        <v>0</v>
      </c>
    </row>
    <row r="754" spans="1:16" ht="16.5" x14ac:dyDescent="0.25">
      <c r="A754" s="2"/>
      <c r="B754" s="4"/>
      <c r="C754" s="18"/>
      <c r="E754" s="20">
        <v>44763</v>
      </c>
      <c r="F754" s="17" t="s">
        <v>88</v>
      </c>
      <c r="G754" s="21">
        <v>9.0942483292629781</v>
      </c>
      <c r="H754" s="21">
        <v>15</v>
      </c>
      <c r="I754" s="25">
        <v>0.11441677804913475</v>
      </c>
      <c r="J754" s="21">
        <v>1.5</v>
      </c>
      <c r="K754" s="21">
        <v>0.58114583333333336</v>
      </c>
      <c r="L754" s="21">
        <v>1.05</v>
      </c>
      <c r="M754" s="17" t="s">
        <v>122</v>
      </c>
      <c r="N754" s="17" t="s">
        <v>117</v>
      </c>
      <c r="O754" s="21">
        <v>0.75</v>
      </c>
      <c r="P754" s="21">
        <v>1.9395</v>
      </c>
    </row>
    <row r="755" spans="1:16" ht="16.5" x14ac:dyDescent="0.25">
      <c r="A755" s="2"/>
      <c r="B755" s="4"/>
      <c r="C755" s="18"/>
      <c r="E755" s="20">
        <v>44763</v>
      </c>
      <c r="F755" s="17" t="s">
        <v>88</v>
      </c>
      <c r="G755" s="21">
        <v>9.0942483292629781</v>
      </c>
      <c r="H755" s="21">
        <v>14.5</v>
      </c>
      <c r="I755" s="25">
        <v>9.3510460050829053E-2</v>
      </c>
      <c r="J755" s="21">
        <v>1.4500000000000002</v>
      </c>
      <c r="K755" s="21">
        <v>0.58114583333333336</v>
      </c>
      <c r="L755" s="21">
        <v>1.0150000000000001</v>
      </c>
      <c r="M755" s="17" t="s">
        <v>121</v>
      </c>
      <c r="N755" s="17" t="s">
        <v>117</v>
      </c>
      <c r="O755" s="21">
        <v>0.72500000000000009</v>
      </c>
      <c r="P755" s="21">
        <v>1.8748499999999999</v>
      </c>
    </row>
    <row r="756" spans="1:16" ht="16.5" x14ac:dyDescent="0.25">
      <c r="A756" s="2"/>
      <c r="B756" s="4"/>
      <c r="C756" s="18"/>
      <c r="E756" s="20">
        <v>44763</v>
      </c>
      <c r="F756" s="17" t="s">
        <v>88</v>
      </c>
      <c r="G756" s="21">
        <v>9.0942483292629781</v>
      </c>
      <c r="H756" s="21">
        <v>14</v>
      </c>
      <c r="I756" s="25">
        <v>7.1110833624072972E-2</v>
      </c>
      <c r="J756" s="21">
        <v>1.4000000000000001</v>
      </c>
      <c r="K756" s="21">
        <v>0.58114583333333336</v>
      </c>
      <c r="L756" s="21">
        <v>0.98000000000000009</v>
      </c>
      <c r="M756" s="17" t="s">
        <v>120</v>
      </c>
      <c r="N756" s="17" t="s">
        <v>117</v>
      </c>
      <c r="O756" s="21">
        <v>0.70000000000000007</v>
      </c>
      <c r="P756" s="21">
        <v>1.8102</v>
      </c>
    </row>
    <row r="757" spans="1:16" ht="16.5" x14ac:dyDescent="0.25">
      <c r="A757" s="2"/>
      <c r="B757" s="4"/>
      <c r="C757" s="18"/>
      <c r="E757" s="20">
        <v>44763</v>
      </c>
      <c r="F757" s="17" t="s">
        <v>88</v>
      </c>
      <c r="G757" s="21">
        <v>9.0942483292629781</v>
      </c>
      <c r="H757" s="21">
        <v>13.5</v>
      </c>
      <c r="I757" s="25">
        <v>4.7051975610149781E-2</v>
      </c>
      <c r="J757" s="21">
        <v>1.35</v>
      </c>
      <c r="K757" s="21">
        <v>0.58114583333333336</v>
      </c>
      <c r="L757" s="21">
        <v>0.94500000000000006</v>
      </c>
      <c r="M757" s="17" t="s">
        <v>113</v>
      </c>
      <c r="N757" s="17" t="s">
        <v>117</v>
      </c>
      <c r="O757" s="21">
        <v>0.67500000000000004</v>
      </c>
      <c r="P757" s="21">
        <v>1.7455499999999999</v>
      </c>
    </row>
    <row r="758" spans="1:16" ht="16.5" x14ac:dyDescent="0.25">
      <c r="A758" s="2"/>
      <c r="B758" s="4"/>
      <c r="C758" s="18"/>
      <c r="E758" s="20">
        <v>44763</v>
      </c>
      <c r="F758" s="17" t="s">
        <v>87</v>
      </c>
      <c r="G758" s="21">
        <v>4.2227556089835003</v>
      </c>
      <c r="H758" s="21">
        <v>9.5</v>
      </c>
      <c r="I758" s="25">
        <v>0.27619940958068406</v>
      </c>
      <c r="J758" s="21">
        <v>0.95000000000000007</v>
      </c>
      <c r="K758" s="21">
        <v>0.44057291666666665</v>
      </c>
      <c r="L758" s="21">
        <v>0.66500000000000004</v>
      </c>
      <c r="M758" s="17" t="s">
        <v>122</v>
      </c>
      <c r="N758" s="17" t="s">
        <v>117</v>
      </c>
      <c r="O758" s="21">
        <v>0.47500000000000003</v>
      </c>
      <c r="P758" s="21">
        <v>1.2283500000000001</v>
      </c>
    </row>
    <row r="759" spans="1:16" ht="16.5" x14ac:dyDescent="0.25">
      <c r="A759" s="2"/>
      <c r="B759" s="4"/>
      <c r="C759" s="18"/>
      <c r="E759" s="20">
        <v>44763</v>
      </c>
      <c r="F759" s="17" t="s">
        <v>87</v>
      </c>
      <c r="G759" s="21">
        <v>4.2227556089835003</v>
      </c>
      <c r="H759" s="21">
        <v>9</v>
      </c>
      <c r="I759" s="25">
        <v>0.25150493233516658</v>
      </c>
      <c r="J759" s="21">
        <v>0.9</v>
      </c>
      <c r="K759" s="21">
        <v>0.44057291666666665</v>
      </c>
      <c r="L759" s="21">
        <v>0.63000000000000012</v>
      </c>
      <c r="M759" s="17" t="s">
        <v>121</v>
      </c>
      <c r="N759" s="17" t="s">
        <v>117</v>
      </c>
      <c r="O759" s="21">
        <v>0.45</v>
      </c>
      <c r="P759" s="21">
        <v>1.1637</v>
      </c>
    </row>
    <row r="760" spans="1:16" ht="16.5" x14ac:dyDescent="0.25">
      <c r="A760" s="2"/>
      <c r="B760" s="4"/>
      <c r="C760" s="18"/>
      <c r="E760" s="20">
        <v>44763</v>
      </c>
      <c r="F760" s="17" t="s">
        <v>87</v>
      </c>
      <c r="G760" s="21">
        <v>4.2227556089835003</v>
      </c>
      <c r="H760" s="21">
        <v>8.5</v>
      </c>
      <c r="I760" s="25">
        <v>0.22390522247252936</v>
      </c>
      <c r="J760" s="21">
        <v>0.85000000000000009</v>
      </c>
      <c r="K760" s="21">
        <v>0.44057291666666665</v>
      </c>
      <c r="L760" s="21">
        <v>0.59500000000000008</v>
      </c>
      <c r="M760" s="17" t="s">
        <v>120</v>
      </c>
      <c r="N760" s="17" t="s">
        <v>117</v>
      </c>
      <c r="O760" s="21">
        <v>0.42500000000000004</v>
      </c>
      <c r="P760" s="21">
        <v>1.0990500000000001</v>
      </c>
    </row>
    <row r="761" spans="1:16" ht="16.5" x14ac:dyDescent="0.25">
      <c r="A761" s="2"/>
      <c r="B761" s="4"/>
      <c r="C761" s="18"/>
      <c r="E761" s="20">
        <v>44763</v>
      </c>
      <c r="F761" s="17" t="s">
        <v>87</v>
      </c>
      <c r="G761" s="21">
        <v>4.2227556089835003</v>
      </c>
      <c r="H761" s="21">
        <v>8</v>
      </c>
      <c r="I761" s="25">
        <v>0.19285554887706249</v>
      </c>
      <c r="J761" s="21">
        <v>0.8</v>
      </c>
      <c r="K761" s="21">
        <v>0.44057291666666665</v>
      </c>
      <c r="L761" s="21">
        <v>0.56000000000000005</v>
      </c>
      <c r="M761" s="17" t="s">
        <v>113</v>
      </c>
      <c r="N761" s="17" t="s">
        <v>117</v>
      </c>
      <c r="O761" s="21">
        <v>0.4</v>
      </c>
      <c r="P761" s="21">
        <v>1.0344</v>
      </c>
    </row>
    <row r="762" spans="1:16" ht="16.5" x14ac:dyDescent="0.25">
      <c r="A762" s="2"/>
      <c r="B762" s="4"/>
      <c r="C762" s="18"/>
      <c r="E762" s="20">
        <v>44763</v>
      </c>
      <c r="F762" s="17" t="s">
        <v>87</v>
      </c>
      <c r="G762" s="21">
        <v>4.6633285256501669</v>
      </c>
      <c r="H762" s="21">
        <v>8.5</v>
      </c>
      <c r="I762" s="25">
        <v>0.30137311462939215</v>
      </c>
      <c r="J762" s="21">
        <v>0.85000000000000009</v>
      </c>
      <c r="K762" s="21">
        <v>0.44057291666666665</v>
      </c>
      <c r="L762" s="21">
        <v>0</v>
      </c>
      <c r="M762" s="17" t="s">
        <v>122</v>
      </c>
      <c r="N762" s="17" t="s">
        <v>115</v>
      </c>
      <c r="O762" s="21">
        <v>0.42500000000000004</v>
      </c>
      <c r="P762" s="21">
        <v>0</v>
      </c>
    </row>
    <row r="763" spans="1:16" ht="16.5" x14ac:dyDescent="0.25">
      <c r="A763" s="2"/>
      <c r="B763" s="4"/>
      <c r="C763" s="18"/>
      <c r="E763" s="20">
        <v>44763</v>
      </c>
      <c r="F763" s="17" t="s">
        <v>87</v>
      </c>
      <c r="G763" s="21">
        <v>4.6633285256501669</v>
      </c>
      <c r="H763" s="21">
        <v>8</v>
      </c>
      <c r="I763" s="25">
        <v>0.26708393429372912</v>
      </c>
      <c r="J763" s="21">
        <v>0.8</v>
      </c>
      <c r="K763" s="21">
        <v>0.44057291666666665</v>
      </c>
      <c r="L763" s="21">
        <v>0</v>
      </c>
      <c r="M763" s="17" t="s">
        <v>121</v>
      </c>
      <c r="N763" s="17" t="s">
        <v>115</v>
      </c>
      <c r="O763" s="21">
        <v>0.4</v>
      </c>
      <c r="P763" s="21">
        <v>0</v>
      </c>
    </row>
    <row r="764" spans="1:16" ht="16.5" x14ac:dyDescent="0.25">
      <c r="A764" s="2"/>
      <c r="B764" s="4"/>
      <c r="C764" s="18"/>
      <c r="E764" s="20">
        <v>44763</v>
      </c>
      <c r="F764" s="17" t="s">
        <v>87</v>
      </c>
      <c r="G764" s="21">
        <v>4.6633285256501669</v>
      </c>
      <c r="H764" s="21">
        <v>7.5</v>
      </c>
      <c r="I764" s="25">
        <v>0.22822286324664443</v>
      </c>
      <c r="J764" s="21">
        <v>0.75</v>
      </c>
      <c r="K764" s="21">
        <v>0.44057291666666665</v>
      </c>
      <c r="L764" s="21">
        <v>0</v>
      </c>
      <c r="M764" s="17" t="s">
        <v>120</v>
      </c>
      <c r="N764" s="17" t="s">
        <v>115</v>
      </c>
      <c r="O764" s="21">
        <v>0.375</v>
      </c>
      <c r="P764" s="21">
        <v>0</v>
      </c>
    </row>
    <row r="765" spans="1:16" ht="16.5" x14ac:dyDescent="0.25">
      <c r="A765" s="2"/>
      <c r="B765" s="4"/>
      <c r="C765" s="18"/>
      <c r="E765" s="20">
        <v>44763</v>
      </c>
      <c r="F765" s="17" t="s">
        <v>87</v>
      </c>
      <c r="G765" s="21">
        <v>4.6633285256501669</v>
      </c>
      <c r="H765" s="21">
        <v>7</v>
      </c>
      <c r="I765" s="25">
        <v>0.18381021062140471</v>
      </c>
      <c r="J765" s="21">
        <v>0.70000000000000007</v>
      </c>
      <c r="K765" s="21">
        <v>0.44057291666666665</v>
      </c>
      <c r="L765" s="21">
        <v>0</v>
      </c>
      <c r="M765" s="17" t="s">
        <v>113</v>
      </c>
      <c r="N765" s="17" t="s">
        <v>115</v>
      </c>
      <c r="O765" s="21">
        <v>0.35000000000000003</v>
      </c>
      <c r="P765" s="21">
        <v>0</v>
      </c>
    </row>
    <row r="766" spans="1:16" ht="16.5" x14ac:dyDescent="0.25">
      <c r="A766" s="2"/>
      <c r="B766" s="4"/>
      <c r="C766" s="18"/>
      <c r="E766" s="20">
        <v>44763</v>
      </c>
      <c r="F766" s="17" t="s">
        <v>86</v>
      </c>
      <c r="G766" s="21">
        <v>10.42539416259631</v>
      </c>
      <c r="H766" s="21">
        <v>14</v>
      </c>
      <c r="I766" s="25">
        <v>0.15532898838597781</v>
      </c>
      <c r="J766" s="21">
        <v>1.4000000000000001</v>
      </c>
      <c r="K766" s="21">
        <v>0.88114583333333329</v>
      </c>
      <c r="L766" s="21">
        <v>0</v>
      </c>
      <c r="M766" s="17" t="s">
        <v>122</v>
      </c>
      <c r="N766" s="17" t="s">
        <v>115</v>
      </c>
      <c r="O766" s="21">
        <v>0</v>
      </c>
      <c r="P766" s="21">
        <v>0</v>
      </c>
    </row>
    <row r="767" spans="1:16" ht="16.5" x14ac:dyDescent="0.25">
      <c r="A767" s="2"/>
      <c r="B767" s="4"/>
      <c r="C767" s="18"/>
      <c r="E767" s="20">
        <v>44763</v>
      </c>
      <c r="F767" s="17" t="s">
        <v>86</v>
      </c>
      <c r="G767" s="21">
        <v>10.42539416259631</v>
      </c>
      <c r="H767" s="21">
        <v>13.5</v>
      </c>
      <c r="I767" s="25">
        <v>0.12774858054842145</v>
      </c>
      <c r="J767" s="21">
        <v>1.35</v>
      </c>
      <c r="K767" s="21">
        <v>0.88114583333333329</v>
      </c>
      <c r="L767" s="21">
        <v>0</v>
      </c>
      <c r="M767" s="17" t="s">
        <v>121</v>
      </c>
      <c r="N767" s="17" t="s">
        <v>115</v>
      </c>
      <c r="O767" s="21">
        <v>0</v>
      </c>
      <c r="P767" s="21">
        <v>0</v>
      </c>
    </row>
    <row r="768" spans="1:16" ht="16.5" x14ac:dyDescent="0.25">
      <c r="A768" s="2"/>
      <c r="B768" s="4"/>
      <c r="C768" s="18"/>
      <c r="E768" s="20">
        <v>44763</v>
      </c>
      <c r="F768" s="17" t="s">
        <v>86</v>
      </c>
      <c r="G768" s="21">
        <v>10.42539416259631</v>
      </c>
      <c r="H768" s="21">
        <v>13</v>
      </c>
      <c r="I768" s="25">
        <v>9.8046602877206887E-2</v>
      </c>
      <c r="J768" s="21">
        <v>1.3</v>
      </c>
      <c r="K768" s="21">
        <v>0.88114583333333329</v>
      </c>
      <c r="L768" s="21">
        <v>0</v>
      </c>
      <c r="M768" s="17" t="s">
        <v>120</v>
      </c>
      <c r="N768" s="17" t="s">
        <v>115</v>
      </c>
      <c r="O768" s="21">
        <v>0</v>
      </c>
      <c r="P768" s="21">
        <v>0</v>
      </c>
    </row>
    <row r="769" spans="1:16" ht="16.5" x14ac:dyDescent="0.25">
      <c r="A769" s="2"/>
      <c r="B769" s="4"/>
      <c r="C769" s="18"/>
      <c r="E769" s="20">
        <v>44763</v>
      </c>
      <c r="F769" s="17" t="s">
        <v>86</v>
      </c>
      <c r="G769" s="21">
        <v>10.42539416259631</v>
      </c>
      <c r="H769" s="21">
        <v>12.5</v>
      </c>
      <c r="I769" s="25">
        <v>6.5968466992295166E-2</v>
      </c>
      <c r="J769" s="21">
        <v>1.25</v>
      </c>
      <c r="K769" s="21">
        <v>0.88114583333333329</v>
      </c>
      <c r="L769" s="21">
        <v>0</v>
      </c>
      <c r="M769" s="17" t="s">
        <v>113</v>
      </c>
      <c r="N769" s="17" t="s">
        <v>115</v>
      </c>
      <c r="O769" s="21">
        <v>0</v>
      </c>
      <c r="P769" s="21">
        <v>0</v>
      </c>
    </row>
    <row r="770" spans="1:16" ht="16.5" x14ac:dyDescent="0.25">
      <c r="A770" s="2"/>
      <c r="B770" s="4"/>
      <c r="C770" s="18"/>
      <c r="E770" s="20">
        <v>44763</v>
      </c>
      <c r="F770" s="17" t="s">
        <v>86</v>
      </c>
      <c r="G770" s="21">
        <v>9.5442483292629774</v>
      </c>
      <c r="H770" s="21">
        <v>16</v>
      </c>
      <c r="I770" s="25">
        <v>0.12418447942106395</v>
      </c>
      <c r="J770" s="21">
        <v>1.6</v>
      </c>
      <c r="K770" s="21">
        <v>0.88114583333333329</v>
      </c>
      <c r="L770" s="21">
        <v>1.1200000000000001</v>
      </c>
      <c r="M770" s="17" t="s">
        <v>122</v>
      </c>
      <c r="N770" s="17" t="s">
        <v>117</v>
      </c>
      <c r="O770" s="21">
        <v>0.8</v>
      </c>
      <c r="P770" s="21">
        <v>2.0688</v>
      </c>
    </row>
    <row r="771" spans="1:16" ht="16.5" x14ac:dyDescent="0.25">
      <c r="A771" s="2"/>
      <c r="B771" s="4"/>
      <c r="C771" s="18"/>
      <c r="E771" s="20">
        <v>44763</v>
      </c>
      <c r="F771" s="17" t="s">
        <v>86</v>
      </c>
      <c r="G771" s="21">
        <v>9.5442483292629774</v>
      </c>
      <c r="H771" s="21">
        <v>15.5</v>
      </c>
      <c r="I771" s="25">
        <v>0.10494204327335635</v>
      </c>
      <c r="J771" s="21">
        <v>1.55</v>
      </c>
      <c r="K771" s="21">
        <v>0.88114583333333329</v>
      </c>
      <c r="L771" s="21">
        <v>1.0850000000000002</v>
      </c>
      <c r="M771" s="17" t="s">
        <v>121</v>
      </c>
      <c r="N771" s="17" t="s">
        <v>117</v>
      </c>
      <c r="O771" s="21">
        <v>0.77500000000000002</v>
      </c>
      <c r="P771" s="21">
        <v>2.0041500000000001</v>
      </c>
    </row>
    <row r="772" spans="1:16" ht="16.5" x14ac:dyDescent="0.25">
      <c r="A772" s="2"/>
      <c r="B772" s="4"/>
      <c r="C772" s="18"/>
      <c r="E772" s="20">
        <v>44763</v>
      </c>
      <c r="F772" s="17" t="s">
        <v>86</v>
      </c>
      <c r="G772" s="21">
        <v>9.5442483292629774</v>
      </c>
      <c r="H772" s="21">
        <v>15</v>
      </c>
      <c r="I772" s="25">
        <v>8.4416778049134791E-2</v>
      </c>
      <c r="J772" s="21">
        <v>1.5</v>
      </c>
      <c r="K772" s="21">
        <v>0.88114583333333329</v>
      </c>
      <c r="L772" s="21">
        <v>1.05</v>
      </c>
      <c r="M772" s="17" t="s">
        <v>120</v>
      </c>
      <c r="N772" s="17" t="s">
        <v>117</v>
      </c>
      <c r="O772" s="21">
        <v>0.75</v>
      </c>
      <c r="P772" s="21">
        <v>1.9395</v>
      </c>
    </row>
    <row r="773" spans="1:16" ht="16.5" x14ac:dyDescent="0.25">
      <c r="A773" s="2"/>
      <c r="B773" s="4"/>
      <c r="C773" s="18"/>
      <c r="E773" s="20">
        <v>44763</v>
      </c>
      <c r="F773" s="17" t="s">
        <v>86</v>
      </c>
      <c r="G773" s="21">
        <v>9.5442483292629774</v>
      </c>
      <c r="H773" s="21">
        <v>14.5</v>
      </c>
      <c r="I773" s="25">
        <v>6.2475977292208412E-2</v>
      </c>
      <c r="J773" s="21">
        <v>1.4500000000000002</v>
      </c>
      <c r="K773" s="21">
        <v>0.88114583333333329</v>
      </c>
      <c r="L773" s="21">
        <v>1.0150000000000001</v>
      </c>
      <c r="M773" s="17" t="s">
        <v>113</v>
      </c>
      <c r="N773" s="17" t="s">
        <v>117</v>
      </c>
      <c r="O773" s="21">
        <v>0.72500000000000009</v>
      </c>
      <c r="P773" s="21">
        <v>1.8748499999999999</v>
      </c>
    </row>
    <row r="774" spans="1:16" ht="16.5" x14ac:dyDescent="0.25">
      <c r="A774" s="2"/>
      <c r="B774" s="4"/>
      <c r="C774" s="18"/>
      <c r="E774" s="20">
        <v>44762</v>
      </c>
      <c r="F774" s="17" t="s">
        <v>94</v>
      </c>
      <c r="G774" s="21">
        <v>3.85</v>
      </c>
      <c r="H774" s="21">
        <v>5.2</v>
      </c>
      <c r="I774" s="25">
        <v>0.15961538461538463</v>
      </c>
      <c r="J774" s="21">
        <v>0.52</v>
      </c>
      <c r="K774" s="21">
        <v>7.2960000000000011E-2</v>
      </c>
      <c r="L774" s="21">
        <v>0</v>
      </c>
      <c r="M774" s="17" t="s">
        <v>122</v>
      </c>
      <c r="N774" s="17" t="s">
        <v>115</v>
      </c>
      <c r="O774" s="21">
        <v>0</v>
      </c>
      <c r="P774" s="21">
        <v>0</v>
      </c>
    </row>
    <row r="775" spans="1:16" ht="16.5" x14ac:dyDescent="0.25">
      <c r="A775" s="2"/>
      <c r="B775" s="4"/>
      <c r="C775" s="18"/>
      <c r="E775" s="20">
        <v>44762</v>
      </c>
      <c r="F775" s="17" t="s">
        <v>94</v>
      </c>
      <c r="G775" s="21">
        <v>3.85</v>
      </c>
      <c r="H775" s="21">
        <v>4.9000000000000004</v>
      </c>
      <c r="I775" s="25">
        <v>0.11428571428571434</v>
      </c>
      <c r="J775" s="21">
        <v>0.49000000000000005</v>
      </c>
      <c r="K775" s="21">
        <v>7.2960000000000011E-2</v>
      </c>
      <c r="L775" s="21">
        <v>0</v>
      </c>
      <c r="M775" s="17" t="s">
        <v>121</v>
      </c>
      <c r="N775" s="17" t="s">
        <v>115</v>
      </c>
      <c r="O775" s="21">
        <v>0</v>
      </c>
      <c r="P775" s="21">
        <v>0</v>
      </c>
    </row>
    <row r="776" spans="1:16" ht="16.5" x14ac:dyDescent="0.25">
      <c r="A776" s="2"/>
      <c r="B776" s="4"/>
      <c r="C776" s="18"/>
      <c r="E776" s="20">
        <v>44762</v>
      </c>
      <c r="F776" s="17" t="s">
        <v>94</v>
      </c>
      <c r="G776" s="21">
        <v>3.85</v>
      </c>
      <c r="H776" s="21">
        <v>4.7</v>
      </c>
      <c r="I776" s="25">
        <v>8.085106382978724E-2</v>
      </c>
      <c r="J776" s="21">
        <v>0.47000000000000003</v>
      </c>
      <c r="K776" s="21">
        <v>7.2960000000000011E-2</v>
      </c>
      <c r="L776" s="21">
        <v>0</v>
      </c>
      <c r="M776" s="17" t="s">
        <v>120</v>
      </c>
      <c r="N776" s="17" t="s">
        <v>115</v>
      </c>
      <c r="O776" s="21">
        <v>0</v>
      </c>
      <c r="P776" s="21">
        <v>0</v>
      </c>
    </row>
    <row r="777" spans="1:16" ht="16.5" x14ac:dyDescent="0.25">
      <c r="A777" s="2"/>
      <c r="B777" s="4"/>
      <c r="C777" s="18"/>
      <c r="E777" s="20">
        <v>44762</v>
      </c>
      <c r="F777" s="17" t="s">
        <v>94</v>
      </c>
      <c r="G777" s="21">
        <v>3.85</v>
      </c>
      <c r="H777" s="21">
        <v>4.5</v>
      </c>
      <c r="I777" s="25">
        <v>4.4444444444444425E-2</v>
      </c>
      <c r="J777" s="21">
        <v>0.45</v>
      </c>
      <c r="K777" s="21">
        <v>7.2960000000000011E-2</v>
      </c>
      <c r="L777" s="21">
        <v>0</v>
      </c>
      <c r="M777" s="17" t="s">
        <v>113</v>
      </c>
      <c r="N777" s="17" t="s">
        <v>115</v>
      </c>
      <c r="O777" s="21">
        <v>0</v>
      </c>
      <c r="P777" s="21">
        <v>0</v>
      </c>
    </row>
    <row r="778" spans="1:16" ht="16.5" x14ac:dyDescent="0.25">
      <c r="A778" s="2"/>
      <c r="B778" s="4"/>
      <c r="C778" s="18"/>
      <c r="E778" s="20">
        <v>44762</v>
      </c>
      <c r="F778" s="17" t="s">
        <v>94</v>
      </c>
      <c r="G778" s="21">
        <v>3.85</v>
      </c>
      <c r="H778" s="21">
        <v>5.5</v>
      </c>
      <c r="I778" s="25">
        <v>0.14499999999999993</v>
      </c>
      <c r="J778" s="21">
        <v>0.55000000000000004</v>
      </c>
      <c r="K778" s="21">
        <v>0</v>
      </c>
      <c r="L778" s="21">
        <v>0.30249999999999999</v>
      </c>
      <c r="M778" s="17" t="s">
        <v>122</v>
      </c>
      <c r="N778" s="17" t="s">
        <v>116</v>
      </c>
      <c r="O778" s="21">
        <v>0</v>
      </c>
      <c r="P778" s="21">
        <v>0.30249999999999999</v>
      </c>
    </row>
    <row r="779" spans="1:16" ht="16.5" x14ac:dyDescent="0.25">
      <c r="A779" s="2"/>
      <c r="B779" s="4"/>
      <c r="C779" s="18"/>
      <c r="E779" s="20">
        <v>44762</v>
      </c>
      <c r="F779" s="17" t="s">
        <v>94</v>
      </c>
      <c r="G779" s="21">
        <v>3.85</v>
      </c>
      <c r="H779" s="21">
        <v>5.2</v>
      </c>
      <c r="I779" s="25">
        <v>0.10461538461538454</v>
      </c>
      <c r="J779" s="21">
        <v>0.52</v>
      </c>
      <c r="K779" s="21">
        <v>0</v>
      </c>
      <c r="L779" s="21">
        <v>0.28600000000000003</v>
      </c>
      <c r="M779" s="17" t="s">
        <v>121</v>
      </c>
      <c r="N779" s="17" t="s">
        <v>116</v>
      </c>
      <c r="O779" s="21">
        <v>0</v>
      </c>
      <c r="P779" s="21">
        <v>0.28600000000000003</v>
      </c>
    </row>
    <row r="780" spans="1:16" ht="16.5" x14ac:dyDescent="0.25">
      <c r="A780" s="2"/>
      <c r="B780" s="4"/>
      <c r="C780" s="18"/>
      <c r="E780" s="20">
        <v>44762</v>
      </c>
      <c r="F780" s="17" t="s">
        <v>94</v>
      </c>
      <c r="G780" s="21">
        <v>3.85</v>
      </c>
      <c r="H780" s="21">
        <v>5</v>
      </c>
      <c r="I780" s="25">
        <v>7.4999999999999914E-2</v>
      </c>
      <c r="J780" s="21">
        <v>0.5</v>
      </c>
      <c r="K780" s="21">
        <v>0</v>
      </c>
      <c r="L780" s="21">
        <v>0.27500000000000002</v>
      </c>
      <c r="M780" s="17" t="s">
        <v>120</v>
      </c>
      <c r="N780" s="17" t="s">
        <v>116</v>
      </c>
      <c r="O780" s="21">
        <v>0</v>
      </c>
      <c r="P780" s="21">
        <v>0.27500000000000002</v>
      </c>
    </row>
    <row r="781" spans="1:16" ht="16.5" x14ac:dyDescent="0.25">
      <c r="A781" s="2"/>
      <c r="B781" s="4"/>
      <c r="C781" s="18"/>
      <c r="E781" s="20">
        <v>44762</v>
      </c>
      <c r="F781" s="17" t="s">
        <v>94</v>
      </c>
      <c r="G781" s="21">
        <v>3.85</v>
      </c>
      <c r="H781" s="21">
        <v>4.8</v>
      </c>
      <c r="I781" s="25">
        <v>4.2916666666666568E-2</v>
      </c>
      <c r="J781" s="21">
        <v>0.48</v>
      </c>
      <c r="K781" s="21">
        <v>0</v>
      </c>
      <c r="L781" s="21">
        <v>0.26400000000000001</v>
      </c>
      <c r="M781" s="17" t="s">
        <v>113</v>
      </c>
      <c r="N781" s="17" t="s">
        <v>116</v>
      </c>
      <c r="O781" s="21">
        <v>0</v>
      </c>
      <c r="P781" s="21">
        <v>0.26400000000000001</v>
      </c>
    </row>
    <row r="782" spans="1:16" ht="16.5" x14ac:dyDescent="0.25">
      <c r="A782" s="2"/>
      <c r="B782" s="4"/>
      <c r="C782" s="18"/>
      <c r="E782" s="20">
        <v>44762</v>
      </c>
      <c r="F782" s="17" t="s">
        <v>94</v>
      </c>
      <c r="G782" s="21">
        <v>3.77704</v>
      </c>
      <c r="H782" s="21">
        <v>6.1</v>
      </c>
      <c r="I782" s="25">
        <v>0.1380131147540983</v>
      </c>
      <c r="J782" s="21">
        <v>0.61</v>
      </c>
      <c r="K782" s="21">
        <v>7.2960000000000011E-2</v>
      </c>
      <c r="L782" s="21">
        <v>0.73199999999999998</v>
      </c>
      <c r="M782" s="17" t="s">
        <v>122</v>
      </c>
      <c r="N782" s="17" t="s">
        <v>117</v>
      </c>
      <c r="O782" s="21">
        <v>0</v>
      </c>
      <c r="P782" s="21">
        <v>0.87107999999999997</v>
      </c>
    </row>
    <row r="783" spans="1:16" ht="16.5" x14ac:dyDescent="0.25">
      <c r="A783" s="2"/>
      <c r="B783" s="4"/>
      <c r="C783" s="18"/>
      <c r="E783" s="20">
        <v>44762</v>
      </c>
      <c r="F783" s="17" t="s">
        <v>94</v>
      </c>
      <c r="G783" s="21">
        <v>3.77704</v>
      </c>
      <c r="H783" s="21">
        <v>5.9</v>
      </c>
      <c r="I783" s="25">
        <v>0.11702372881355931</v>
      </c>
      <c r="J783" s="21">
        <v>0.59000000000000008</v>
      </c>
      <c r="K783" s="21">
        <v>7.2960000000000011E-2</v>
      </c>
      <c r="L783" s="21">
        <v>0.70799999999999996</v>
      </c>
      <c r="M783" s="17" t="s">
        <v>121</v>
      </c>
      <c r="N783" s="17" t="s">
        <v>117</v>
      </c>
      <c r="O783" s="21">
        <v>0</v>
      </c>
      <c r="P783" s="21">
        <v>0.84252000000000016</v>
      </c>
    </row>
    <row r="784" spans="1:16" ht="16.5" x14ac:dyDescent="0.25">
      <c r="A784" s="2"/>
      <c r="B784" s="4"/>
      <c r="C784" s="18"/>
      <c r="E784" s="20">
        <v>44762</v>
      </c>
      <c r="F784" s="17" t="s">
        <v>94</v>
      </c>
      <c r="G784" s="21">
        <v>3.77704</v>
      </c>
      <c r="H784" s="21">
        <v>5.7</v>
      </c>
      <c r="I784" s="25">
        <v>9.4561403508771985E-2</v>
      </c>
      <c r="J784" s="21">
        <v>0.57000000000000006</v>
      </c>
      <c r="K784" s="21">
        <v>7.2960000000000011E-2</v>
      </c>
      <c r="L784" s="21">
        <v>0.68399999999999994</v>
      </c>
      <c r="M784" s="17" t="s">
        <v>120</v>
      </c>
      <c r="N784" s="17" t="s">
        <v>117</v>
      </c>
      <c r="O784" s="21">
        <v>0</v>
      </c>
      <c r="P784" s="21">
        <v>0.81396000000000013</v>
      </c>
    </row>
    <row r="785" spans="1:16" ht="16.5" x14ac:dyDescent="0.25">
      <c r="A785" s="2"/>
      <c r="B785" s="4"/>
      <c r="C785" s="18"/>
      <c r="E785" s="20">
        <v>44762</v>
      </c>
      <c r="F785" s="17" t="s">
        <v>94</v>
      </c>
      <c r="G785" s="21">
        <v>3.77704</v>
      </c>
      <c r="H785" s="21">
        <v>5.5</v>
      </c>
      <c r="I785" s="25">
        <v>7.0465454545454526E-2</v>
      </c>
      <c r="J785" s="21">
        <v>0.55000000000000004</v>
      </c>
      <c r="K785" s="21">
        <v>7.2960000000000011E-2</v>
      </c>
      <c r="L785" s="21">
        <v>0.65999999999999992</v>
      </c>
      <c r="M785" s="17" t="s">
        <v>113</v>
      </c>
      <c r="N785" s="17" t="s">
        <v>117</v>
      </c>
      <c r="O785" s="21">
        <v>0</v>
      </c>
      <c r="P785" s="21">
        <v>0.7854000000000001</v>
      </c>
    </row>
    <row r="786" spans="1:16" ht="16.5" x14ac:dyDescent="0.25">
      <c r="A786" s="2"/>
      <c r="B786" s="4"/>
      <c r="C786" s="18"/>
      <c r="E786" s="20">
        <v>44762</v>
      </c>
      <c r="F786" s="17" t="s">
        <v>95</v>
      </c>
      <c r="G786" s="21">
        <v>6.65</v>
      </c>
      <c r="H786" s="21">
        <v>8.9</v>
      </c>
      <c r="I786" s="25">
        <v>0.15280898876404492</v>
      </c>
      <c r="J786" s="21">
        <v>0.89000000000000012</v>
      </c>
      <c r="K786" s="21">
        <v>0.14464000000000002</v>
      </c>
      <c r="L786" s="21">
        <v>0</v>
      </c>
      <c r="M786" s="17" t="s">
        <v>122</v>
      </c>
      <c r="N786" s="17" t="s">
        <v>115</v>
      </c>
      <c r="O786" s="21">
        <v>0</v>
      </c>
      <c r="P786" s="21">
        <v>0</v>
      </c>
    </row>
    <row r="787" spans="1:16" ht="16.5" x14ac:dyDescent="0.25">
      <c r="A787" s="2"/>
      <c r="B787" s="4"/>
      <c r="C787" s="18"/>
      <c r="E787" s="20">
        <v>44762</v>
      </c>
      <c r="F787" s="17" t="s">
        <v>95</v>
      </c>
      <c r="G787" s="21">
        <v>6.65</v>
      </c>
      <c r="H787" s="21">
        <v>8.5</v>
      </c>
      <c r="I787" s="25">
        <v>0.11764705882352935</v>
      </c>
      <c r="J787" s="21">
        <v>0.85000000000000009</v>
      </c>
      <c r="K787" s="21">
        <v>0.14464000000000002</v>
      </c>
      <c r="L787" s="21">
        <v>0</v>
      </c>
      <c r="M787" s="17" t="s">
        <v>121</v>
      </c>
      <c r="N787" s="17" t="s">
        <v>115</v>
      </c>
      <c r="O787" s="21">
        <v>0</v>
      </c>
      <c r="P787" s="21">
        <v>0</v>
      </c>
    </row>
    <row r="788" spans="1:16" ht="16.5" x14ac:dyDescent="0.25">
      <c r="A788" s="2"/>
      <c r="B788" s="4"/>
      <c r="C788" s="18"/>
      <c r="E788" s="20">
        <v>44762</v>
      </c>
      <c r="F788" s="17" t="s">
        <v>95</v>
      </c>
      <c r="G788" s="21">
        <v>6.65</v>
      </c>
      <c r="H788" s="21">
        <v>8.1999999999999993</v>
      </c>
      <c r="I788" s="25">
        <v>8.9024390243902324E-2</v>
      </c>
      <c r="J788" s="21">
        <v>0.82</v>
      </c>
      <c r="K788" s="21">
        <v>0.14464000000000002</v>
      </c>
      <c r="L788" s="21">
        <v>0</v>
      </c>
      <c r="M788" s="17" t="s">
        <v>120</v>
      </c>
      <c r="N788" s="17" t="s">
        <v>115</v>
      </c>
      <c r="O788" s="21">
        <v>0</v>
      </c>
      <c r="P788" s="21">
        <v>0</v>
      </c>
    </row>
    <row r="789" spans="1:16" ht="16.5" x14ac:dyDescent="0.25">
      <c r="A789" s="2"/>
      <c r="B789" s="4"/>
      <c r="C789" s="18"/>
      <c r="E789" s="20">
        <v>44762</v>
      </c>
      <c r="F789" s="17" t="s">
        <v>95</v>
      </c>
      <c r="G789" s="21">
        <v>6.65</v>
      </c>
      <c r="H789" s="21">
        <v>8</v>
      </c>
      <c r="I789" s="25">
        <v>6.874999999999995E-2</v>
      </c>
      <c r="J789" s="21">
        <v>0.8</v>
      </c>
      <c r="K789" s="21">
        <v>0.14464000000000002</v>
      </c>
      <c r="L789" s="21">
        <v>0</v>
      </c>
      <c r="M789" s="17" t="s">
        <v>113</v>
      </c>
      <c r="N789" s="17" t="s">
        <v>115</v>
      </c>
      <c r="O789" s="21">
        <v>0</v>
      </c>
      <c r="P789" s="21">
        <v>0</v>
      </c>
    </row>
    <row r="790" spans="1:16" ht="16.5" x14ac:dyDescent="0.25">
      <c r="A790" s="2"/>
      <c r="B790" s="4"/>
      <c r="C790" s="18"/>
      <c r="E790" s="20">
        <v>44762</v>
      </c>
      <c r="F790" s="17" t="s">
        <v>95</v>
      </c>
      <c r="G790" s="21">
        <v>6.65</v>
      </c>
      <c r="H790" s="21">
        <v>9.5</v>
      </c>
      <c r="I790" s="25">
        <v>0.14499999999999985</v>
      </c>
      <c r="J790" s="21">
        <v>0.95000000000000007</v>
      </c>
      <c r="K790" s="21">
        <v>0</v>
      </c>
      <c r="L790" s="21">
        <v>0.52249999999999996</v>
      </c>
      <c r="M790" s="17" t="s">
        <v>122</v>
      </c>
      <c r="N790" s="17" t="s">
        <v>116</v>
      </c>
      <c r="O790" s="21">
        <v>0</v>
      </c>
      <c r="P790" s="21">
        <v>0.52249999999999996</v>
      </c>
    </row>
    <row r="791" spans="1:16" ht="16.5" x14ac:dyDescent="0.25">
      <c r="A791" s="2"/>
      <c r="B791" s="4"/>
      <c r="C791" s="18"/>
      <c r="E791" s="20">
        <v>44762</v>
      </c>
      <c r="F791" s="17" t="s">
        <v>95</v>
      </c>
      <c r="G791" s="21">
        <v>6.65</v>
      </c>
      <c r="H791" s="21">
        <v>9.1999999999999993</v>
      </c>
      <c r="I791" s="25">
        <v>0.12217391304347813</v>
      </c>
      <c r="J791" s="21">
        <v>0.91999999999999993</v>
      </c>
      <c r="K791" s="21">
        <v>0</v>
      </c>
      <c r="L791" s="21">
        <v>0.50600000000000001</v>
      </c>
      <c r="M791" s="17" t="s">
        <v>121</v>
      </c>
      <c r="N791" s="17" t="s">
        <v>116</v>
      </c>
      <c r="O791" s="21">
        <v>0</v>
      </c>
      <c r="P791" s="21">
        <v>0.50600000000000001</v>
      </c>
    </row>
    <row r="792" spans="1:16" ht="16.5" x14ac:dyDescent="0.25">
      <c r="A792" s="2"/>
      <c r="B792" s="4"/>
      <c r="C792" s="18"/>
      <c r="E792" s="20">
        <v>44762</v>
      </c>
      <c r="F792" s="17" t="s">
        <v>95</v>
      </c>
      <c r="G792" s="21">
        <v>6.65</v>
      </c>
      <c r="H792" s="21">
        <v>8.8000000000000007</v>
      </c>
      <c r="I792" s="25">
        <v>8.9318181818181838E-2</v>
      </c>
      <c r="J792" s="21">
        <v>0.88000000000000012</v>
      </c>
      <c r="K792" s="21">
        <v>0</v>
      </c>
      <c r="L792" s="21">
        <v>0.48400000000000004</v>
      </c>
      <c r="M792" s="17" t="s">
        <v>120</v>
      </c>
      <c r="N792" s="17" t="s">
        <v>116</v>
      </c>
      <c r="O792" s="21">
        <v>0</v>
      </c>
      <c r="P792" s="21">
        <v>0.48400000000000004</v>
      </c>
    </row>
    <row r="793" spans="1:16" ht="16.5" x14ac:dyDescent="0.25">
      <c r="A793" s="2"/>
      <c r="B793" s="4"/>
      <c r="C793" s="18"/>
      <c r="E793" s="20">
        <v>44762</v>
      </c>
      <c r="F793" s="17" t="s">
        <v>95</v>
      </c>
      <c r="G793" s="21">
        <v>6.65</v>
      </c>
      <c r="H793" s="21">
        <v>8.5</v>
      </c>
      <c r="I793" s="25">
        <v>6.2647058823529431E-2</v>
      </c>
      <c r="J793" s="21">
        <v>0.85000000000000009</v>
      </c>
      <c r="K793" s="21">
        <v>0</v>
      </c>
      <c r="L793" s="21">
        <v>0.46750000000000003</v>
      </c>
      <c r="M793" s="17" t="s">
        <v>113</v>
      </c>
      <c r="N793" s="17" t="s">
        <v>116</v>
      </c>
      <c r="O793" s="21">
        <v>0</v>
      </c>
      <c r="P793" s="21">
        <v>0.46750000000000003</v>
      </c>
    </row>
    <row r="794" spans="1:16" ht="16.5" x14ac:dyDescent="0.25">
      <c r="A794" s="2"/>
      <c r="B794" s="4"/>
      <c r="C794" s="18"/>
      <c r="E794" s="20">
        <v>44762</v>
      </c>
      <c r="F794" s="17" t="s">
        <v>95</v>
      </c>
      <c r="G794" s="21">
        <v>6.5053600000000005</v>
      </c>
      <c r="H794" s="21">
        <v>10.5</v>
      </c>
      <c r="I794" s="25">
        <v>0.13764190476190474</v>
      </c>
      <c r="J794" s="21">
        <v>1.05</v>
      </c>
      <c r="K794" s="21">
        <v>0.14464000000000002</v>
      </c>
      <c r="L794" s="21">
        <v>1.26</v>
      </c>
      <c r="M794" s="17" t="s">
        <v>122</v>
      </c>
      <c r="N794" s="17" t="s">
        <v>117</v>
      </c>
      <c r="O794" s="21">
        <v>0</v>
      </c>
      <c r="P794" s="21">
        <v>1.4994000000000001</v>
      </c>
    </row>
    <row r="795" spans="1:16" ht="16.5" x14ac:dyDescent="0.25">
      <c r="A795" s="2"/>
      <c r="B795" s="4"/>
      <c r="C795" s="18"/>
      <c r="E795" s="20">
        <v>44762</v>
      </c>
      <c r="F795" s="17" t="s">
        <v>95</v>
      </c>
      <c r="G795" s="21">
        <v>6.5053600000000005</v>
      </c>
      <c r="H795" s="21">
        <v>10.199999999999999</v>
      </c>
      <c r="I795" s="25">
        <v>0.11941960784313718</v>
      </c>
      <c r="J795" s="21">
        <v>1.02</v>
      </c>
      <c r="K795" s="21">
        <v>0.14464000000000002</v>
      </c>
      <c r="L795" s="21">
        <v>1.224</v>
      </c>
      <c r="M795" s="17" t="s">
        <v>121</v>
      </c>
      <c r="N795" s="17" t="s">
        <v>117</v>
      </c>
      <c r="O795" s="21">
        <v>0</v>
      </c>
      <c r="P795" s="21">
        <v>1.4565600000000001</v>
      </c>
    </row>
    <row r="796" spans="1:16" ht="16.5" x14ac:dyDescent="0.25">
      <c r="A796" s="2"/>
      <c r="B796" s="4"/>
      <c r="C796" s="18"/>
      <c r="E796" s="20">
        <v>44762</v>
      </c>
      <c r="F796" s="17" t="s">
        <v>95</v>
      </c>
      <c r="G796" s="21">
        <v>6.5053600000000005</v>
      </c>
      <c r="H796" s="21">
        <v>9.8000000000000007</v>
      </c>
      <c r="I796" s="25">
        <v>9.3387755102040795E-2</v>
      </c>
      <c r="J796" s="21">
        <v>0.98000000000000009</v>
      </c>
      <c r="K796" s="21">
        <v>0.14464000000000002</v>
      </c>
      <c r="L796" s="21">
        <v>1.1759999999999999</v>
      </c>
      <c r="M796" s="17" t="s">
        <v>120</v>
      </c>
      <c r="N796" s="17" t="s">
        <v>117</v>
      </c>
      <c r="O796" s="21">
        <v>0</v>
      </c>
      <c r="P796" s="21">
        <v>1.3994400000000002</v>
      </c>
    </row>
    <row r="797" spans="1:16" ht="16.5" x14ac:dyDescent="0.25">
      <c r="A797" s="2"/>
      <c r="B797" s="4"/>
      <c r="C797" s="18"/>
      <c r="E797" s="20">
        <v>44762</v>
      </c>
      <c r="F797" s="17" t="s">
        <v>95</v>
      </c>
      <c r="G797" s="21">
        <v>6.5053600000000005</v>
      </c>
      <c r="H797" s="21">
        <v>9.5</v>
      </c>
      <c r="I797" s="25">
        <v>7.2425263157894659E-2</v>
      </c>
      <c r="J797" s="21">
        <v>0.95000000000000007</v>
      </c>
      <c r="K797" s="21">
        <v>0.14464000000000002</v>
      </c>
      <c r="L797" s="21">
        <v>1.1399999999999999</v>
      </c>
      <c r="M797" s="17" t="s">
        <v>113</v>
      </c>
      <c r="N797" s="17" t="s">
        <v>117</v>
      </c>
      <c r="O797" s="21">
        <v>0</v>
      </c>
      <c r="P797" s="21">
        <v>1.3566</v>
      </c>
    </row>
    <row r="798" spans="1:16" ht="16.5" x14ac:dyDescent="0.25">
      <c r="A798" s="2"/>
      <c r="B798" s="4"/>
      <c r="C798" s="18"/>
      <c r="E798" s="20">
        <v>44762</v>
      </c>
      <c r="F798" s="17" t="s">
        <v>203</v>
      </c>
      <c r="G798" s="21">
        <v>13.146866587366182</v>
      </c>
      <c r="H798" s="21">
        <v>17</v>
      </c>
      <c r="I798" s="25">
        <v>0.1266549066255187</v>
      </c>
      <c r="J798" s="21">
        <v>1.7000000000000002</v>
      </c>
      <c r="K798" s="21">
        <v>0.28928000000000004</v>
      </c>
      <c r="L798" s="21">
        <v>0</v>
      </c>
      <c r="M798" s="17" t="s">
        <v>122</v>
      </c>
      <c r="N798" s="17" t="s">
        <v>115</v>
      </c>
      <c r="O798" s="21">
        <v>0</v>
      </c>
      <c r="P798" s="21">
        <v>0</v>
      </c>
    </row>
    <row r="799" spans="1:16" ht="16.5" x14ac:dyDescent="0.25">
      <c r="A799" s="2"/>
      <c r="B799" s="4"/>
      <c r="C799" s="18"/>
      <c r="E799" s="20">
        <v>44762</v>
      </c>
      <c r="F799" s="17" t="s">
        <v>203</v>
      </c>
      <c r="G799" s="21">
        <v>13.146866587366182</v>
      </c>
      <c r="H799" s="21">
        <v>16.5</v>
      </c>
      <c r="I799" s="25">
        <v>0.10322020682629202</v>
      </c>
      <c r="J799" s="21">
        <v>1.6500000000000001</v>
      </c>
      <c r="K799" s="21">
        <v>0.28928000000000004</v>
      </c>
      <c r="L799" s="21">
        <v>0</v>
      </c>
      <c r="M799" s="17" t="s">
        <v>121</v>
      </c>
      <c r="N799" s="17" t="s">
        <v>115</v>
      </c>
      <c r="O799" s="21">
        <v>0</v>
      </c>
      <c r="P799" s="21">
        <v>0</v>
      </c>
    </row>
    <row r="800" spans="1:16" ht="16.5" x14ac:dyDescent="0.25">
      <c r="A800" s="2"/>
      <c r="B800" s="4"/>
      <c r="C800" s="18"/>
      <c r="E800" s="20">
        <v>44762</v>
      </c>
      <c r="F800" s="17" t="s">
        <v>203</v>
      </c>
      <c r="G800" s="21">
        <v>13.146866587366182</v>
      </c>
      <c r="H800" s="21">
        <v>16</v>
      </c>
      <c r="I800" s="25">
        <v>7.8320838289613642E-2</v>
      </c>
      <c r="J800" s="21">
        <v>1.6</v>
      </c>
      <c r="K800" s="21">
        <v>0.28928000000000004</v>
      </c>
      <c r="L800" s="21">
        <v>0</v>
      </c>
      <c r="M800" s="17" t="s">
        <v>120</v>
      </c>
      <c r="N800" s="17" t="s">
        <v>115</v>
      </c>
      <c r="O800" s="21">
        <v>0</v>
      </c>
      <c r="P800" s="21">
        <v>0</v>
      </c>
    </row>
    <row r="801" spans="1:16" ht="16.5" x14ac:dyDescent="0.25">
      <c r="A801" s="2"/>
      <c r="B801" s="4"/>
      <c r="C801" s="18"/>
      <c r="E801" s="20">
        <v>44762</v>
      </c>
      <c r="F801" s="17" t="s">
        <v>203</v>
      </c>
      <c r="G801" s="21">
        <v>13.146866587366182</v>
      </c>
      <c r="H801" s="21">
        <v>15.5</v>
      </c>
      <c r="I801" s="25">
        <v>5.1815058879601181E-2</v>
      </c>
      <c r="J801" s="21">
        <v>1.55</v>
      </c>
      <c r="K801" s="21">
        <v>0.28928000000000004</v>
      </c>
      <c r="L801" s="21">
        <v>0</v>
      </c>
      <c r="M801" s="17" t="s">
        <v>113</v>
      </c>
      <c r="N801" s="17" t="s">
        <v>115</v>
      </c>
      <c r="O801" s="21">
        <v>0</v>
      </c>
      <c r="P801" s="21">
        <v>0</v>
      </c>
    </row>
    <row r="802" spans="1:16" ht="16.5" x14ac:dyDescent="0.25">
      <c r="A802" s="2"/>
      <c r="B802" s="4"/>
      <c r="C802" s="18"/>
      <c r="E802" s="20">
        <v>44762</v>
      </c>
      <c r="F802" s="17" t="s">
        <v>203</v>
      </c>
      <c r="G802" s="21">
        <v>13.146866587366182</v>
      </c>
      <c r="H802" s="21">
        <v>18</v>
      </c>
      <c r="I802" s="25">
        <v>0.11461852292410112</v>
      </c>
      <c r="J802" s="21">
        <v>1.8</v>
      </c>
      <c r="K802" s="21">
        <v>0</v>
      </c>
      <c r="L802" s="21">
        <v>0.99</v>
      </c>
      <c r="M802" s="17" t="s">
        <v>122</v>
      </c>
      <c r="N802" s="17" t="s">
        <v>116</v>
      </c>
      <c r="O802" s="21">
        <v>0</v>
      </c>
      <c r="P802" s="21">
        <v>0.99</v>
      </c>
    </row>
    <row r="803" spans="1:16" ht="16.5" x14ac:dyDescent="0.25">
      <c r="A803" s="2"/>
      <c r="B803" s="4"/>
      <c r="C803" s="18"/>
      <c r="E803" s="20">
        <v>44762</v>
      </c>
      <c r="F803" s="17" t="s">
        <v>203</v>
      </c>
      <c r="G803" s="21">
        <v>13.146866587366182</v>
      </c>
      <c r="H803" s="21">
        <v>17.5</v>
      </c>
      <c r="I803" s="25">
        <v>9.3750480721932553E-2</v>
      </c>
      <c r="J803" s="21">
        <v>1.75</v>
      </c>
      <c r="K803" s="21">
        <v>0</v>
      </c>
      <c r="L803" s="21">
        <v>0.96250000000000002</v>
      </c>
      <c r="M803" s="17" t="s">
        <v>121</v>
      </c>
      <c r="N803" s="17" t="s">
        <v>116</v>
      </c>
      <c r="O803" s="21">
        <v>0</v>
      </c>
      <c r="P803" s="21">
        <v>0.96250000000000002</v>
      </c>
    </row>
    <row r="804" spans="1:16" ht="16.5" x14ac:dyDescent="0.25">
      <c r="A804" s="2"/>
      <c r="B804" s="4"/>
      <c r="C804" s="18"/>
      <c r="E804" s="20">
        <v>44762</v>
      </c>
      <c r="F804" s="17" t="s">
        <v>203</v>
      </c>
      <c r="G804" s="21">
        <v>13.146866587366182</v>
      </c>
      <c r="H804" s="21">
        <v>17</v>
      </c>
      <c r="I804" s="25">
        <v>7.1654906625518794E-2</v>
      </c>
      <c r="J804" s="21">
        <v>1.7000000000000002</v>
      </c>
      <c r="K804" s="21">
        <v>0</v>
      </c>
      <c r="L804" s="21">
        <v>0.93500000000000005</v>
      </c>
      <c r="M804" s="17" t="s">
        <v>120</v>
      </c>
      <c r="N804" s="17" t="s">
        <v>116</v>
      </c>
      <c r="O804" s="21">
        <v>0</v>
      </c>
      <c r="P804" s="21">
        <v>0.93500000000000005</v>
      </c>
    </row>
    <row r="805" spans="1:16" ht="16.5" x14ac:dyDescent="0.25">
      <c r="A805" s="2"/>
      <c r="B805" s="4"/>
      <c r="C805" s="18"/>
      <c r="E805" s="20">
        <v>44762</v>
      </c>
      <c r="F805" s="17" t="s">
        <v>203</v>
      </c>
      <c r="G805" s="21">
        <v>13.146866587366182</v>
      </c>
      <c r="H805" s="21">
        <v>16.5</v>
      </c>
      <c r="I805" s="25">
        <v>4.8220206826291974E-2</v>
      </c>
      <c r="J805" s="21">
        <v>1.6500000000000001</v>
      </c>
      <c r="K805" s="21">
        <v>0</v>
      </c>
      <c r="L805" s="21">
        <v>0.90749999999999997</v>
      </c>
      <c r="M805" s="17" t="s">
        <v>113</v>
      </c>
      <c r="N805" s="17" t="s">
        <v>116</v>
      </c>
      <c r="O805" s="21">
        <v>0</v>
      </c>
      <c r="P805" s="21">
        <v>0.90749999999999997</v>
      </c>
    </row>
    <row r="806" spans="1:16" ht="16.5" x14ac:dyDescent="0.25">
      <c r="A806" s="2"/>
      <c r="B806" s="4"/>
      <c r="C806" s="18"/>
      <c r="E806" s="20">
        <v>44762</v>
      </c>
      <c r="F806" s="17" t="s">
        <v>203</v>
      </c>
      <c r="G806" s="21">
        <v>12.857586587366182</v>
      </c>
      <c r="H806" s="21">
        <v>20</v>
      </c>
      <c r="I806" s="25">
        <v>0.11432067063169082</v>
      </c>
      <c r="J806" s="21">
        <v>2</v>
      </c>
      <c r="K806" s="21">
        <v>0.28928000000000004</v>
      </c>
      <c r="L806" s="21">
        <v>2.4</v>
      </c>
      <c r="M806" s="17" t="s">
        <v>122</v>
      </c>
      <c r="N806" s="17" t="s">
        <v>117</v>
      </c>
      <c r="O806" s="21">
        <v>0</v>
      </c>
      <c r="P806" s="21">
        <v>2.8560000000000003</v>
      </c>
    </row>
    <row r="807" spans="1:16" ht="16.5" x14ac:dyDescent="0.25">
      <c r="A807" s="2"/>
      <c r="B807" s="4"/>
      <c r="C807" s="18"/>
      <c r="E807" s="20">
        <v>44762</v>
      </c>
      <c r="F807" s="17" t="s">
        <v>203</v>
      </c>
      <c r="G807" s="21">
        <v>12.857586587366182</v>
      </c>
      <c r="H807" s="21">
        <v>19.5</v>
      </c>
      <c r="I807" s="25">
        <v>9.7836585263272657E-2</v>
      </c>
      <c r="J807" s="21">
        <v>1.9500000000000002</v>
      </c>
      <c r="K807" s="21">
        <v>0.28928000000000004</v>
      </c>
      <c r="L807" s="21">
        <v>2.34</v>
      </c>
      <c r="M807" s="17" t="s">
        <v>121</v>
      </c>
      <c r="N807" s="17" t="s">
        <v>117</v>
      </c>
      <c r="O807" s="21">
        <v>0</v>
      </c>
      <c r="P807" s="21">
        <v>2.7846000000000002</v>
      </c>
    </row>
    <row r="808" spans="1:16" ht="16.5" x14ac:dyDescent="0.25">
      <c r="A808" s="2"/>
      <c r="B808" s="4"/>
      <c r="C808" s="18"/>
      <c r="E808" s="20">
        <v>44762</v>
      </c>
      <c r="F808" s="17" t="s">
        <v>203</v>
      </c>
      <c r="G808" s="21">
        <v>12.857586587366182</v>
      </c>
      <c r="H808" s="21">
        <v>19</v>
      </c>
      <c r="I808" s="25">
        <v>8.0484916454411443E-2</v>
      </c>
      <c r="J808" s="21">
        <v>1.9000000000000001</v>
      </c>
      <c r="K808" s="21">
        <v>0.28928000000000004</v>
      </c>
      <c r="L808" s="21">
        <v>2.2799999999999998</v>
      </c>
      <c r="M808" s="17" t="s">
        <v>120</v>
      </c>
      <c r="N808" s="17" t="s">
        <v>117</v>
      </c>
      <c r="O808" s="21">
        <v>0</v>
      </c>
      <c r="P808" s="21">
        <v>2.7132000000000001</v>
      </c>
    </row>
    <row r="809" spans="1:16" ht="16.5" x14ac:dyDescent="0.25">
      <c r="A809" s="2"/>
      <c r="B809" s="4"/>
      <c r="C809" s="18"/>
      <c r="E809" s="20">
        <v>44762</v>
      </c>
      <c r="F809" s="17" t="s">
        <v>203</v>
      </c>
      <c r="G809" s="21">
        <v>12.857586587366182</v>
      </c>
      <c r="H809" s="21">
        <v>18.5</v>
      </c>
      <c r="I809" s="25">
        <v>6.2195319601828003E-2</v>
      </c>
      <c r="J809" s="21">
        <v>1.85</v>
      </c>
      <c r="K809" s="21">
        <v>0.28928000000000004</v>
      </c>
      <c r="L809" s="21">
        <v>2.2199999999999998</v>
      </c>
      <c r="M809" s="17" t="s">
        <v>113</v>
      </c>
      <c r="N809" s="17" t="s">
        <v>117</v>
      </c>
      <c r="O809" s="21">
        <v>0</v>
      </c>
      <c r="P809" s="21">
        <v>2.6418000000000004</v>
      </c>
    </row>
    <row r="810" spans="1:16" ht="16.5" x14ac:dyDescent="0.25">
      <c r="A810" s="2"/>
      <c r="B810" s="4"/>
      <c r="C810" s="18"/>
      <c r="E810" s="20">
        <v>44726</v>
      </c>
      <c r="F810" s="17" t="s">
        <v>94</v>
      </c>
      <c r="G810" s="21">
        <v>2.9221599999999999</v>
      </c>
      <c r="H810" s="21">
        <v>5.6</v>
      </c>
      <c r="I810" s="25">
        <v>0.18538571428571421</v>
      </c>
      <c r="J810" s="21">
        <v>0.55999999999999994</v>
      </c>
      <c r="K810" s="21">
        <v>6.7839999999999998E-2</v>
      </c>
      <c r="L810" s="21">
        <v>0.67199999999999993</v>
      </c>
      <c r="M810" s="17" t="s">
        <v>122</v>
      </c>
      <c r="N810" s="17" t="s">
        <v>117</v>
      </c>
      <c r="O810" s="21">
        <v>0.27999999999999997</v>
      </c>
      <c r="P810" s="21">
        <v>0.79968000000000006</v>
      </c>
    </row>
    <row r="811" spans="1:16" ht="16.5" x14ac:dyDescent="0.25">
      <c r="A811" s="2"/>
      <c r="B811" s="4"/>
      <c r="C811" s="18"/>
      <c r="E811" s="20">
        <v>44726</v>
      </c>
      <c r="F811" s="17" t="s">
        <v>94</v>
      </c>
      <c r="G811" s="21">
        <v>2.9221599999999999</v>
      </c>
      <c r="H811" s="21">
        <v>5.4</v>
      </c>
      <c r="I811" s="25">
        <v>0.16605925925925935</v>
      </c>
      <c r="J811" s="21">
        <v>0.54</v>
      </c>
      <c r="K811" s="21">
        <v>6.7839999999999998E-2</v>
      </c>
      <c r="L811" s="21">
        <v>0.64800000000000002</v>
      </c>
      <c r="M811" s="17" t="s">
        <v>121</v>
      </c>
      <c r="N811" s="17" t="s">
        <v>117</v>
      </c>
      <c r="O811" s="21">
        <v>0.27</v>
      </c>
      <c r="P811" s="21">
        <v>0.77112000000000014</v>
      </c>
    </row>
    <row r="812" spans="1:16" ht="16.5" x14ac:dyDescent="0.25">
      <c r="A812" s="2"/>
      <c r="B812" s="4"/>
      <c r="C812" s="18"/>
      <c r="E812" s="20">
        <v>44726</v>
      </c>
      <c r="F812" s="17" t="s">
        <v>94</v>
      </c>
      <c r="G812" s="21">
        <v>2.9221599999999999</v>
      </c>
      <c r="H812" s="21">
        <v>5.2</v>
      </c>
      <c r="I812" s="25">
        <v>0.14524615384615389</v>
      </c>
      <c r="J812" s="21">
        <v>0.52</v>
      </c>
      <c r="K812" s="21">
        <v>6.7839999999999998E-2</v>
      </c>
      <c r="L812" s="21">
        <v>0.624</v>
      </c>
      <c r="M812" s="17" t="s">
        <v>120</v>
      </c>
      <c r="N812" s="17" t="s">
        <v>117</v>
      </c>
      <c r="O812" s="21">
        <v>0.26</v>
      </c>
      <c r="P812" s="21">
        <v>0.74256000000000011</v>
      </c>
    </row>
    <row r="813" spans="1:16" ht="16.5" x14ac:dyDescent="0.25">
      <c r="A813" s="2"/>
      <c r="B813" s="4"/>
      <c r="C813" s="18"/>
      <c r="E813" s="20">
        <v>44726</v>
      </c>
      <c r="F813" s="17" t="s">
        <v>94</v>
      </c>
      <c r="G813" s="21">
        <v>2.9221599999999999</v>
      </c>
      <c r="H813" s="21">
        <v>5</v>
      </c>
      <c r="I813" s="25">
        <v>0.12276799999999995</v>
      </c>
      <c r="J813" s="21">
        <v>0.5</v>
      </c>
      <c r="K813" s="21">
        <v>6.7839999999999998E-2</v>
      </c>
      <c r="L813" s="21">
        <v>0.6</v>
      </c>
      <c r="M813" s="17" t="s">
        <v>113</v>
      </c>
      <c r="N813" s="17" t="s">
        <v>117</v>
      </c>
      <c r="O813" s="21">
        <v>0.25</v>
      </c>
      <c r="P813" s="21">
        <v>0.71400000000000008</v>
      </c>
    </row>
    <row r="814" spans="1:16" ht="16.5" x14ac:dyDescent="0.25">
      <c r="A814" s="2"/>
      <c r="B814" s="4"/>
      <c r="C814" s="18"/>
      <c r="E814" s="20">
        <v>44726</v>
      </c>
      <c r="F814" s="17" t="s">
        <v>94</v>
      </c>
      <c r="G814" s="21">
        <v>2.9221599999999999</v>
      </c>
      <c r="H814" s="21">
        <v>5</v>
      </c>
      <c r="I814" s="25">
        <v>0.21056799999999995</v>
      </c>
      <c r="J814" s="21">
        <v>0.5</v>
      </c>
      <c r="K814" s="21">
        <v>6.7839999999999998E-2</v>
      </c>
      <c r="L814" s="21">
        <v>0.27500000000000002</v>
      </c>
      <c r="M814" s="17" t="s">
        <v>122</v>
      </c>
      <c r="N814" s="17" t="s">
        <v>116</v>
      </c>
      <c r="O814" s="21">
        <v>0.25</v>
      </c>
      <c r="P814" s="21">
        <v>0.27500000000000002</v>
      </c>
    </row>
    <row r="815" spans="1:16" ht="16.5" x14ac:dyDescent="0.25">
      <c r="A815" s="2"/>
      <c r="B815" s="4"/>
      <c r="C815" s="18"/>
      <c r="E815" s="20">
        <v>44726</v>
      </c>
      <c r="F815" s="17" t="s">
        <v>94</v>
      </c>
      <c r="G815" s="21">
        <v>2.9221599999999999</v>
      </c>
      <c r="H815" s="21">
        <v>4.7</v>
      </c>
      <c r="I815" s="25">
        <v>0.17326382978723415</v>
      </c>
      <c r="J815" s="21">
        <v>0.47000000000000003</v>
      </c>
      <c r="K815" s="21">
        <v>6.7839999999999998E-2</v>
      </c>
      <c r="L815" s="21">
        <v>0.25850000000000001</v>
      </c>
      <c r="M815" s="17" t="s">
        <v>121</v>
      </c>
      <c r="N815" s="17" t="s">
        <v>116</v>
      </c>
      <c r="O815" s="21">
        <v>0.23500000000000001</v>
      </c>
      <c r="P815" s="21">
        <v>0.25850000000000001</v>
      </c>
    </row>
    <row r="816" spans="1:16" ht="16.5" x14ac:dyDescent="0.25">
      <c r="A816" s="2"/>
      <c r="B816" s="4"/>
      <c r="C816" s="18"/>
      <c r="E816" s="20">
        <v>44726</v>
      </c>
      <c r="F816" s="17" t="s">
        <v>94</v>
      </c>
      <c r="G816" s="21">
        <v>2.9221599999999999</v>
      </c>
      <c r="H816" s="21">
        <v>4.5</v>
      </c>
      <c r="I816" s="25">
        <v>0.14563111111111121</v>
      </c>
      <c r="J816" s="21">
        <v>0.45</v>
      </c>
      <c r="K816" s="21">
        <v>6.7839999999999998E-2</v>
      </c>
      <c r="L816" s="21">
        <v>0.2475</v>
      </c>
      <c r="M816" s="17" t="s">
        <v>120</v>
      </c>
      <c r="N816" s="17" t="s">
        <v>116</v>
      </c>
      <c r="O816" s="21">
        <v>0.22500000000000001</v>
      </c>
      <c r="P816" s="21">
        <v>0.2475</v>
      </c>
    </row>
    <row r="817" spans="1:16" ht="16.5" x14ac:dyDescent="0.25">
      <c r="A817" s="2"/>
      <c r="B817" s="4"/>
      <c r="C817" s="18"/>
      <c r="E817" s="20">
        <v>44726</v>
      </c>
      <c r="F817" s="17" t="s">
        <v>94</v>
      </c>
      <c r="G817" s="21">
        <v>2.9221599999999999</v>
      </c>
      <c r="H817" s="21">
        <v>4.3</v>
      </c>
      <c r="I817" s="25">
        <v>0.1154279069767441</v>
      </c>
      <c r="J817" s="21">
        <v>0.43</v>
      </c>
      <c r="K817" s="21">
        <v>6.7839999999999998E-2</v>
      </c>
      <c r="L817" s="21">
        <v>0.23649999999999999</v>
      </c>
      <c r="M817" s="17" t="s">
        <v>113</v>
      </c>
      <c r="N817" s="17" t="s">
        <v>116</v>
      </c>
      <c r="O817" s="21">
        <v>0.215</v>
      </c>
      <c r="P817" s="21">
        <v>0.23649999999999999</v>
      </c>
    </row>
    <row r="818" spans="1:16" ht="16.5" x14ac:dyDescent="0.25">
      <c r="A818" s="2"/>
      <c r="B818" s="4"/>
      <c r="C818" s="18"/>
      <c r="E818" s="20">
        <v>44726</v>
      </c>
      <c r="F818" s="17" t="s">
        <v>94</v>
      </c>
      <c r="G818" s="21">
        <v>2.9899999999999998</v>
      </c>
      <c r="H818" s="21">
        <v>4.7</v>
      </c>
      <c r="I818" s="25">
        <v>0.21382978723404261</v>
      </c>
      <c r="J818" s="21">
        <v>0.47000000000000003</v>
      </c>
      <c r="K818" s="21">
        <v>6.7839999999999998E-2</v>
      </c>
      <c r="L818" s="21">
        <v>0</v>
      </c>
      <c r="M818" s="17" t="s">
        <v>122</v>
      </c>
      <c r="N818" s="17" t="s">
        <v>115</v>
      </c>
      <c r="O818" s="21">
        <v>0.23500000000000001</v>
      </c>
      <c r="P818" s="21">
        <v>0</v>
      </c>
    </row>
    <row r="819" spans="1:16" ht="16.5" x14ac:dyDescent="0.25">
      <c r="A819" s="2"/>
      <c r="B819" s="4"/>
      <c r="C819" s="18"/>
      <c r="E819" s="20">
        <v>44726</v>
      </c>
      <c r="F819" s="17" t="s">
        <v>94</v>
      </c>
      <c r="G819" s="21">
        <v>2.9899999999999998</v>
      </c>
      <c r="H819" s="21">
        <v>4.5</v>
      </c>
      <c r="I819" s="25">
        <v>0.18555555555555558</v>
      </c>
      <c r="J819" s="21">
        <v>0.45</v>
      </c>
      <c r="K819" s="21">
        <v>6.7839999999999998E-2</v>
      </c>
      <c r="L819" s="21">
        <v>0</v>
      </c>
      <c r="M819" s="17" t="s">
        <v>121</v>
      </c>
      <c r="N819" s="17" t="s">
        <v>115</v>
      </c>
      <c r="O819" s="21">
        <v>0.22500000000000001</v>
      </c>
      <c r="P819" s="21">
        <v>0</v>
      </c>
    </row>
    <row r="820" spans="1:16" ht="16.5" x14ac:dyDescent="0.25">
      <c r="A820" s="2"/>
      <c r="B820" s="4"/>
      <c r="C820" s="18"/>
      <c r="E820" s="20">
        <v>44726</v>
      </c>
      <c r="F820" s="17" t="s">
        <v>94</v>
      </c>
      <c r="G820" s="21">
        <v>2.9899999999999998</v>
      </c>
      <c r="H820" s="21">
        <v>4.2</v>
      </c>
      <c r="I820" s="25">
        <v>0.13809523809523819</v>
      </c>
      <c r="J820" s="21">
        <v>0.42000000000000004</v>
      </c>
      <c r="K820" s="21">
        <v>6.7839999999999998E-2</v>
      </c>
      <c r="L820" s="21">
        <v>0</v>
      </c>
      <c r="M820" s="17" t="s">
        <v>120</v>
      </c>
      <c r="N820" s="17" t="s">
        <v>115</v>
      </c>
      <c r="O820" s="21">
        <v>0.21000000000000002</v>
      </c>
      <c r="P820" s="21">
        <v>0</v>
      </c>
    </row>
    <row r="821" spans="1:16" ht="16.5" x14ac:dyDescent="0.25">
      <c r="A821" s="2"/>
      <c r="B821" s="4"/>
      <c r="C821" s="18"/>
      <c r="E821" s="20">
        <v>44726</v>
      </c>
      <c r="F821" s="17" t="s">
        <v>94</v>
      </c>
      <c r="G821" s="21">
        <v>2.9899999999999998</v>
      </c>
      <c r="H821" s="21">
        <v>4</v>
      </c>
      <c r="I821" s="25">
        <v>0.10250000000000006</v>
      </c>
      <c r="J821" s="21">
        <v>0.4</v>
      </c>
      <c r="K821" s="21">
        <v>6.7839999999999998E-2</v>
      </c>
      <c r="L821" s="21">
        <v>0</v>
      </c>
      <c r="M821" s="17" t="s">
        <v>113</v>
      </c>
      <c r="N821" s="17" t="s">
        <v>115</v>
      </c>
      <c r="O821" s="21">
        <v>0.2</v>
      </c>
      <c r="P821" s="21">
        <v>0</v>
      </c>
    </row>
    <row r="822" spans="1:16" ht="16.5" x14ac:dyDescent="0.25">
      <c r="A822" s="2"/>
      <c r="B822" s="4"/>
      <c r="C822" s="18"/>
      <c r="E822" s="20">
        <v>44726</v>
      </c>
      <c r="F822" s="17" t="s">
        <v>94</v>
      </c>
      <c r="G822" s="21">
        <v>2.9899999999999998</v>
      </c>
      <c r="H822" s="21">
        <v>4.2</v>
      </c>
      <c r="I822" s="25">
        <v>0.13809523809523819</v>
      </c>
      <c r="J822" s="21">
        <v>0.42000000000000004</v>
      </c>
      <c r="K822" s="21">
        <v>6.7839999999999998E-2</v>
      </c>
      <c r="L822" s="21">
        <v>0</v>
      </c>
      <c r="M822" s="17" t="s">
        <v>113</v>
      </c>
      <c r="N822" s="17" t="s">
        <v>115</v>
      </c>
      <c r="O822" s="21">
        <v>0.21000000000000002</v>
      </c>
      <c r="P822" s="21">
        <v>0</v>
      </c>
    </row>
    <row r="823" spans="1:16" ht="16.5" x14ac:dyDescent="0.25">
      <c r="A823" s="2"/>
      <c r="B823" s="4"/>
      <c r="C823" s="18"/>
      <c r="E823" s="20">
        <v>44726</v>
      </c>
      <c r="F823" s="17" t="s">
        <v>94</v>
      </c>
      <c r="G823" s="21">
        <v>2.9899999999999998</v>
      </c>
      <c r="H823" s="21">
        <v>4</v>
      </c>
      <c r="I823" s="25">
        <v>0.10250000000000006</v>
      </c>
      <c r="J823" s="21">
        <v>0.4</v>
      </c>
      <c r="K823" s="21">
        <v>6.7839999999999998E-2</v>
      </c>
      <c r="L823" s="21">
        <v>0</v>
      </c>
      <c r="M823" s="17" t="s">
        <v>113</v>
      </c>
      <c r="N823" s="17" t="s">
        <v>115</v>
      </c>
      <c r="O823" s="21">
        <v>0.2</v>
      </c>
      <c r="P823" s="21">
        <v>0</v>
      </c>
    </row>
    <row r="824" spans="1:16" ht="16.5" x14ac:dyDescent="0.25">
      <c r="A824" s="2"/>
      <c r="B824" s="4"/>
      <c r="C824" s="18"/>
      <c r="E824" s="20">
        <v>44726</v>
      </c>
      <c r="F824" s="17" t="s">
        <v>95</v>
      </c>
      <c r="G824" s="21">
        <v>5.4555999999999996</v>
      </c>
      <c r="H824" s="21">
        <v>9.8000000000000007</v>
      </c>
      <c r="I824" s="25">
        <v>0.15050612244897965</v>
      </c>
      <c r="J824" s="21">
        <v>0.98000000000000009</v>
      </c>
      <c r="K824" s="21">
        <v>0.13440000000000002</v>
      </c>
      <c r="L824" s="21">
        <v>1.1759999999999999</v>
      </c>
      <c r="M824" s="17" t="s">
        <v>122</v>
      </c>
      <c r="N824" s="17" t="s">
        <v>117</v>
      </c>
      <c r="O824" s="21">
        <v>0.49000000000000005</v>
      </c>
      <c r="P824" s="21">
        <v>1.3994400000000002</v>
      </c>
    </row>
    <row r="825" spans="1:16" ht="16.5" x14ac:dyDescent="0.25">
      <c r="A825" s="2"/>
      <c r="B825" s="4"/>
      <c r="C825" s="18"/>
      <c r="E825" s="20">
        <v>44726</v>
      </c>
      <c r="F825" s="17" t="s">
        <v>95</v>
      </c>
      <c r="G825" s="21">
        <v>5.4555999999999996</v>
      </c>
      <c r="H825" s="21">
        <v>9.5</v>
      </c>
      <c r="I825" s="25">
        <v>0.13292631578947367</v>
      </c>
      <c r="J825" s="21">
        <v>0.95000000000000007</v>
      </c>
      <c r="K825" s="21">
        <v>0.13440000000000002</v>
      </c>
      <c r="L825" s="21">
        <v>1.1399999999999999</v>
      </c>
      <c r="M825" s="17" t="s">
        <v>121</v>
      </c>
      <c r="N825" s="17" t="s">
        <v>117</v>
      </c>
      <c r="O825" s="21">
        <v>0.47500000000000003</v>
      </c>
      <c r="P825" s="21">
        <v>1.3566</v>
      </c>
    </row>
    <row r="826" spans="1:16" ht="16.5" x14ac:dyDescent="0.25">
      <c r="A826" s="2"/>
      <c r="B826" s="4"/>
      <c r="C826" s="18"/>
      <c r="E826" s="20">
        <v>44726</v>
      </c>
      <c r="F826" s="17" t="s">
        <v>95</v>
      </c>
      <c r="G826" s="21">
        <v>5.4555999999999996</v>
      </c>
      <c r="H826" s="21">
        <v>9.3000000000000007</v>
      </c>
      <c r="I826" s="25">
        <v>0.12057634408602165</v>
      </c>
      <c r="J826" s="21">
        <v>0.93000000000000016</v>
      </c>
      <c r="K826" s="21">
        <v>0.13440000000000002</v>
      </c>
      <c r="L826" s="21">
        <v>1.1160000000000001</v>
      </c>
      <c r="M826" s="17" t="s">
        <v>120</v>
      </c>
      <c r="N826" s="17" t="s">
        <v>117</v>
      </c>
      <c r="O826" s="21">
        <v>0.46500000000000008</v>
      </c>
      <c r="P826" s="21">
        <v>1.3280400000000001</v>
      </c>
    </row>
    <row r="827" spans="1:16" ht="16.5" x14ac:dyDescent="0.25">
      <c r="A827" s="2"/>
      <c r="B827" s="4"/>
      <c r="C827" s="18"/>
      <c r="E827" s="20">
        <v>44726</v>
      </c>
      <c r="F827" s="17" t="s">
        <v>95</v>
      </c>
      <c r="G827" s="21">
        <v>5.4555999999999996</v>
      </c>
      <c r="H827" s="21">
        <v>8.9</v>
      </c>
      <c r="I827" s="25">
        <v>9.4211235955056219E-2</v>
      </c>
      <c r="J827" s="21">
        <v>0.89000000000000012</v>
      </c>
      <c r="K827" s="21">
        <v>0.13440000000000002</v>
      </c>
      <c r="L827" s="21">
        <v>1.0680000000000001</v>
      </c>
      <c r="M827" s="17" t="s">
        <v>113</v>
      </c>
      <c r="N827" s="17" t="s">
        <v>117</v>
      </c>
      <c r="O827" s="21">
        <v>0.44500000000000006</v>
      </c>
      <c r="P827" s="21">
        <v>1.27092</v>
      </c>
    </row>
    <row r="828" spans="1:16" ht="16.5" x14ac:dyDescent="0.25">
      <c r="A828" s="2"/>
      <c r="B828" s="4"/>
      <c r="C828" s="18"/>
      <c r="E828" s="20">
        <v>44726</v>
      </c>
      <c r="F828" s="17" t="s">
        <v>95</v>
      </c>
      <c r="G828" s="21">
        <v>5.4555999999999996</v>
      </c>
      <c r="H828" s="21">
        <v>8.8000000000000007</v>
      </c>
      <c r="I828" s="25">
        <v>0.17504545454545464</v>
      </c>
      <c r="J828" s="21">
        <v>0.88000000000000012</v>
      </c>
      <c r="K828" s="21">
        <v>0.13440000000000002</v>
      </c>
      <c r="L828" s="21">
        <v>0.48400000000000004</v>
      </c>
      <c r="M828" s="17" t="s">
        <v>122</v>
      </c>
      <c r="N828" s="17" t="s">
        <v>116</v>
      </c>
      <c r="O828" s="21">
        <v>0.44000000000000006</v>
      </c>
      <c r="P828" s="21">
        <v>0.48400000000000004</v>
      </c>
    </row>
    <row r="829" spans="1:16" ht="16.5" x14ac:dyDescent="0.25">
      <c r="A829" s="2"/>
      <c r="B829" s="4"/>
      <c r="C829" s="18"/>
      <c r="E829" s="20">
        <v>44726</v>
      </c>
      <c r="F829" s="17" t="s">
        <v>95</v>
      </c>
      <c r="G829" s="21">
        <v>5.4555999999999996</v>
      </c>
      <c r="H829" s="21">
        <v>8.5</v>
      </c>
      <c r="I829" s="25">
        <v>0.15316470588235309</v>
      </c>
      <c r="J829" s="21">
        <v>0.85000000000000009</v>
      </c>
      <c r="K829" s="21">
        <v>0.13440000000000002</v>
      </c>
      <c r="L829" s="21">
        <v>0.46750000000000003</v>
      </c>
      <c r="M829" s="17" t="s">
        <v>121</v>
      </c>
      <c r="N829" s="17" t="s">
        <v>116</v>
      </c>
      <c r="O829" s="21">
        <v>0.42500000000000004</v>
      </c>
      <c r="P829" s="21">
        <v>0.46750000000000003</v>
      </c>
    </row>
    <row r="830" spans="1:16" ht="16.5" x14ac:dyDescent="0.25">
      <c r="A830" s="2"/>
      <c r="B830" s="4"/>
      <c r="C830" s="18"/>
      <c r="E830" s="20">
        <v>44726</v>
      </c>
      <c r="F830" s="17" t="s">
        <v>95</v>
      </c>
      <c r="G830" s="21">
        <v>5.4555999999999996</v>
      </c>
      <c r="H830" s="21">
        <v>8.1999999999999993</v>
      </c>
      <c r="I830" s="25">
        <v>0.12968292682926832</v>
      </c>
      <c r="J830" s="21">
        <v>0.82</v>
      </c>
      <c r="K830" s="21">
        <v>0.13440000000000002</v>
      </c>
      <c r="L830" s="21">
        <v>0.45099999999999996</v>
      </c>
      <c r="M830" s="17" t="s">
        <v>120</v>
      </c>
      <c r="N830" s="17" t="s">
        <v>116</v>
      </c>
      <c r="O830" s="21">
        <v>0.41</v>
      </c>
      <c r="P830" s="21">
        <v>0.45099999999999996</v>
      </c>
    </row>
    <row r="831" spans="1:16" ht="16.5" x14ac:dyDescent="0.25">
      <c r="A831" s="2"/>
      <c r="B831" s="4"/>
      <c r="C831" s="18"/>
      <c r="E831" s="20">
        <v>44726</v>
      </c>
      <c r="F831" s="17" t="s">
        <v>95</v>
      </c>
      <c r="G831" s="21">
        <v>5.4555999999999996</v>
      </c>
      <c r="H831" s="21">
        <v>8</v>
      </c>
      <c r="I831" s="25">
        <v>0.11305000000000001</v>
      </c>
      <c r="J831" s="21">
        <v>0.8</v>
      </c>
      <c r="K831" s="21">
        <v>0.13440000000000002</v>
      </c>
      <c r="L831" s="21">
        <v>0.44</v>
      </c>
      <c r="M831" s="17" t="s">
        <v>113</v>
      </c>
      <c r="N831" s="17" t="s">
        <v>116</v>
      </c>
      <c r="O831" s="21">
        <v>0.4</v>
      </c>
      <c r="P831" s="21">
        <v>0.44</v>
      </c>
    </row>
    <row r="832" spans="1:16" ht="16.5" x14ac:dyDescent="0.25">
      <c r="A832" s="2"/>
      <c r="B832" s="4"/>
      <c r="C832" s="18"/>
      <c r="E832" s="20">
        <v>44726</v>
      </c>
      <c r="F832" s="17" t="s">
        <v>95</v>
      </c>
      <c r="G832" s="21">
        <v>5.59</v>
      </c>
      <c r="H832" s="21">
        <v>8.1999999999999993</v>
      </c>
      <c r="I832" s="25">
        <v>0.16829268292682922</v>
      </c>
      <c r="J832" s="21">
        <v>0.82</v>
      </c>
      <c r="K832" s="21">
        <v>0.13440000000000002</v>
      </c>
      <c r="L832" s="21">
        <v>0</v>
      </c>
      <c r="M832" s="17" t="s">
        <v>122</v>
      </c>
      <c r="N832" s="17" t="s">
        <v>115</v>
      </c>
      <c r="O832" s="21">
        <v>0.41</v>
      </c>
      <c r="P832" s="21">
        <v>0</v>
      </c>
    </row>
    <row r="833" spans="1:16" ht="16.5" x14ac:dyDescent="0.25">
      <c r="A833" s="2"/>
      <c r="B833" s="4"/>
      <c r="C833" s="18"/>
      <c r="E833" s="20">
        <v>44726</v>
      </c>
      <c r="F833" s="17" t="s">
        <v>95</v>
      </c>
      <c r="G833" s="21">
        <v>5.59</v>
      </c>
      <c r="H833" s="21">
        <v>8</v>
      </c>
      <c r="I833" s="25">
        <v>0.15125000000000002</v>
      </c>
      <c r="J833" s="21">
        <v>0.8</v>
      </c>
      <c r="K833" s="21">
        <v>0.13440000000000002</v>
      </c>
      <c r="L833" s="21">
        <v>0</v>
      </c>
      <c r="M833" s="17" t="s">
        <v>121</v>
      </c>
      <c r="N833" s="17" t="s">
        <v>115</v>
      </c>
      <c r="O833" s="21">
        <v>0.4</v>
      </c>
      <c r="P833" s="21">
        <v>0</v>
      </c>
    </row>
    <row r="834" spans="1:16" ht="16.5" x14ac:dyDescent="0.25">
      <c r="A834" s="2"/>
      <c r="B834" s="4"/>
      <c r="C834" s="18"/>
      <c r="E834" s="20">
        <v>44726</v>
      </c>
      <c r="F834" s="17" t="s">
        <v>95</v>
      </c>
      <c r="G834" s="21">
        <v>5.59</v>
      </c>
      <c r="H834" s="21">
        <v>7.8</v>
      </c>
      <c r="I834" s="25">
        <v>0.1333333333333333</v>
      </c>
      <c r="J834" s="21">
        <v>0.78</v>
      </c>
      <c r="K834" s="21">
        <v>0.13440000000000002</v>
      </c>
      <c r="L834" s="21">
        <v>0</v>
      </c>
      <c r="M834" s="17" t="s">
        <v>120</v>
      </c>
      <c r="N834" s="17" t="s">
        <v>115</v>
      </c>
      <c r="O834" s="21">
        <v>0.39</v>
      </c>
      <c r="P834" s="21">
        <v>0</v>
      </c>
    </row>
    <row r="835" spans="1:16" ht="16.5" x14ac:dyDescent="0.25">
      <c r="A835" s="2"/>
      <c r="B835" s="4"/>
      <c r="C835" s="18"/>
      <c r="E835" s="20">
        <v>44726</v>
      </c>
      <c r="F835" s="17" t="s">
        <v>95</v>
      </c>
      <c r="G835" s="21">
        <v>5.59</v>
      </c>
      <c r="H835" s="21">
        <v>7.5</v>
      </c>
      <c r="I835" s="25">
        <v>0.10466666666666669</v>
      </c>
      <c r="J835" s="21">
        <v>0.75</v>
      </c>
      <c r="K835" s="21">
        <v>0.13440000000000002</v>
      </c>
      <c r="L835" s="21">
        <v>0</v>
      </c>
      <c r="M835" s="17" t="s">
        <v>113</v>
      </c>
      <c r="N835" s="17" t="s">
        <v>115</v>
      </c>
      <c r="O835" s="21">
        <v>0.375</v>
      </c>
      <c r="P835" s="21">
        <v>0</v>
      </c>
    </row>
    <row r="836" spans="1:16" ht="16.5" x14ac:dyDescent="0.25">
      <c r="A836" s="2"/>
      <c r="B836" s="4"/>
      <c r="C836" s="18"/>
      <c r="E836" s="20">
        <v>44726</v>
      </c>
      <c r="F836" s="17" t="s">
        <v>96</v>
      </c>
      <c r="G836" s="21">
        <v>10.84</v>
      </c>
      <c r="H836" s="21">
        <v>15.5</v>
      </c>
      <c r="I836" s="25">
        <v>0.15064516129032257</v>
      </c>
      <c r="J836" s="21">
        <v>1.55</v>
      </c>
      <c r="K836" s="21">
        <v>0.26880000000000004</v>
      </c>
      <c r="L836" s="21">
        <v>0</v>
      </c>
      <c r="M836" s="17" t="s">
        <v>122</v>
      </c>
      <c r="N836" s="17" t="s">
        <v>115</v>
      </c>
      <c r="O836" s="21">
        <v>0.77500000000000002</v>
      </c>
      <c r="P836" s="21">
        <v>0</v>
      </c>
    </row>
    <row r="837" spans="1:16" ht="16.5" x14ac:dyDescent="0.25">
      <c r="A837" s="2"/>
      <c r="B837" s="4"/>
      <c r="C837" s="18"/>
      <c r="E837" s="20">
        <v>44726</v>
      </c>
      <c r="F837" s="17" t="s">
        <v>96</v>
      </c>
      <c r="G837" s="21">
        <v>10.84</v>
      </c>
      <c r="H837" s="21">
        <v>15</v>
      </c>
      <c r="I837" s="25">
        <v>0.12733333333333335</v>
      </c>
      <c r="J837" s="21">
        <v>1.5</v>
      </c>
      <c r="K837" s="21">
        <v>0.26880000000000004</v>
      </c>
      <c r="L837" s="21">
        <v>0</v>
      </c>
      <c r="M837" s="17" t="s">
        <v>121</v>
      </c>
      <c r="N837" s="17" t="s">
        <v>115</v>
      </c>
      <c r="O837" s="21">
        <v>0.75</v>
      </c>
      <c r="P837" s="21">
        <v>0</v>
      </c>
    </row>
    <row r="838" spans="1:16" ht="16.5" x14ac:dyDescent="0.25">
      <c r="A838" s="2"/>
      <c r="B838" s="4"/>
      <c r="C838" s="18"/>
      <c r="E838" s="20">
        <v>44726</v>
      </c>
      <c r="F838" s="17" t="s">
        <v>96</v>
      </c>
      <c r="G838" s="21">
        <v>10.84</v>
      </c>
      <c r="H838" s="21">
        <v>14.5</v>
      </c>
      <c r="I838" s="25">
        <v>0.10241379310344827</v>
      </c>
      <c r="J838" s="21">
        <v>1.4500000000000002</v>
      </c>
      <c r="K838" s="21">
        <v>0.26880000000000004</v>
      </c>
      <c r="L838" s="21">
        <v>0</v>
      </c>
      <c r="M838" s="17" t="s">
        <v>120</v>
      </c>
      <c r="N838" s="17" t="s">
        <v>115</v>
      </c>
      <c r="O838" s="21">
        <v>0.72500000000000009</v>
      </c>
      <c r="P838" s="21">
        <v>0</v>
      </c>
    </row>
    <row r="839" spans="1:16" ht="16.5" x14ac:dyDescent="0.25">
      <c r="A839" s="2"/>
      <c r="B839" s="4"/>
      <c r="C839" s="18"/>
      <c r="E839" s="20">
        <v>44726</v>
      </c>
      <c r="F839" s="17" t="s">
        <v>96</v>
      </c>
      <c r="G839" s="21">
        <v>10.84</v>
      </c>
      <c r="H839" s="21">
        <v>14</v>
      </c>
      <c r="I839" s="25">
        <v>7.5714285714285706E-2</v>
      </c>
      <c r="J839" s="21">
        <v>1.4000000000000001</v>
      </c>
      <c r="K839" s="21">
        <v>0.26880000000000004</v>
      </c>
      <c r="L839" s="21">
        <v>0</v>
      </c>
      <c r="M839" s="17" t="s">
        <v>113</v>
      </c>
      <c r="N839" s="17" t="s">
        <v>115</v>
      </c>
      <c r="O839" s="21">
        <v>0.70000000000000007</v>
      </c>
      <c r="P839" s="21">
        <v>0</v>
      </c>
    </row>
    <row r="840" spans="1:16" ht="16.5" x14ac:dyDescent="0.25">
      <c r="A840" s="2"/>
      <c r="B840" s="4"/>
      <c r="C840" s="18"/>
      <c r="E840" s="20">
        <v>44726</v>
      </c>
      <c r="F840" s="17" t="s">
        <v>96</v>
      </c>
      <c r="G840" s="21">
        <v>10.571199999999999</v>
      </c>
      <c r="H840" s="21">
        <v>16.5</v>
      </c>
      <c r="I840" s="25">
        <v>0.15432121212121208</v>
      </c>
      <c r="J840" s="21">
        <v>1.6500000000000001</v>
      </c>
      <c r="K840" s="21">
        <v>0.26880000000000004</v>
      </c>
      <c r="L840" s="21">
        <v>0.90749999999999997</v>
      </c>
      <c r="M840" s="17" t="s">
        <v>122</v>
      </c>
      <c r="N840" s="17" t="s">
        <v>116</v>
      </c>
      <c r="O840" s="21">
        <v>0.82500000000000007</v>
      </c>
      <c r="P840" s="21">
        <v>0.90749999999999997</v>
      </c>
    </row>
    <row r="841" spans="1:16" ht="16.5" x14ac:dyDescent="0.25">
      <c r="A841" s="2"/>
      <c r="B841" s="4"/>
      <c r="C841" s="18"/>
      <c r="E841" s="20">
        <v>44726</v>
      </c>
      <c r="F841" s="17" t="s">
        <v>96</v>
      </c>
      <c r="G841" s="21">
        <v>10.571199999999999</v>
      </c>
      <c r="H841" s="21">
        <v>16</v>
      </c>
      <c r="I841" s="25">
        <v>0.1343</v>
      </c>
      <c r="J841" s="21">
        <v>1.6</v>
      </c>
      <c r="K841" s="21">
        <v>0.26880000000000004</v>
      </c>
      <c r="L841" s="21">
        <v>0.88</v>
      </c>
      <c r="M841" s="17" t="s">
        <v>121</v>
      </c>
      <c r="N841" s="17" t="s">
        <v>116</v>
      </c>
      <c r="O841" s="21">
        <v>0.8</v>
      </c>
      <c r="P841" s="21">
        <v>0.88</v>
      </c>
    </row>
    <row r="842" spans="1:16" ht="16.5" x14ac:dyDescent="0.25">
      <c r="A842" s="2"/>
      <c r="B842" s="4"/>
      <c r="C842" s="18"/>
      <c r="E842" s="20">
        <v>44726</v>
      </c>
      <c r="F842" s="17" t="s">
        <v>96</v>
      </c>
      <c r="G842" s="21">
        <v>10.571199999999999</v>
      </c>
      <c r="H842" s="21">
        <v>15.5</v>
      </c>
      <c r="I842" s="25">
        <v>0.11298709677419365</v>
      </c>
      <c r="J842" s="21">
        <v>1.55</v>
      </c>
      <c r="K842" s="21">
        <v>0.26880000000000004</v>
      </c>
      <c r="L842" s="21">
        <v>0.85250000000000004</v>
      </c>
      <c r="M842" s="17" t="s">
        <v>120</v>
      </c>
      <c r="N842" s="17" t="s">
        <v>116</v>
      </c>
      <c r="O842" s="21">
        <v>0.77500000000000002</v>
      </c>
      <c r="P842" s="21">
        <v>0.85250000000000004</v>
      </c>
    </row>
    <row r="843" spans="1:16" ht="16.5" x14ac:dyDescent="0.25">
      <c r="A843" s="2"/>
      <c r="B843" s="4"/>
      <c r="C843" s="18"/>
      <c r="E843" s="20">
        <v>44726</v>
      </c>
      <c r="F843" s="17" t="s">
        <v>96</v>
      </c>
      <c r="G843" s="21">
        <v>10.571199999999999</v>
      </c>
      <c r="H843" s="21">
        <v>15</v>
      </c>
      <c r="I843" s="25">
        <v>9.0253333333333435E-2</v>
      </c>
      <c r="J843" s="21">
        <v>1.5</v>
      </c>
      <c r="K843" s="21">
        <v>0.26880000000000004</v>
      </c>
      <c r="L843" s="21">
        <v>0.82499999999999996</v>
      </c>
      <c r="M843" s="17" t="s">
        <v>113</v>
      </c>
      <c r="N843" s="17" t="s">
        <v>116</v>
      </c>
      <c r="O843" s="21">
        <v>0.75</v>
      </c>
      <c r="P843" s="21">
        <v>0.82499999999999996</v>
      </c>
    </row>
    <row r="844" spans="1:16" ht="16.5" x14ac:dyDescent="0.25">
      <c r="A844" s="2"/>
      <c r="B844" s="4"/>
      <c r="C844" s="18"/>
      <c r="E844" s="20">
        <v>44726</v>
      </c>
      <c r="F844" s="17" t="s">
        <v>96</v>
      </c>
      <c r="G844" s="21">
        <v>10.571199999999999</v>
      </c>
      <c r="H844" s="21">
        <v>15</v>
      </c>
      <c r="I844" s="25">
        <v>9.0253333333333435E-2</v>
      </c>
      <c r="J844" s="21">
        <v>1.5</v>
      </c>
      <c r="K844" s="21">
        <v>0.26880000000000004</v>
      </c>
      <c r="L844" s="21">
        <v>0.82499999999999996</v>
      </c>
      <c r="M844" s="17" t="s">
        <v>122</v>
      </c>
      <c r="N844" s="17" t="s">
        <v>116</v>
      </c>
      <c r="O844" s="21">
        <v>0.75</v>
      </c>
      <c r="P844" s="21">
        <v>0.82499999999999996</v>
      </c>
    </row>
    <row r="845" spans="1:16" ht="16.5" x14ac:dyDescent="0.25">
      <c r="A845" s="2"/>
      <c r="B845" s="4"/>
      <c r="C845" s="18"/>
      <c r="E845" s="20">
        <v>44726</v>
      </c>
      <c r="F845" s="17" t="s">
        <v>96</v>
      </c>
      <c r="G845" s="21">
        <v>10.571199999999999</v>
      </c>
      <c r="H845" s="21">
        <v>18.5</v>
      </c>
      <c r="I845" s="25">
        <v>0.13578378378378383</v>
      </c>
      <c r="J845" s="21">
        <v>1.85</v>
      </c>
      <c r="K845" s="21">
        <v>0.26880000000000004</v>
      </c>
      <c r="L845" s="21">
        <v>2.2199999999999998</v>
      </c>
      <c r="M845" s="17" t="s">
        <v>122</v>
      </c>
      <c r="N845" s="17" t="s">
        <v>117</v>
      </c>
      <c r="O845" s="21">
        <v>0.92500000000000004</v>
      </c>
      <c r="P845" s="21">
        <v>2.6418000000000004</v>
      </c>
    </row>
    <row r="846" spans="1:16" ht="16.5" x14ac:dyDescent="0.25">
      <c r="A846" s="2"/>
      <c r="B846" s="4"/>
      <c r="C846" s="18"/>
      <c r="E846" s="20">
        <v>44726</v>
      </c>
      <c r="F846" s="17" t="s">
        <v>96</v>
      </c>
      <c r="G846" s="21">
        <v>10.571199999999999</v>
      </c>
      <c r="H846" s="21">
        <v>18</v>
      </c>
      <c r="I846" s="25">
        <v>0.11991111111111118</v>
      </c>
      <c r="J846" s="21">
        <v>1.8</v>
      </c>
      <c r="K846" s="21">
        <v>0.26880000000000004</v>
      </c>
      <c r="L846" s="21">
        <v>2.16</v>
      </c>
      <c r="M846" s="17" t="s">
        <v>121</v>
      </c>
      <c r="N846" s="17" t="s">
        <v>117</v>
      </c>
      <c r="O846" s="21">
        <v>0.9</v>
      </c>
      <c r="P846" s="21">
        <v>2.5704000000000002</v>
      </c>
    </row>
    <row r="847" spans="1:16" ht="16.5" x14ac:dyDescent="0.25">
      <c r="A847" s="2"/>
      <c r="B847" s="4"/>
      <c r="C847" s="18"/>
      <c r="E847" s="20">
        <v>44726</v>
      </c>
      <c r="F847" s="17" t="s">
        <v>96</v>
      </c>
      <c r="G847" s="21">
        <v>10.571199999999999</v>
      </c>
      <c r="H847" s="21">
        <v>17.5</v>
      </c>
      <c r="I847" s="25">
        <v>0.10313142857142858</v>
      </c>
      <c r="J847" s="21">
        <v>1.75</v>
      </c>
      <c r="K847" s="21">
        <v>0.26880000000000004</v>
      </c>
      <c r="L847" s="21">
        <v>2.1</v>
      </c>
      <c r="M847" s="17" t="s">
        <v>120</v>
      </c>
      <c r="N847" s="17" t="s">
        <v>117</v>
      </c>
      <c r="O847" s="21">
        <v>0.875</v>
      </c>
      <c r="P847" s="21">
        <v>2.4990000000000001</v>
      </c>
    </row>
    <row r="848" spans="1:16" ht="16.5" x14ac:dyDescent="0.25">
      <c r="A848" s="2"/>
      <c r="B848" s="4"/>
      <c r="C848" s="18"/>
      <c r="E848" s="20">
        <v>44726</v>
      </c>
      <c r="F848" s="17" t="s">
        <v>96</v>
      </c>
      <c r="G848" s="21">
        <v>10.571199999999999</v>
      </c>
      <c r="H848" s="21">
        <v>17</v>
      </c>
      <c r="I848" s="25">
        <v>8.5364705882352968E-2</v>
      </c>
      <c r="J848" s="21">
        <v>1.7000000000000002</v>
      </c>
      <c r="K848" s="21">
        <v>0.26880000000000004</v>
      </c>
      <c r="L848" s="21">
        <v>2.04</v>
      </c>
      <c r="M848" s="17" t="s">
        <v>113</v>
      </c>
      <c r="N848" s="17" t="s">
        <v>117</v>
      </c>
      <c r="O848" s="21">
        <v>0.85000000000000009</v>
      </c>
      <c r="P848" s="21">
        <v>2.4276</v>
      </c>
    </row>
    <row r="849" spans="1:16" ht="16.5" x14ac:dyDescent="0.25">
      <c r="A849" s="2"/>
      <c r="B849" s="4"/>
      <c r="C849" s="18"/>
      <c r="E849" s="20">
        <v>44707</v>
      </c>
      <c r="F849" s="17" t="s">
        <v>92</v>
      </c>
      <c r="G849" s="21">
        <v>6.61625</v>
      </c>
      <c r="H849" s="21">
        <v>14.9</v>
      </c>
      <c r="I849" s="25">
        <v>0.22665637583892612</v>
      </c>
      <c r="J849" s="21">
        <v>1.4900000000000002</v>
      </c>
      <c r="K849" s="21">
        <v>8.3750000000000005E-2</v>
      </c>
      <c r="L849" s="21">
        <v>1.788</v>
      </c>
      <c r="M849" s="17" t="s">
        <v>122</v>
      </c>
      <c r="N849" s="17" t="s">
        <v>117</v>
      </c>
      <c r="O849" s="21">
        <v>0.74500000000000011</v>
      </c>
      <c r="P849" s="21">
        <v>2.6715700000000004</v>
      </c>
    </row>
    <row r="850" spans="1:16" ht="16.5" x14ac:dyDescent="0.25">
      <c r="A850" s="2"/>
      <c r="B850" s="4"/>
      <c r="C850" s="18"/>
      <c r="E850" s="20">
        <v>44707</v>
      </c>
      <c r="F850" s="17" t="s">
        <v>92</v>
      </c>
      <c r="G850" s="21">
        <v>6.61625</v>
      </c>
      <c r="H850" s="21">
        <v>13.9</v>
      </c>
      <c r="I850" s="25">
        <v>0.1947107913669065</v>
      </c>
      <c r="J850" s="21">
        <v>1.3900000000000001</v>
      </c>
      <c r="K850" s="21">
        <v>8.3750000000000005E-2</v>
      </c>
      <c r="L850" s="21">
        <v>1.6679999999999999</v>
      </c>
      <c r="M850" s="17" t="s">
        <v>121</v>
      </c>
      <c r="N850" s="17" t="s">
        <v>117</v>
      </c>
      <c r="O850" s="21">
        <v>0.69500000000000006</v>
      </c>
      <c r="P850" s="21">
        <v>2.4922700000000004</v>
      </c>
    </row>
    <row r="851" spans="1:16" ht="16.5" x14ac:dyDescent="0.25">
      <c r="A851" s="2"/>
      <c r="B851" s="4"/>
      <c r="C851" s="18"/>
      <c r="E851" s="20">
        <v>44707</v>
      </c>
      <c r="F851" s="17" t="s">
        <v>92</v>
      </c>
      <c r="G851" s="21">
        <v>6.61625</v>
      </c>
      <c r="H851" s="21">
        <v>12.9</v>
      </c>
      <c r="I851" s="25">
        <v>0.15781240310077521</v>
      </c>
      <c r="J851" s="21">
        <v>1.29</v>
      </c>
      <c r="K851" s="21">
        <v>8.3750000000000005E-2</v>
      </c>
      <c r="L851" s="21">
        <v>1.548</v>
      </c>
      <c r="M851" s="17" t="s">
        <v>120</v>
      </c>
      <c r="N851" s="17" t="s">
        <v>117</v>
      </c>
      <c r="O851" s="21">
        <v>0.64500000000000002</v>
      </c>
      <c r="P851" s="21">
        <v>2.3129700000000004</v>
      </c>
    </row>
    <row r="852" spans="1:16" ht="16.5" x14ac:dyDescent="0.25">
      <c r="A852" s="2"/>
      <c r="B852" s="4"/>
      <c r="C852" s="18"/>
      <c r="E852" s="20">
        <v>44707</v>
      </c>
      <c r="F852" s="17" t="s">
        <v>92</v>
      </c>
      <c r="G852" s="21">
        <v>6.61625</v>
      </c>
      <c r="H852" s="21">
        <v>11.9</v>
      </c>
      <c r="I852" s="25">
        <v>0.11471260504201677</v>
      </c>
      <c r="J852" s="21">
        <v>1.1900000000000002</v>
      </c>
      <c r="K852" s="21">
        <v>8.3750000000000005E-2</v>
      </c>
      <c r="L852" s="21">
        <v>1.4279999999999999</v>
      </c>
      <c r="M852" s="17" t="s">
        <v>113</v>
      </c>
      <c r="N852" s="17" t="s">
        <v>117</v>
      </c>
      <c r="O852" s="21">
        <v>0.59500000000000008</v>
      </c>
      <c r="P852" s="21">
        <v>2.1336700000000004</v>
      </c>
    </row>
    <row r="853" spans="1:16" ht="16.5" x14ac:dyDescent="0.25">
      <c r="A853" s="2"/>
      <c r="B853" s="4"/>
      <c r="C853" s="18"/>
      <c r="E853" s="20">
        <v>44707</v>
      </c>
      <c r="F853" s="17" t="s">
        <v>92</v>
      </c>
      <c r="G853" s="21">
        <v>6.61625</v>
      </c>
      <c r="H853" s="21">
        <v>11.5</v>
      </c>
      <c r="I853" s="25">
        <v>0.21967391304347819</v>
      </c>
      <c r="J853" s="21">
        <v>1.1500000000000001</v>
      </c>
      <c r="K853" s="21">
        <v>8.3750000000000005E-2</v>
      </c>
      <c r="L853" s="21">
        <v>0.63249999999999995</v>
      </c>
      <c r="M853" s="17" t="s">
        <v>122</v>
      </c>
      <c r="N853" s="17" t="s">
        <v>116</v>
      </c>
      <c r="O853" s="21">
        <v>0.57500000000000007</v>
      </c>
      <c r="P853" s="21">
        <v>0.63249999999999995</v>
      </c>
    </row>
    <row r="854" spans="1:16" ht="16.5" x14ac:dyDescent="0.25">
      <c r="A854" s="2"/>
      <c r="B854" s="4"/>
      <c r="C854" s="18"/>
      <c r="E854" s="20">
        <v>44707</v>
      </c>
      <c r="F854" s="17" t="s">
        <v>92</v>
      </c>
      <c r="G854" s="21">
        <v>6.61625</v>
      </c>
      <c r="H854" s="21">
        <v>11</v>
      </c>
      <c r="I854" s="25">
        <v>0.19352272727272724</v>
      </c>
      <c r="J854" s="21">
        <v>1.1000000000000001</v>
      </c>
      <c r="K854" s="21">
        <v>8.3750000000000005E-2</v>
      </c>
      <c r="L854" s="21">
        <v>0.60499999999999998</v>
      </c>
      <c r="M854" s="17" t="s">
        <v>121</v>
      </c>
      <c r="N854" s="17" t="s">
        <v>116</v>
      </c>
      <c r="O854" s="21">
        <v>0.55000000000000004</v>
      </c>
      <c r="P854" s="21">
        <v>0.60499999999999998</v>
      </c>
    </row>
    <row r="855" spans="1:16" ht="16.5" x14ac:dyDescent="0.25">
      <c r="A855" s="2"/>
      <c r="B855" s="4"/>
      <c r="C855" s="18"/>
      <c r="E855" s="20">
        <v>44707</v>
      </c>
      <c r="F855" s="17" t="s">
        <v>92</v>
      </c>
      <c r="G855" s="21">
        <v>6.61625</v>
      </c>
      <c r="H855" s="21">
        <v>10.5</v>
      </c>
      <c r="I855" s="25">
        <v>0.16488095238095232</v>
      </c>
      <c r="J855" s="21">
        <v>1.05</v>
      </c>
      <c r="K855" s="21">
        <v>8.3750000000000005E-2</v>
      </c>
      <c r="L855" s="21">
        <v>0.57750000000000001</v>
      </c>
      <c r="M855" s="17" t="s">
        <v>120</v>
      </c>
      <c r="N855" s="17" t="s">
        <v>116</v>
      </c>
      <c r="O855" s="21">
        <v>0.52500000000000002</v>
      </c>
      <c r="P855" s="21">
        <v>0.57750000000000001</v>
      </c>
    </row>
    <row r="856" spans="1:16" ht="16.5" x14ac:dyDescent="0.25">
      <c r="A856" s="2"/>
      <c r="B856" s="4"/>
      <c r="C856" s="18"/>
      <c r="E856" s="20">
        <v>44707</v>
      </c>
      <c r="F856" s="17" t="s">
        <v>92</v>
      </c>
      <c r="G856" s="21">
        <v>6.61625</v>
      </c>
      <c r="H856" s="21">
        <v>10</v>
      </c>
      <c r="I856" s="25">
        <v>0.13337499999999994</v>
      </c>
      <c r="J856" s="21">
        <v>1</v>
      </c>
      <c r="K856" s="21">
        <v>8.3750000000000005E-2</v>
      </c>
      <c r="L856" s="21">
        <v>0.55000000000000004</v>
      </c>
      <c r="M856" s="17" t="s">
        <v>113</v>
      </c>
      <c r="N856" s="17" t="s">
        <v>116</v>
      </c>
      <c r="O856" s="21">
        <v>0.5</v>
      </c>
      <c r="P856" s="21">
        <v>0.55000000000000004</v>
      </c>
    </row>
    <row r="857" spans="1:16" ht="16.5" x14ac:dyDescent="0.25">
      <c r="A857" s="2"/>
      <c r="B857" s="4"/>
      <c r="C857" s="18"/>
      <c r="E857" s="20">
        <v>44707</v>
      </c>
      <c r="F857" s="17" t="s">
        <v>92</v>
      </c>
      <c r="G857" s="21">
        <v>6.7</v>
      </c>
      <c r="H857" s="21">
        <v>10.5</v>
      </c>
      <c r="I857" s="25">
        <v>0.21190476190476187</v>
      </c>
      <c r="J857" s="21">
        <v>1.05</v>
      </c>
      <c r="K857" s="21">
        <v>8.3750000000000005E-2</v>
      </c>
      <c r="L857" s="21">
        <v>0</v>
      </c>
      <c r="M857" s="17" t="s">
        <v>122</v>
      </c>
      <c r="N857" s="17" t="s">
        <v>115</v>
      </c>
      <c r="O857" s="21">
        <v>0.52500000000000002</v>
      </c>
      <c r="P857" s="21">
        <v>0</v>
      </c>
    </row>
    <row r="858" spans="1:16" ht="16.5" x14ac:dyDescent="0.25">
      <c r="A858" s="2"/>
      <c r="B858" s="4"/>
      <c r="C858" s="18"/>
      <c r="E858" s="20">
        <v>44707</v>
      </c>
      <c r="F858" s="17" t="s">
        <v>92</v>
      </c>
      <c r="G858" s="21">
        <v>6.7</v>
      </c>
      <c r="H858" s="21">
        <v>10</v>
      </c>
      <c r="I858" s="25">
        <v>0.18</v>
      </c>
      <c r="J858" s="21">
        <v>1</v>
      </c>
      <c r="K858" s="21">
        <v>8.3750000000000005E-2</v>
      </c>
      <c r="L858" s="21">
        <v>0</v>
      </c>
      <c r="M858" s="17" t="s">
        <v>121</v>
      </c>
      <c r="N858" s="17" t="s">
        <v>115</v>
      </c>
      <c r="O858" s="21">
        <v>0.5</v>
      </c>
      <c r="P858" s="21">
        <v>0</v>
      </c>
    </row>
    <row r="859" spans="1:16" ht="16.5" x14ac:dyDescent="0.25">
      <c r="A859" s="2"/>
      <c r="B859" s="4"/>
      <c r="C859" s="18"/>
      <c r="E859" s="20">
        <v>44707</v>
      </c>
      <c r="F859" s="17" t="s">
        <v>92</v>
      </c>
      <c r="G859" s="21">
        <v>6.7</v>
      </c>
      <c r="H859" s="21">
        <v>9.5</v>
      </c>
      <c r="I859" s="25">
        <v>0.14473684210526311</v>
      </c>
      <c r="J859" s="21">
        <v>0.95000000000000007</v>
      </c>
      <c r="K859" s="21">
        <v>8.3750000000000005E-2</v>
      </c>
      <c r="L859" s="21">
        <v>0</v>
      </c>
      <c r="M859" s="17" t="s">
        <v>120</v>
      </c>
      <c r="N859" s="17" t="s">
        <v>115</v>
      </c>
      <c r="O859" s="21">
        <v>0.47500000000000003</v>
      </c>
      <c r="P859" s="21">
        <v>0</v>
      </c>
    </row>
    <row r="860" spans="1:16" ht="16.5" x14ac:dyDescent="0.25">
      <c r="A860" s="2"/>
      <c r="B860" s="4"/>
      <c r="C860" s="18"/>
      <c r="E860" s="20">
        <v>44707</v>
      </c>
      <c r="F860" s="17" t="s">
        <v>92</v>
      </c>
      <c r="G860" s="21">
        <v>6.7</v>
      </c>
      <c r="H860" s="21">
        <v>9</v>
      </c>
      <c r="I860" s="25">
        <v>0.10555555555555554</v>
      </c>
      <c r="J860" s="21">
        <v>0.9</v>
      </c>
      <c r="K860" s="21">
        <v>8.3750000000000005E-2</v>
      </c>
      <c r="L860" s="21">
        <v>0</v>
      </c>
      <c r="M860" s="17" t="s">
        <v>113</v>
      </c>
      <c r="N860" s="17" t="s">
        <v>115</v>
      </c>
      <c r="O860" s="21">
        <v>0.45</v>
      </c>
      <c r="P860" s="21">
        <v>0</v>
      </c>
    </row>
    <row r="861" spans="1:16" ht="16.5" x14ac:dyDescent="0.25">
      <c r="A861" s="2"/>
      <c r="B861" s="4"/>
      <c r="C861" s="18"/>
      <c r="E861" s="20">
        <v>44707</v>
      </c>
      <c r="F861" s="17" t="s">
        <v>92</v>
      </c>
      <c r="G861" s="21">
        <v>6.7</v>
      </c>
      <c r="H861" s="21">
        <v>9</v>
      </c>
      <c r="I861" s="25">
        <v>0.10555555555555554</v>
      </c>
      <c r="J861" s="21">
        <v>0.9</v>
      </c>
      <c r="K861" s="21">
        <v>8.3750000000000005E-2</v>
      </c>
      <c r="L861" s="21">
        <v>0</v>
      </c>
      <c r="M861" s="17" t="s">
        <v>113</v>
      </c>
      <c r="N861" s="17" t="s">
        <v>115</v>
      </c>
      <c r="O861" s="21">
        <v>0.45</v>
      </c>
      <c r="P861" s="21">
        <v>0</v>
      </c>
    </row>
    <row r="862" spans="1:16" ht="16.5" x14ac:dyDescent="0.25">
      <c r="A862" s="2"/>
      <c r="B862" s="4"/>
      <c r="C862" s="18"/>
      <c r="E862" s="20">
        <v>44707</v>
      </c>
      <c r="F862" s="17" t="s">
        <v>93</v>
      </c>
      <c r="G862" s="21">
        <v>11.2</v>
      </c>
      <c r="H862" s="21">
        <v>18.5</v>
      </c>
      <c r="I862" s="25">
        <v>0.24459459459459462</v>
      </c>
      <c r="J862" s="21">
        <v>1.85</v>
      </c>
      <c r="K862" s="21">
        <v>0.13999999999999999</v>
      </c>
      <c r="L862" s="21">
        <v>0</v>
      </c>
      <c r="M862" s="17" t="s">
        <v>122</v>
      </c>
      <c r="N862" s="17" t="s">
        <v>115</v>
      </c>
      <c r="O862" s="21">
        <v>0.92500000000000004</v>
      </c>
      <c r="P862" s="21">
        <v>0</v>
      </c>
    </row>
    <row r="863" spans="1:16" ht="16.5" x14ac:dyDescent="0.25">
      <c r="A863" s="2"/>
      <c r="B863" s="4"/>
      <c r="C863" s="18"/>
      <c r="E863" s="20">
        <v>44707</v>
      </c>
      <c r="F863" s="17" t="s">
        <v>93</v>
      </c>
      <c r="G863" s="21">
        <v>11.2</v>
      </c>
      <c r="H863" s="21">
        <v>17.5</v>
      </c>
      <c r="I863" s="25">
        <v>0.21000000000000005</v>
      </c>
      <c r="J863" s="21">
        <v>1.75</v>
      </c>
      <c r="K863" s="21">
        <v>0.13999999999999999</v>
      </c>
      <c r="L863" s="21">
        <v>0</v>
      </c>
      <c r="M863" s="17" t="s">
        <v>121</v>
      </c>
      <c r="N863" s="17" t="s">
        <v>115</v>
      </c>
      <c r="O863" s="21">
        <v>0.875</v>
      </c>
      <c r="P863" s="21">
        <v>0</v>
      </c>
    </row>
    <row r="864" spans="1:16" ht="16.5" x14ac:dyDescent="0.25">
      <c r="A864" s="2"/>
      <c r="B864" s="4"/>
      <c r="C864" s="18"/>
      <c r="E864" s="20">
        <v>44707</v>
      </c>
      <c r="F864" s="17" t="s">
        <v>93</v>
      </c>
      <c r="G864" s="21">
        <v>11.2</v>
      </c>
      <c r="H864" s="21">
        <v>16.5</v>
      </c>
      <c r="I864" s="25">
        <v>0.17121212121212123</v>
      </c>
      <c r="J864" s="21">
        <v>1.6500000000000001</v>
      </c>
      <c r="K864" s="21">
        <v>0.13999999999999999</v>
      </c>
      <c r="L864" s="21">
        <v>0</v>
      </c>
      <c r="M864" s="17" t="s">
        <v>120</v>
      </c>
      <c r="N864" s="17" t="s">
        <v>115</v>
      </c>
      <c r="O864" s="21">
        <v>0.82500000000000007</v>
      </c>
      <c r="P864" s="21">
        <v>0</v>
      </c>
    </row>
    <row r="865" spans="1:16" ht="16.5" x14ac:dyDescent="0.25">
      <c r="A865" s="2"/>
      <c r="B865" s="4"/>
      <c r="C865" s="18"/>
      <c r="E865" s="20">
        <v>44707</v>
      </c>
      <c r="F865" s="17" t="s">
        <v>93</v>
      </c>
      <c r="G865" s="21">
        <v>11.2</v>
      </c>
      <c r="H865" s="21">
        <v>15.5</v>
      </c>
      <c r="I865" s="25">
        <v>0.12741935483870973</v>
      </c>
      <c r="J865" s="21">
        <v>1.55</v>
      </c>
      <c r="K865" s="21">
        <v>0.13999999999999999</v>
      </c>
      <c r="L865" s="21">
        <v>0</v>
      </c>
      <c r="M865" s="17" t="s">
        <v>113</v>
      </c>
      <c r="N865" s="17" t="s">
        <v>115</v>
      </c>
      <c r="O865" s="21">
        <v>0.77500000000000002</v>
      </c>
      <c r="P865" s="21">
        <v>0</v>
      </c>
    </row>
    <row r="866" spans="1:16" ht="16.5" x14ac:dyDescent="0.25">
      <c r="A866" s="2"/>
      <c r="B866" s="4"/>
      <c r="C866" s="18"/>
      <c r="E866" s="20">
        <v>44707</v>
      </c>
      <c r="F866" s="17" t="s">
        <v>93</v>
      </c>
      <c r="G866" s="21">
        <v>11.059999999999999</v>
      </c>
      <c r="H866" s="21">
        <v>19.5</v>
      </c>
      <c r="I866" s="25">
        <v>0.22782051282051283</v>
      </c>
      <c r="J866" s="21">
        <v>1.9500000000000002</v>
      </c>
      <c r="K866" s="21">
        <v>0.13999999999999999</v>
      </c>
      <c r="L866" s="21">
        <v>1.0725</v>
      </c>
      <c r="M866" s="17" t="s">
        <v>122</v>
      </c>
      <c r="N866" s="17" t="s">
        <v>116</v>
      </c>
      <c r="O866" s="21">
        <v>0.97500000000000009</v>
      </c>
      <c r="P866" s="21">
        <v>1.0725</v>
      </c>
    </row>
    <row r="867" spans="1:16" ht="16.5" x14ac:dyDescent="0.25">
      <c r="A867" s="2"/>
      <c r="B867" s="4"/>
      <c r="C867" s="18"/>
      <c r="E867" s="20">
        <v>44707</v>
      </c>
      <c r="F867" s="17" t="s">
        <v>93</v>
      </c>
      <c r="G867" s="21">
        <v>11.059999999999999</v>
      </c>
      <c r="H867" s="21">
        <v>18.5</v>
      </c>
      <c r="I867" s="25">
        <v>0.19716216216216234</v>
      </c>
      <c r="J867" s="21">
        <v>1.85</v>
      </c>
      <c r="K867" s="21">
        <v>0.13999999999999999</v>
      </c>
      <c r="L867" s="21">
        <v>1.0175000000000001</v>
      </c>
      <c r="M867" s="17" t="s">
        <v>121</v>
      </c>
      <c r="N867" s="17" t="s">
        <v>116</v>
      </c>
      <c r="O867" s="21">
        <v>0.92500000000000004</v>
      </c>
      <c r="P867" s="21">
        <v>1.0175000000000001</v>
      </c>
    </row>
    <row r="868" spans="1:16" ht="16.5" x14ac:dyDescent="0.25">
      <c r="A868" s="2"/>
      <c r="B868" s="4"/>
      <c r="C868" s="18"/>
      <c r="E868" s="20">
        <v>44707</v>
      </c>
      <c r="F868" s="17" t="s">
        <v>93</v>
      </c>
      <c r="G868" s="21">
        <v>11.059999999999999</v>
      </c>
      <c r="H868" s="21">
        <v>17.5</v>
      </c>
      <c r="I868" s="25">
        <v>0.16300000000000014</v>
      </c>
      <c r="J868" s="21">
        <v>1.75</v>
      </c>
      <c r="K868" s="21">
        <v>0.13999999999999999</v>
      </c>
      <c r="L868" s="21">
        <v>0.96250000000000002</v>
      </c>
      <c r="M868" s="17" t="s">
        <v>120</v>
      </c>
      <c r="N868" s="17" t="s">
        <v>116</v>
      </c>
      <c r="O868" s="21">
        <v>0.875</v>
      </c>
      <c r="P868" s="21">
        <v>0.96250000000000002</v>
      </c>
    </row>
    <row r="869" spans="1:16" ht="16.5" x14ac:dyDescent="0.25">
      <c r="A869" s="2"/>
      <c r="B869" s="4"/>
      <c r="C869" s="18"/>
      <c r="E869" s="20">
        <v>44707</v>
      </c>
      <c r="F869" s="17" t="s">
        <v>93</v>
      </c>
      <c r="G869" s="21">
        <v>11.059999999999999</v>
      </c>
      <c r="H869" s="21">
        <v>16.5</v>
      </c>
      <c r="I869" s="25">
        <v>0.12469696969696971</v>
      </c>
      <c r="J869" s="21">
        <v>1.6500000000000001</v>
      </c>
      <c r="K869" s="21">
        <v>0.13999999999999999</v>
      </c>
      <c r="L869" s="21">
        <v>0.90749999999999997</v>
      </c>
      <c r="M869" s="17" t="s">
        <v>113</v>
      </c>
      <c r="N869" s="17" t="s">
        <v>116</v>
      </c>
      <c r="O869" s="21">
        <v>0.82500000000000007</v>
      </c>
      <c r="P869" s="21">
        <v>0.90749999999999997</v>
      </c>
    </row>
    <row r="870" spans="1:16" ht="16.5" x14ac:dyDescent="0.25">
      <c r="A870" s="2"/>
      <c r="B870" s="4"/>
      <c r="C870" s="18"/>
      <c r="E870" s="20">
        <v>44707</v>
      </c>
      <c r="F870" s="17" t="s">
        <v>93</v>
      </c>
      <c r="G870" s="21">
        <v>11.059999999999999</v>
      </c>
      <c r="H870" s="21">
        <v>22.5</v>
      </c>
      <c r="I870" s="25">
        <v>0.1791444444444445</v>
      </c>
      <c r="J870" s="21">
        <v>2.25</v>
      </c>
      <c r="K870" s="21">
        <v>0.13999999999999999</v>
      </c>
      <c r="L870" s="21">
        <v>2.6999999999999997</v>
      </c>
      <c r="M870" s="17" t="s">
        <v>122</v>
      </c>
      <c r="N870" s="17" t="s">
        <v>117</v>
      </c>
      <c r="O870" s="21">
        <v>1.125</v>
      </c>
      <c r="P870" s="21">
        <v>4.0342500000000001</v>
      </c>
    </row>
    <row r="871" spans="1:16" ht="16.5" x14ac:dyDescent="0.25">
      <c r="A871" s="2"/>
      <c r="B871" s="4"/>
      <c r="C871" s="18"/>
      <c r="E871" s="20">
        <v>44707</v>
      </c>
      <c r="F871" s="17" t="s">
        <v>93</v>
      </c>
      <c r="G871" s="21">
        <v>11.059999999999999</v>
      </c>
      <c r="H871" s="21">
        <v>21.5</v>
      </c>
      <c r="I871" s="25">
        <v>0.15628139534883714</v>
      </c>
      <c r="J871" s="21">
        <v>2.15</v>
      </c>
      <c r="K871" s="21">
        <v>0.13999999999999999</v>
      </c>
      <c r="L871" s="21">
        <v>2.58</v>
      </c>
      <c r="M871" s="17" t="s">
        <v>121</v>
      </c>
      <c r="N871" s="17" t="s">
        <v>117</v>
      </c>
      <c r="O871" s="21">
        <v>1.075</v>
      </c>
      <c r="P871" s="21">
        <v>3.8549500000000005</v>
      </c>
    </row>
    <row r="872" spans="1:16" ht="16.5" x14ac:dyDescent="0.25">
      <c r="A872" s="2"/>
      <c r="B872" s="4"/>
      <c r="C872" s="18"/>
      <c r="E872" s="20">
        <v>44707</v>
      </c>
      <c r="F872" s="17" t="s">
        <v>93</v>
      </c>
      <c r="G872" s="21">
        <v>11.059999999999999</v>
      </c>
      <c r="H872" s="21">
        <v>20.5</v>
      </c>
      <c r="I872" s="25">
        <v>0.13118780487804876</v>
      </c>
      <c r="J872" s="21">
        <v>2.0500000000000003</v>
      </c>
      <c r="K872" s="21">
        <v>0.13999999999999999</v>
      </c>
      <c r="L872" s="21">
        <v>2.46</v>
      </c>
      <c r="M872" s="17" t="s">
        <v>120</v>
      </c>
      <c r="N872" s="17" t="s">
        <v>117</v>
      </c>
      <c r="O872" s="21">
        <v>1.0250000000000001</v>
      </c>
      <c r="P872" s="21">
        <v>3.6756500000000001</v>
      </c>
    </row>
    <row r="873" spans="1:16" ht="16.5" x14ac:dyDescent="0.25">
      <c r="A873" s="2"/>
      <c r="B873" s="4"/>
      <c r="C873" s="18"/>
      <c r="E873" s="20">
        <v>44707</v>
      </c>
      <c r="F873" s="17" t="s">
        <v>93</v>
      </c>
      <c r="G873" s="21">
        <v>11.059999999999999</v>
      </c>
      <c r="H873" s="21">
        <v>19.5</v>
      </c>
      <c r="I873" s="25">
        <v>0.10352051282051289</v>
      </c>
      <c r="J873" s="21">
        <v>1.9500000000000002</v>
      </c>
      <c r="K873" s="21">
        <v>0.13999999999999999</v>
      </c>
      <c r="L873" s="21">
        <v>2.34</v>
      </c>
      <c r="M873" s="17" t="s">
        <v>113</v>
      </c>
      <c r="N873" s="17" t="s">
        <v>117</v>
      </c>
      <c r="O873" s="21">
        <v>0.97500000000000009</v>
      </c>
      <c r="P873" s="21">
        <v>3.4963500000000005</v>
      </c>
    </row>
    <row r="874" spans="1:16" ht="16.5" x14ac:dyDescent="0.25">
      <c r="A874" s="2"/>
      <c r="B874" s="4"/>
      <c r="C874" s="18"/>
      <c r="E874" s="20">
        <v>44706</v>
      </c>
      <c r="F874" s="17" t="s">
        <v>196</v>
      </c>
      <c r="G874" s="21">
        <v>7.1280000000000001</v>
      </c>
      <c r="H874" s="21">
        <v>17</v>
      </c>
      <c r="I874" s="25">
        <v>0.19140588235294112</v>
      </c>
      <c r="J874" s="21">
        <v>1.7000000000000002</v>
      </c>
      <c r="K874" s="21">
        <v>0.97199999999999998</v>
      </c>
      <c r="L874" s="21">
        <v>3.06</v>
      </c>
      <c r="M874" s="17" t="s">
        <v>122</v>
      </c>
      <c r="N874" s="17" t="s">
        <v>117</v>
      </c>
      <c r="O874" s="21">
        <v>0.85000000000000009</v>
      </c>
      <c r="P874" s="21">
        <v>4.0681000000000003</v>
      </c>
    </row>
    <row r="875" spans="1:16" ht="16.5" x14ac:dyDescent="0.25">
      <c r="A875" s="2"/>
      <c r="B875" s="4"/>
      <c r="C875" s="18"/>
      <c r="E875" s="20">
        <v>44706</v>
      </c>
      <c r="F875" s="17" t="s">
        <v>196</v>
      </c>
      <c r="G875" s="21">
        <v>7.1280000000000001</v>
      </c>
      <c r="H875" s="21">
        <v>16</v>
      </c>
      <c r="I875" s="25">
        <v>0.16519999999999993</v>
      </c>
      <c r="J875" s="21">
        <v>1.6</v>
      </c>
      <c r="K875" s="21">
        <v>0.97199999999999998</v>
      </c>
      <c r="L875" s="21">
        <v>2.88</v>
      </c>
      <c r="M875" s="17" t="s">
        <v>121</v>
      </c>
      <c r="N875" s="17" t="s">
        <v>117</v>
      </c>
      <c r="O875" s="21">
        <v>0.8</v>
      </c>
      <c r="P875" s="21">
        <v>3.8288000000000002</v>
      </c>
    </row>
    <row r="876" spans="1:16" ht="16.5" x14ac:dyDescent="0.25">
      <c r="A876" s="2"/>
      <c r="B876" s="4"/>
      <c r="C876" s="18"/>
      <c r="E876" s="20">
        <v>44706</v>
      </c>
      <c r="F876" s="17" t="s">
        <v>196</v>
      </c>
      <c r="G876" s="21">
        <v>7.1280000000000001</v>
      </c>
      <c r="H876" s="21">
        <v>15</v>
      </c>
      <c r="I876" s="25">
        <v>0.13549999999999993</v>
      </c>
      <c r="J876" s="21">
        <v>1.5</v>
      </c>
      <c r="K876" s="21">
        <v>0.97199999999999998</v>
      </c>
      <c r="L876" s="21">
        <v>2.6999999999999997</v>
      </c>
      <c r="M876" s="17" t="s">
        <v>120</v>
      </c>
      <c r="N876" s="17" t="s">
        <v>117</v>
      </c>
      <c r="O876" s="21">
        <v>0.75</v>
      </c>
      <c r="P876" s="21">
        <v>3.5895000000000001</v>
      </c>
    </row>
    <row r="877" spans="1:16" ht="16.5" x14ac:dyDescent="0.25">
      <c r="A877" s="2"/>
      <c r="B877" s="4"/>
      <c r="C877" s="18"/>
      <c r="E877" s="20">
        <v>44706</v>
      </c>
      <c r="F877" s="17" t="s">
        <v>196</v>
      </c>
      <c r="G877" s="21">
        <v>7.1280000000000001</v>
      </c>
      <c r="H877" s="21">
        <v>14</v>
      </c>
      <c r="I877" s="25">
        <v>0.10155714285714276</v>
      </c>
      <c r="J877" s="21">
        <v>1.4000000000000001</v>
      </c>
      <c r="K877" s="21">
        <v>0.97199999999999998</v>
      </c>
      <c r="L877" s="21">
        <v>2.52</v>
      </c>
      <c r="M877" s="17" t="s">
        <v>113</v>
      </c>
      <c r="N877" s="17" t="s">
        <v>117</v>
      </c>
      <c r="O877" s="21">
        <v>0.70000000000000007</v>
      </c>
      <c r="P877" s="21">
        <v>3.3502000000000001</v>
      </c>
    </row>
    <row r="878" spans="1:16" ht="16.5" x14ac:dyDescent="0.25">
      <c r="A878" s="2"/>
      <c r="B878" s="4"/>
      <c r="C878" s="18"/>
      <c r="E878" s="20">
        <v>44706</v>
      </c>
      <c r="F878" s="17" t="s">
        <v>195</v>
      </c>
      <c r="G878" s="21">
        <v>7.8320000000000007</v>
      </c>
      <c r="H878" s="21">
        <v>18.899999999999999</v>
      </c>
      <c r="I878" s="25">
        <v>0.19630846560846554</v>
      </c>
      <c r="J878" s="21">
        <v>1.89</v>
      </c>
      <c r="K878" s="21">
        <v>1.0680000000000001</v>
      </c>
      <c r="L878" s="21">
        <v>3.4019999999999997</v>
      </c>
      <c r="M878" s="17" t="s">
        <v>122</v>
      </c>
      <c r="N878" s="17" t="s">
        <v>117</v>
      </c>
      <c r="O878" s="21">
        <v>0.94499999999999995</v>
      </c>
      <c r="P878" s="21">
        <v>4.5227699999999995</v>
      </c>
    </row>
    <row r="879" spans="1:16" ht="16.5" x14ac:dyDescent="0.25">
      <c r="A879" s="2"/>
      <c r="B879" s="4"/>
      <c r="C879" s="18"/>
      <c r="E879" s="20">
        <v>44706</v>
      </c>
      <c r="F879" s="17" t="s">
        <v>195</v>
      </c>
      <c r="G879" s="21">
        <v>7.8320000000000007</v>
      </c>
      <c r="H879" s="21">
        <v>17.899999999999999</v>
      </c>
      <c r="I879" s="25">
        <v>0.17315810055865916</v>
      </c>
      <c r="J879" s="21">
        <v>1.79</v>
      </c>
      <c r="K879" s="21">
        <v>1.0680000000000001</v>
      </c>
      <c r="L879" s="21">
        <v>3.2219999999999995</v>
      </c>
      <c r="M879" s="17" t="s">
        <v>121</v>
      </c>
      <c r="N879" s="17" t="s">
        <v>117</v>
      </c>
      <c r="O879" s="21">
        <v>0.89500000000000002</v>
      </c>
      <c r="P879" s="21">
        <v>4.2834699999999994</v>
      </c>
    </row>
    <row r="880" spans="1:16" ht="16.5" x14ac:dyDescent="0.25">
      <c r="A880" s="2"/>
      <c r="B880" s="4"/>
      <c r="C880" s="18"/>
      <c r="E880" s="20">
        <v>44706</v>
      </c>
      <c r="F880" s="17" t="s">
        <v>195</v>
      </c>
      <c r="G880" s="21">
        <v>7.8320000000000007</v>
      </c>
      <c r="H880" s="21">
        <v>16.899999999999999</v>
      </c>
      <c r="I880" s="25">
        <v>0.14726804733727794</v>
      </c>
      <c r="J880" s="21">
        <v>1.69</v>
      </c>
      <c r="K880" s="21">
        <v>1.0680000000000001</v>
      </c>
      <c r="L880" s="21">
        <v>3.0419999999999998</v>
      </c>
      <c r="M880" s="17" t="s">
        <v>120</v>
      </c>
      <c r="N880" s="17" t="s">
        <v>117</v>
      </c>
      <c r="O880" s="21">
        <v>0.84499999999999997</v>
      </c>
      <c r="P880" s="21">
        <v>4.0441700000000003</v>
      </c>
    </row>
    <row r="881" spans="1:16" ht="16.5" x14ac:dyDescent="0.25">
      <c r="A881" s="2"/>
      <c r="B881" s="4"/>
      <c r="C881" s="18"/>
      <c r="E881" s="20">
        <v>44706</v>
      </c>
      <c r="F881" s="17" t="s">
        <v>195</v>
      </c>
      <c r="G881" s="21">
        <v>7.8320000000000007</v>
      </c>
      <c r="H881" s="21">
        <v>15.9</v>
      </c>
      <c r="I881" s="25">
        <v>0.11812138364779876</v>
      </c>
      <c r="J881" s="21">
        <v>1.59</v>
      </c>
      <c r="K881" s="21">
        <v>1.0680000000000001</v>
      </c>
      <c r="L881" s="21">
        <v>2.8620000000000001</v>
      </c>
      <c r="M881" s="17" t="s">
        <v>113</v>
      </c>
      <c r="N881" s="17" t="s">
        <v>117</v>
      </c>
      <c r="O881" s="21">
        <v>0.79500000000000004</v>
      </c>
      <c r="P881" s="21">
        <v>3.8048700000000002</v>
      </c>
    </row>
    <row r="882" spans="1:16" ht="16.5" x14ac:dyDescent="0.25">
      <c r="A882" s="2"/>
      <c r="B882" s="4"/>
      <c r="C882" s="18"/>
      <c r="E882" s="20">
        <v>44706</v>
      </c>
      <c r="F882" s="17" t="s">
        <v>218</v>
      </c>
      <c r="G882" s="21">
        <v>7.04</v>
      </c>
      <c r="H882" s="21">
        <v>15.9</v>
      </c>
      <c r="I882" s="25">
        <v>0.16793270440251579</v>
      </c>
      <c r="J882" s="21">
        <v>1.59</v>
      </c>
      <c r="K882" s="21">
        <v>0.96</v>
      </c>
      <c r="L882" s="21">
        <v>2.8620000000000001</v>
      </c>
      <c r="M882" s="17" t="s">
        <v>122</v>
      </c>
      <c r="N882" s="17" t="s">
        <v>117</v>
      </c>
      <c r="O882" s="21">
        <v>0.79500000000000004</v>
      </c>
      <c r="P882" s="21">
        <v>3.8048700000000002</v>
      </c>
    </row>
    <row r="883" spans="1:16" ht="16.5" x14ac:dyDescent="0.25">
      <c r="A883" s="2"/>
      <c r="B883" s="4"/>
      <c r="C883" s="18"/>
      <c r="E883" s="20">
        <v>44706</v>
      </c>
      <c r="F883" s="17" t="s">
        <v>218</v>
      </c>
      <c r="G883" s="21">
        <v>7.04</v>
      </c>
      <c r="H883" s="21">
        <v>14.9</v>
      </c>
      <c r="I883" s="25">
        <v>0.13821677852348999</v>
      </c>
      <c r="J883" s="21">
        <v>1.4900000000000002</v>
      </c>
      <c r="K883" s="21">
        <v>0.96</v>
      </c>
      <c r="L883" s="21">
        <v>2.6819999999999999</v>
      </c>
      <c r="M883" s="17" t="s">
        <v>121</v>
      </c>
      <c r="N883" s="17" t="s">
        <v>117</v>
      </c>
      <c r="O883" s="21">
        <v>0.74500000000000011</v>
      </c>
      <c r="P883" s="21">
        <v>3.5655700000000001</v>
      </c>
    </row>
    <row r="884" spans="1:16" ht="16.5" x14ac:dyDescent="0.25">
      <c r="A884" s="2"/>
      <c r="B884" s="4"/>
      <c r="C884" s="18"/>
      <c r="E884" s="20">
        <v>44706</v>
      </c>
      <c r="F884" s="17" t="s">
        <v>218</v>
      </c>
      <c r="G884" s="21">
        <v>7.04</v>
      </c>
      <c r="H884" s="21">
        <v>13.9</v>
      </c>
      <c r="I884" s="25">
        <v>0.10422517985611515</v>
      </c>
      <c r="J884" s="21">
        <v>1.3900000000000001</v>
      </c>
      <c r="K884" s="21">
        <v>0.96</v>
      </c>
      <c r="L884" s="21">
        <v>2.5019999999999998</v>
      </c>
      <c r="M884" s="17" t="s">
        <v>120</v>
      </c>
      <c r="N884" s="17" t="s">
        <v>117</v>
      </c>
      <c r="O884" s="21">
        <v>0.69500000000000006</v>
      </c>
      <c r="P884" s="21">
        <v>3.3262700000000001</v>
      </c>
    </row>
    <row r="885" spans="1:16" ht="16.5" x14ac:dyDescent="0.25">
      <c r="A885" s="2"/>
      <c r="B885" s="4"/>
      <c r="C885" s="18"/>
      <c r="E885" s="20">
        <v>44706</v>
      </c>
      <c r="F885" s="17" t="s">
        <v>218</v>
      </c>
      <c r="G885" s="21">
        <v>7.04</v>
      </c>
      <c r="H885" s="21">
        <v>12.9</v>
      </c>
      <c r="I885" s="25">
        <v>6.4963565891472813E-2</v>
      </c>
      <c r="J885" s="21">
        <v>1.29</v>
      </c>
      <c r="K885" s="21">
        <v>0.96</v>
      </c>
      <c r="L885" s="21">
        <v>2.3220000000000001</v>
      </c>
      <c r="M885" s="17" t="s">
        <v>113</v>
      </c>
      <c r="N885" s="17" t="s">
        <v>117</v>
      </c>
      <c r="O885" s="21">
        <v>0.64500000000000002</v>
      </c>
      <c r="P885" s="21">
        <v>3.0869700000000004</v>
      </c>
    </row>
    <row r="886" spans="1:16" ht="16.5" x14ac:dyDescent="0.25">
      <c r="A886" s="2"/>
      <c r="B886" s="4"/>
      <c r="C886" s="18"/>
      <c r="E886" s="20">
        <v>44706</v>
      </c>
      <c r="F886" s="17" t="s">
        <v>219</v>
      </c>
      <c r="G886" s="21">
        <v>9.5920000000000005</v>
      </c>
      <c r="H886" s="21">
        <v>20.9</v>
      </c>
      <c r="I886" s="25">
        <v>0.15175263157894731</v>
      </c>
      <c r="J886" s="21">
        <v>2.09</v>
      </c>
      <c r="K886" s="21">
        <v>1.3080000000000001</v>
      </c>
      <c r="L886" s="21">
        <v>3.7619999999999996</v>
      </c>
      <c r="M886" s="17" t="s">
        <v>122</v>
      </c>
      <c r="N886" s="17" t="s">
        <v>117</v>
      </c>
      <c r="O886" s="21">
        <v>1.0449999999999999</v>
      </c>
      <c r="P886" s="21">
        <v>5.0013699999999996</v>
      </c>
    </row>
    <row r="887" spans="1:16" ht="16.5" x14ac:dyDescent="0.25">
      <c r="A887" s="2"/>
      <c r="B887" s="4"/>
      <c r="C887" s="18"/>
      <c r="E887" s="20">
        <v>44706</v>
      </c>
      <c r="F887" s="17" t="s">
        <v>219</v>
      </c>
      <c r="G887" s="21">
        <v>9.5920000000000005</v>
      </c>
      <c r="H887" s="21">
        <v>19.899999999999999</v>
      </c>
      <c r="I887" s="25">
        <v>0.12868994974874365</v>
      </c>
      <c r="J887" s="21">
        <v>1.99</v>
      </c>
      <c r="K887" s="21">
        <v>1.3080000000000001</v>
      </c>
      <c r="L887" s="21">
        <v>3.5819999999999994</v>
      </c>
      <c r="M887" s="17" t="s">
        <v>121</v>
      </c>
      <c r="N887" s="17" t="s">
        <v>117</v>
      </c>
      <c r="O887" s="21">
        <v>0.995</v>
      </c>
      <c r="P887" s="21">
        <v>4.7620699999999996</v>
      </c>
    </row>
    <row r="888" spans="1:16" ht="16.5" x14ac:dyDescent="0.25">
      <c r="A888" s="2"/>
      <c r="B888" s="4"/>
      <c r="C888" s="18"/>
      <c r="E888" s="20">
        <v>44706</v>
      </c>
      <c r="F888" s="17" t="s">
        <v>219</v>
      </c>
      <c r="G888" s="21">
        <v>9.5920000000000005</v>
      </c>
      <c r="H888" s="21">
        <v>18.899999999999999</v>
      </c>
      <c r="I888" s="25">
        <v>0.10318677248677244</v>
      </c>
      <c r="J888" s="21">
        <v>1.89</v>
      </c>
      <c r="K888" s="21">
        <v>1.3080000000000001</v>
      </c>
      <c r="L888" s="21">
        <v>3.4019999999999997</v>
      </c>
      <c r="M888" s="17" t="s">
        <v>120</v>
      </c>
      <c r="N888" s="17" t="s">
        <v>117</v>
      </c>
      <c r="O888" s="21">
        <v>0.94499999999999995</v>
      </c>
      <c r="P888" s="21">
        <v>4.5227699999999995</v>
      </c>
    </row>
    <row r="889" spans="1:16" ht="16.5" x14ac:dyDescent="0.25">
      <c r="A889" s="2"/>
      <c r="B889" s="4"/>
      <c r="C889" s="18"/>
      <c r="E889" s="20">
        <v>44706</v>
      </c>
      <c r="F889" s="17" t="s">
        <v>219</v>
      </c>
      <c r="G889" s="21">
        <v>9.5920000000000005</v>
      </c>
      <c r="H889" s="21">
        <v>17.899999999999999</v>
      </c>
      <c r="I889" s="25">
        <v>7.4834078212290434E-2</v>
      </c>
      <c r="J889" s="21">
        <v>1.79</v>
      </c>
      <c r="K889" s="21">
        <v>1.3080000000000001</v>
      </c>
      <c r="L889" s="21">
        <v>3.2219999999999995</v>
      </c>
      <c r="M889" s="17" t="s">
        <v>113</v>
      </c>
      <c r="N889" s="17" t="s">
        <v>117</v>
      </c>
      <c r="O889" s="21">
        <v>0.89500000000000002</v>
      </c>
      <c r="P889" s="21">
        <v>4.2834699999999994</v>
      </c>
    </row>
    <row r="890" spans="1:16" ht="16.5" x14ac:dyDescent="0.25">
      <c r="A890" s="2"/>
      <c r="B890" s="4"/>
      <c r="C890" s="18"/>
      <c r="E890" s="20">
        <v>44706</v>
      </c>
      <c r="F890" s="17" t="s">
        <v>193</v>
      </c>
      <c r="G890" s="21">
        <v>7.8320000000000007</v>
      </c>
      <c r="H890" s="21">
        <v>16.899999999999999</v>
      </c>
      <c r="I890" s="25">
        <v>0.20726804733727802</v>
      </c>
      <c r="J890" s="21">
        <v>1.69</v>
      </c>
      <c r="K890" s="21">
        <v>1.0680000000000001</v>
      </c>
      <c r="L890" s="21">
        <v>2.0279999999999996</v>
      </c>
      <c r="M890" s="17" t="s">
        <v>122</v>
      </c>
      <c r="N890" s="17" t="s">
        <v>117</v>
      </c>
      <c r="O890" s="21">
        <v>0.84499999999999997</v>
      </c>
      <c r="P890" s="21">
        <v>3.03017</v>
      </c>
    </row>
    <row r="891" spans="1:16" ht="16.5" x14ac:dyDescent="0.25">
      <c r="A891" s="2"/>
      <c r="B891" s="4"/>
      <c r="C891" s="18"/>
      <c r="E891" s="20">
        <v>44706</v>
      </c>
      <c r="F891" s="17" t="s">
        <v>193</v>
      </c>
      <c r="G891" s="21">
        <v>7.8320000000000007</v>
      </c>
      <c r="H891" s="21">
        <v>15.9</v>
      </c>
      <c r="I891" s="25">
        <v>0.1781213836477987</v>
      </c>
      <c r="J891" s="21">
        <v>1.59</v>
      </c>
      <c r="K891" s="21">
        <v>1.0680000000000001</v>
      </c>
      <c r="L891" s="21">
        <v>1.9079999999999999</v>
      </c>
      <c r="M891" s="17" t="s">
        <v>121</v>
      </c>
      <c r="N891" s="17" t="s">
        <v>117</v>
      </c>
      <c r="O891" s="21">
        <v>0.79500000000000004</v>
      </c>
      <c r="P891" s="21">
        <v>2.8508700000000005</v>
      </c>
    </row>
    <row r="892" spans="1:16" ht="16.5" x14ac:dyDescent="0.25">
      <c r="A892" s="2"/>
      <c r="B892" s="4"/>
      <c r="C892" s="18"/>
      <c r="E892" s="20">
        <v>44706</v>
      </c>
      <c r="F892" s="17" t="s">
        <v>193</v>
      </c>
      <c r="G892" s="21">
        <v>7.8320000000000007</v>
      </c>
      <c r="H892" s="21">
        <v>14.9</v>
      </c>
      <c r="I892" s="25">
        <v>0.14506241610738244</v>
      </c>
      <c r="J892" s="21">
        <v>1.4900000000000002</v>
      </c>
      <c r="K892" s="21">
        <v>1.0680000000000001</v>
      </c>
      <c r="L892" s="21">
        <v>1.788</v>
      </c>
      <c r="M892" s="17" t="s">
        <v>120</v>
      </c>
      <c r="N892" s="17" t="s">
        <v>117</v>
      </c>
      <c r="O892" s="21">
        <v>0.74500000000000011</v>
      </c>
      <c r="P892" s="21">
        <v>2.6715700000000004</v>
      </c>
    </row>
    <row r="893" spans="1:16" ht="16.5" x14ac:dyDescent="0.25">
      <c r="A893" s="2"/>
      <c r="B893" s="4"/>
      <c r="C893" s="18"/>
      <c r="E893" s="20">
        <v>44706</v>
      </c>
      <c r="F893" s="17" t="s">
        <v>193</v>
      </c>
      <c r="G893" s="21">
        <v>7.8320000000000007</v>
      </c>
      <c r="H893" s="21">
        <v>13.9</v>
      </c>
      <c r="I893" s="25">
        <v>0.10724676258992803</v>
      </c>
      <c r="J893" s="21">
        <v>1.3900000000000001</v>
      </c>
      <c r="K893" s="21">
        <v>1.0680000000000001</v>
      </c>
      <c r="L893" s="21">
        <v>1.6679999999999999</v>
      </c>
      <c r="M893" s="17" t="s">
        <v>113</v>
      </c>
      <c r="N893" s="17" t="s">
        <v>117</v>
      </c>
      <c r="O893" s="21">
        <v>0.69500000000000006</v>
      </c>
      <c r="P893" s="21">
        <v>2.4922700000000004</v>
      </c>
    </row>
    <row r="894" spans="1:16" ht="16.5" x14ac:dyDescent="0.25">
      <c r="A894" s="2"/>
      <c r="B894" s="4"/>
      <c r="C894" s="18"/>
      <c r="E894" s="20">
        <v>44706</v>
      </c>
      <c r="F894" s="17" t="s">
        <v>192</v>
      </c>
      <c r="G894" s="21">
        <v>7.04</v>
      </c>
      <c r="H894" s="21">
        <v>14.9</v>
      </c>
      <c r="I894" s="25">
        <v>0.19821677852348987</v>
      </c>
      <c r="J894" s="21">
        <v>1.4900000000000002</v>
      </c>
      <c r="K894" s="21">
        <v>0.96</v>
      </c>
      <c r="L894" s="21">
        <v>1.788</v>
      </c>
      <c r="M894" s="17" t="s">
        <v>122</v>
      </c>
      <c r="N894" s="17" t="s">
        <v>117</v>
      </c>
      <c r="O894" s="21">
        <v>0.74500000000000011</v>
      </c>
      <c r="P894" s="21">
        <v>2.6715700000000004</v>
      </c>
    </row>
    <row r="895" spans="1:16" ht="16.5" x14ac:dyDescent="0.25">
      <c r="A895" s="2"/>
      <c r="B895" s="4"/>
      <c r="C895" s="18"/>
      <c r="E895" s="20">
        <v>44706</v>
      </c>
      <c r="F895" s="17" t="s">
        <v>192</v>
      </c>
      <c r="G895" s="21">
        <v>7.04</v>
      </c>
      <c r="H895" s="21">
        <v>13.9</v>
      </c>
      <c r="I895" s="25">
        <v>0.16422517985611512</v>
      </c>
      <c r="J895" s="21">
        <v>1.3900000000000001</v>
      </c>
      <c r="K895" s="21">
        <v>0.96</v>
      </c>
      <c r="L895" s="21">
        <v>1.6679999999999999</v>
      </c>
      <c r="M895" s="17" t="s">
        <v>121</v>
      </c>
      <c r="N895" s="17" t="s">
        <v>117</v>
      </c>
      <c r="O895" s="21">
        <v>0.69500000000000006</v>
      </c>
      <c r="P895" s="21">
        <v>2.4922700000000004</v>
      </c>
    </row>
    <row r="896" spans="1:16" ht="16.5" x14ac:dyDescent="0.25">
      <c r="A896" s="2"/>
      <c r="B896" s="4"/>
      <c r="C896" s="18"/>
      <c r="E896" s="20">
        <v>44706</v>
      </c>
      <c r="F896" s="17" t="s">
        <v>192</v>
      </c>
      <c r="G896" s="21">
        <v>7.04</v>
      </c>
      <c r="H896" s="21">
        <v>12.9</v>
      </c>
      <c r="I896" s="25">
        <v>0.12496356589147289</v>
      </c>
      <c r="J896" s="21">
        <v>1.29</v>
      </c>
      <c r="K896" s="21">
        <v>0.96</v>
      </c>
      <c r="L896" s="21">
        <v>1.548</v>
      </c>
      <c r="M896" s="17" t="s">
        <v>120</v>
      </c>
      <c r="N896" s="17" t="s">
        <v>117</v>
      </c>
      <c r="O896" s="21">
        <v>0.64500000000000002</v>
      </c>
      <c r="P896" s="21">
        <v>2.3129700000000004</v>
      </c>
    </row>
    <row r="897" spans="1:16" ht="16.5" x14ac:dyDescent="0.25">
      <c r="A897" s="2"/>
      <c r="B897" s="4"/>
      <c r="C897" s="18"/>
      <c r="E897" s="20">
        <v>44706</v>
      </c>
      <c r="F897" s="17" t="s">
        <v>192</v>
      </c>
      <c r="G897" s="21">
        <v>7.04</v>
      </c>
      <c r="H897" s="21">
        <v>11.9</v>
      </c>
      <c r="I897" s="25">
        <v>7.910336134453777E-2</v>
      </c>
      <c r="J897" s="21">
        <v>1.1900000000000002</v>
      </c>
      <c r="K897" s="21">
        <v>0.96</v>
      </c>
      <c r="L897" s="21">
        <v>1.4279999999999999</v>
      </c>
      <c r="M897" s="17" t="s">
        <v>113</v>
      </c>
      <c r="N897" s="17" t="s">
        <v>117</v>
      </c>
      <c r="O897" s="21">
        <v>0.59500000000000008</v>
      </c>
      <c r="P897" s="21">
        <v>2.1336700000000004</v>
      </c>
    </row>
    <row r="898" spans="1:16" ht="16.5" x14ac:dyDescent="0.25">
      <c r="A898" s="2"/>
      <c r="B898" s="4"/>
      <c r="C898" s="18"/>
      <c r="E898" s="20">
        <v>44706</v>
      </c>
      <c r="F898" s="17" t="s">
        <v>194</v>
      </c>
      <c r="G898" s="21">
        <v>7.1280000000000001</v>
      </c>
      <c r="H898" s="21">
        <v>15.9</v>
      </c>
      <c r="I898" s="25">
        <v>0.22239811320754715</v>
      </c>
      <c r="J898" s="21">
        <v>1.59</v>
      </c>
      <c r="K898" s="21">
        <v>0.97199999999999998</v>
      </c>
      <c r="L898" s="21">
        <v>1.9079999999999999</v>
      </c>
      <c r="M898" s="17" t="s">
        <v>122</v>
      </c>
      <c r="N898" s="17" t="s">
        <v>117</v>
      </c>
      <c r="O898" s="21">
        <v>0.79500000000000004</v>
      </c>
      <c r="P898" s="21">
        <v>2.8508700000000005</v>
      </c>
    </row>
    <row r="899" spans="1:16" ht="16.5" x14ac:dyDescent="0.25">
      <c r="A899" s="2"/>
      <c r="B899" s="4"/>
      <c r="C899" s="18"/>
      <c r="E899" s="20">
        <v>44706</v>
      </c>
      <c r="F899" s="17" t="s">
        <v>194</v>
      </c>
      <c r="G899" s="21">
        <v>7.1280000000000001</v>
      </c>
      <c r="H899" s="21">
        <v>14.9</v>
      </c>
      <c r="I899" s="25">
        <v>0.19231073825503348</v>
      </c>
      <c r="J899" s="21">
        <v>1.4900000000000002</v>
      </c>
      <c r="K899" s="21">
        <v>0.97199999999999998</v>
      </c>
      <c r="L899" s="21">
        <v>1.788</v>
      </c>
      <c r="M899" s="17" t="s">
        <v>121</v>
      </c>
      <c r="N899" s="17" t="s">
        <v>117</v>
      </c>
      <c r="O899" s="21">
        <v>0.74500000000000011</v>
      </c>
      <c r="P899" s="21">
        <v>2.6715700000000004</v>
      </c>
    </row>
    <row r="900" spans="1:16" ht="16.5" x14ac:dyDescent="0.25">
      <c r="A900" s="2"/>
      <c r="B900" s="4"/>
      <c r="C900" s="18"/>
      <c r="E900" s="20">
        <v>44706</v>
      </c>
      <c r="F900" s="17" t="s">
        <v>194</v>
      </c>
      <c r="G900" s="21">
        <v>7.1280000000000001</v>
      </c>
      <c r="H900" s="21">
        <v>13.9</v>
      </c>
      <c r="I900" s="25">
        <v>0.15789424460431656</v>
      </c>
      <c r="J900" s="21">
        <v>1.3900000000000001</v>
      </c>
      <c r="K900" s="21">
        <v>0.97199999999999998</v>
      </c>
      <c r="L900" s="21">
        <v>1.6679999999999999</v>
      </c>
      <c r="M900" s="17" t="s">
        <v>120</v>
      </c>
      <c r="N900" s="17" t="s">
        <v>117</v>
      </c>
      <c r="O900" s="21">
        <v>0.69500000000000006</v>
      </c>
      <c r="P900" s="21">
        <v>2.4922700000000004</v>
      </c>
    </row>
    <row r="901" spans="1:16" ht="16.5" x14ac:dyDescent="0.25">
      <c r="A901" s="2"/>
      <c r="B901" s="4"/>
      <c r="C901" s="18"/>
      <c r="E901" s="20">
        <v>44706</v>
      </c>
      <c r="F901" s="17" t="s">
        <v>194</v>
      </c>
      <c r="G901" s="21">
        <v>7.1280000000000001</v>
      </c>
      <c r="H901" s="21">
        <v>12.9</v>
      </c>
      <c r="I901" s="25">
        <v>0.11814186046511629</v>
      </c>
      <c r="J901" s="21">
        <v>1.29</v>
      </c>
      <c r="K901" s="21">
        <v>0.97199999999999998</v>
      </c>
      <c r="L901" s="21">
        <v>1.548</v>
      </c>
      <c r="M901" s="17" t="s">
        <v>113</v>
      </c>
      <c r="N901" s="17" t="s">
        <v>117</v>
      </c>
      <c r="O901" s="21">
        <v>0.64500000000000002</v>
      </c>
      <c r="P901" s="21">
        <v>2.3129700000000004</v>
      </c>
    </row>
    <row r="902" spans="1:16" ht="16.5" x14ac:dyDescent="0.25">
      <c r="A902" s="2"/>
      <c r="B902" s="4"/>
      <c r="C902" s="18"/>
      <c r="E902" s="20">
        <v>44706</v>
      </c>
      <c r="F902" s="17" t="s">
        <v>194</v>
      </c>
      <c r="G902" s="21">
        <v>7.1280000000000001</v>
      </c>
      <c r="H902" s="21">
        <v>14.9</v>
      </c>
      <c r="I902" s="25">
        <v>0.19231073825503348</v>
      </c>
      <c r="J902" s="21">
        <v>1.4900000000000002</v>
      </c>
      <c r="K902" s="21">
        <v>0.97199999999999998</v>
      </c>
      <c r="L902" s="21">
        <v>1.788</v>
      </c>
      <c r="M902" s="17" t="s">
        <v>122</v>
      </c>
      <c r="N902" s="17" t="s">
        <v>117</v>
      </c>
      <c r="O902" s="21">
        <v>0.74500000000000011</v>
      </c>
      <c r="P902" s="21">
        <v>2.6715700000000004</v>
      </c>
    </row>
    <row r="903" spans="1:16" ht="16.5" x14ac:dyDescent="0.25">
      <c r="A903" s="2"/>
      <c r="B903" s="4"/>
      <c r="C903" s="18"/>
      <c r="E903" s="20">
        <v>44706</v>
      </c>
      <c r="F903" s="17" t="s">
        <v>194</v>
      </c>
      <c r="G903" s="21">
        <v>7.1280000000000001</v>
      </c>
      <c r="H903" s="21">
        <v>13.9</v>
      </c>
      <c r="I903" s="25">
        <v>0.15789424460431656</v>
      </c>
      <c r="J903" s="21">
        <v>1.3900000000000001</v>
      </c>
      <c r="K903" s="21">
        <v>0.97199999999999998</v>
      </c>
      <c r="L903" s="21">
        <v>1.6679999999999999</v>
      </c>
      <c r="M903" s="17" t="s">
        <v>121</v>
      </c>
      <c r="N903" s="17" t="s">
        <v>117</v>
      </c>
      <c r="O903" s="21">
        <v>0.69500000000000006</v>
      </c>
      <c r="P903" s="21">
        <v>2.4922700000000004</v>
      </c>
    </row>
    <row r="904" spans="1:16" ht="16.5" x14ac:dyDescent="0.25">
      <c r="A904" s="2"/>
      <c r="B904" s="4"/>
      <c r="C904" s="18"/>
      <c r="E904" s="20">
        <v>44706</v>
      </c>
      <c r="F904" s="17" t="s">
        <v>194</v>
      </c>
      <c r="G904" s="21">
        <v>7.1280000000000001</v>
      </c>
      <c r="H904" s="21">
        <v>12.9</v>
      </c>
      <c r="I904" s="25">
        <v>0.11814186046511629</v>
      </c>
      <c r="J904" s="21">
        <v>1.29</v>
      </c>
      <c r="K904" s="21">
        <v>0.97199999999999998</v>
      </c>
      <c r="L904" s="21">
        <v>1.548</v>
      </c>
      <c r="M904" s="17" t="s">
        <v>120</v>
      </c>
      <c r="N904" s="17" t="s">
        <v>117</v>
      </c>
      <c r="O904" s="21">
        <v>0.64500000000000002</v>
      </c>
      <c r="P904" s="21">
        <v>2.3129700000000004</v>
      </c>
    </row>
    <row r="905" spans="1:16" ht="16.5" x14ac:dyDescent="0.25">
      <c r="A905" s="2"/>
      <c r="B905" s="4"/>
      <c r="C905" s="18"/>
      <c r="E905" s="20">
        <v>44706</v>
      </c>
      <c r="F905" s="17" t="s">
        <v>194</v>
      </c>
      <c r="G905" s="21">
        <v>7.1280000000000001</v>
      </c>
      <c r="H905" s="21">
        <v>11.9</v>
      </c>
      <c r="I905" s="25">
        <v>7.1708403361344486E-2</v>
      </c>
      <c r="J905" s="21">
        <v>1.1900000000000002</v>
      </c>
      <c r="K905" s="21">
        <v>0.97199999999999998</v>
      </c>
      <c r="L905" s="21">
        <v>1.4279999999999999</v>
      </c>
      <c r="M905" s="17" t="s">
        <v>113</v>
      </c>
      <c r="N905" s="17" t="s">
        <v>117</v>
      </c>
      <c r="O905" s="21">
        <v>0.59500000000000008</v>
      </c>
      <c r="P905" s="21">
        <v>2.1336700000000004</v>
      </c>
    </row>
    <row r="906" spans="1:16" ht="16.5" x14ac:dyDescent="0.25">
      <c r="A906" s="2"/>
      <c r="B906" s="4"/>
      <c r="C906" s="18"/>
      <c r="E906" s="20">
        <v>44706</v>
      </c>
      <c r="F906" s="17" t="s">
        <v>193</v>
      </c>
      <c r="G906" s="21">
        <v>7.8320000000000007</v>
      </c>
      <c r="H906" s="21">
        <v>16.5</v>
      </c>
      <c r="I906" s="25">
        <v>0.19603333333333331</v>
      </c>
      <c r="J906" s="21">
        <v>1.6500000000000001</v>
      </c>
      <c r="K906" s="21">
        <v>1.0680000000000001</v>
      </c>
      <c r="L906" s="21">
        <v>1.98</v>
      </c>
      <c r="M906" s="17" t="s">
        <v>122</v>
      </c>
      <c r="N906" s="17" t="s">
        <v>117</v>
      </c>
      <c r="O906" s="21">
        <v>0.82500000000000007</v>
      </c>
      <c r="P906" s="21">
        <v>2.95845</v>
      </c>
    </row>
    <row r="907" spans="1:16" ht="16.5" x14ac:dyDescent="0.25">
      <c r="A907" s="2"/>
      <c r="B907" s="4"/>
      <c r="C907" s="18"/>
      <c r="E907" s="20">
        <v>44706</v>
      </c>
      <c r="F907" s="17" t="s">
        <v>193</v>
      </c>
      <c r="G907" s="21">
        <v>7.8320000000000007</v>
      </c>
      <c r="H907" s="21">
        <v>15.5</v>
      </c>
      <c r="I907" s="25">
        <v>0.16540967741935469</v>
      </c>
      <c r="J907" s="21">
        <v>1.55</v>
      </c>
      <c r="K907" s="21">
        <v>1.0680000000000001</v>
      </c>
      <c r="L907" s="21">
        <v>1.8599999999999999</v>
      </c>
      <c r="M907" s="17" t="s">
        <v>121</v>
      </c>
      <c r="N907" s="17" t="s">
        <v>117</v>
      </c>
      <c r="O907" s="21">
        <v>0.77500000000000002</v>
      </c>
      <c r="P907" s="21">
        <v>2.7791500000000005</v>
      </c>
    </row>
    <row r="908" spans="1:16" ht="16.5" x14ac:dyDescent="0.25">
      <c r="A908" s="2"/>
      <c r="B908" s="4"/>
      <c r="C908" s="18"/>
      <c r="E908" s="20">
        <v>44706</v>
      </c>
      <c r="F908" s="17" t="s">
        <v>193</v>
      </c>
      <c r="G908" s="21">
        <v>7.8320000000000007</v>
      </c>
      <c r="H908" s="21">
        <v>14.5</v>
      </c>
      <c r="I908" s="25">
        <v>0.13056206896551717</v>
      </c>
      <c r="J908" s="21">
        <v>1.4500000000000002</v>
      </c>
      <c r="K908" s="21">
        <v>1.0680000000000001</v>
      </c>
      <c r="L908" s="21">
        <v>1.74</v>
      </c>
      <c r="M908" s="17" t="s">
        <v>120</v>
      </c>
      <c r="N908" s="17" t="s">
        <v>117</v>
      </c>
      <c r="O908" s="21">
        <v>0.72500000000000009</v>
      </c>
      <c r="P908" s="21">
        <v>2.59985</v>
      </c>
    </row>
    <row r="909" spans="1:16" ht="16.5" x14ac:dyDescent="0.25">
      <c r="A909" s="2"/>
      <c r="B909" s="4"/>
      <c r="C909" s="18"/>
      <c r="E909" s="20">
        <v>44706</v>
      </c>
      <c r="F909" s="17" t="s">
        <v>193</v>
      </c>
      <c r="G909" s="21">
        <v>7.8320000000000007</v>
      </c>
      <c r="H909" s="21">
        <v>13.5</v>
      </c>
      <c r="I909" s="25">
        <v>9.0551851851851772E-2</v>
      </c>
      <c r="J909" s="21">
        <v>1.35</v>
      </c>
      <c r="K909" s="21">
        <v>1.0680000000000001</v>
      </c>
      <c r="L909" s="21">
        <v>1.6199999999999999</v>
      </c>
      <c r="M909" s="17" t="s">
        <v>113</v>
      </c>
      <c r="N909" s="17" t="s">
        <v>117</v>
      </c>
      <c r="O909" s="21">
        <v>0.67500000000000004</v>
      </c>
      <c r="P909" s="21">
        <v>2.4205500000000004</v>
      </c>
    </row>
    <row r="910" spans="1:16" ht="16.5" x14ac:dyDescent="0.25">
      <c r="A910" s="2"/>
      <c r="B910" s="4"/>
      <c r="C910" s="18"/>
      <c r="E910" s="20">
        <v>44706</v>
      </c>
      <c r="F910" s="17" t="s">
        <v>192</v>
      </c>
      <c r="G910" s="21">
        <v>7.04</v>
      </c>
      <c r="H910" s="21">
        <v>14.5</v>
      </c>
      <c r="I910" s="25">
        <v>0.18518275862068961</v>
      </c>
      <c r="J910" s="21">
        <v>1.4500000000000002</v>
      </c>
      <c r="K910" s="21">
        <v>0.96</v>
      </c>
      <c r="L910" s="21">
        <v>1.74</v>
      </c>
      <c r="M910" s="17" t="s">
        <v>122</v>
      </c>
      <c r="N910" s="17" t="s">
        <v>117</v>
      </c>
      <c r="O910" s="21">
        <v>0.72500000000000009</v>
      </c>
      <c r="P910" s="21">
        <v>2.59985</v>
      </c>
    </row>
    <row r="911" spans="1:16" ht="16.5" x14ac:dyDescent="0.25">
      <c r="A911" s="2"/>
      <c r="B911" s="4"/>
      <c r="C911" s="18"/>
      <c r="E911" s="20">
        <v>44706</v>
      </c>
      <c r="F911" s="17" t="s">
        <v>192</v>
      </c>
      <c r="G911" s="21">
        <v>7.04</v>
      </c>
      <c r="H911" s="21">
        <v>13.5</v>
      </c>
      <c r="I911" s="25">
        <v>0.1492185185185185</v>
      </c>
      <c r="J911" s="21">
        <v>1.35</v>
      </c>
      <c r="K911" s="21">
        <v>0.96</v>
      </c>
      <c r="L911" s="21">
        <v>1.6199999999999999</v>
      </c>
      <c r="M911" s="17" t="s">
        <v>121</v>
      </c>
      <c r="N911" s="17" t="s">
        <v>117</v>
      </c>
      <c r="O911" s="21">
        <v>0.67500000000000004</v>
      </c>
      <c r="P911" s="21">
        <v>2.4205500000000004</v>
      </c>
    </row>
    <row r="912" spans="1:16" ht="16.5" x14ac:dyDescent="0.25">
      <c r="A912" s="2"/>
      <c r="B912" s="4"/>
      <c r="C912" s="18"/>
      <c r="E912" s="20">
        <v>44706</v>
      </c>
      <c r="F912" s="17" t="s">
        <v>192</v>
      </c>
      <c r="G912" s="21">
        <v>7.04</v>
      </c>
      <c r="H912" s="21">
        <v>12.5</v>
      </c>
      <c r="I912" s="25">
        <v>0.10749999999999993</v>
      </c>
      <c r="J912" s="21">
        <v>1.25</v>
      </c>
      <c r="K912" s="21">
        <v>0.96</v>
      </c>
      <c r="L912" s="21">
        <v>1.5</v>
      </c>
      <c r="M912" s="17" t="s">
        <v>120</v>
      </c>
      <c r="N912" s="17" t="s">
        <v>117</v>
      </c>
      <c r="O912" s="21">
        <v>0.625</v>
      </c>
      <c r="P912" s="21">
        <v>2.24125</v>
      </c>
    </row>
    <row r="913" spans="1:16" ht="16.5" x14ac:dyDescent="0.25">
      <c r="A913" s="2"/>
      <c r="B913" s="4"/>
      <c r="C913" s="18"/>
      <c r="E913" s="20">
        <v>44706</v>
      </c>
      <c r="F913" s="17" t="s">
        <v>192</v>
      </c>
      <c r="G913" s="21">
        <v>7.04</v>
      </c>
      <c r="H913" s="21">
        <v>11.5</v>
      </c>
      <c r="I913" s="25">
        <v>5.8526086956521749E-2</v>
      </c>
      <c r="J913" s="21">
        <v>1.1500000000000001</v>
      </c>
      <c r="K913" s="21">
        <v>0.96</v>
      </c>
      <c r="L913" s="21">
        <v>1.38</v>
      </c>
      <c r="M913" s="17" t="s">
        <v>113</v>
      </c>
      <c r="N913" s="17" t="s">
        <v>117</v>
      </c>
      <c r="O913" s="21">
        <v>0.57500000000000007</v>
      </c>
      <c r="P913" s="21">
        <v>2.0619500000000004</v>
      </c>
    </row>
    <row r="914" spans="1:16" ht="16.5" x14ac:dyDescent="0.25">
      <c r="A914" s="2"/>
      <c r="B914" s="4"/>
      <c r="C914" s="18"/>
      <c r="E914" s="20">
        <v>44706</v>
      </c>
      <c r="F914" s="17" t="s">
        <v>191</v>
      </c>
      <c r="G914" s="21">
        <v>9.5920000000000005</v>
      </c>
      <c r="H914" s="21">
        <v>18.5</v>
      </c>
      <c r="I914" s="25">
        <v>0.15221351351351348</v>
      </c>
      <c r="J914" s="21">
        <v>1.85</v>
      </c>
      <c r="K914" s="21">
        <v>1.3080000000000001</v>
      </c>
      <c r="L914" s="21">
        <v>2.2199999999999998</v>
      </c>
      <c r="M914" s="17" t="s">
        <v>122</v>
      </c>
      <c r="N914" s="17" t="s">
        <v>117</v>
      </c>
      <c r="O914" s="21">
        <v>0.92500000000000004</v>
      </c>
      <c r="P914" s="21">
        <v>3.3170500000000001</v>
      </c>
    </row>
    <row r="915" spans="1:16" ht="16.5" x14ac:dyDescent="0.25">
      <c r="A915" s="2"/>
      <c r="B915" s="4"/>
      <c r="C915" s="18"/>
      <c r="E915" s="20">
        <v>44706</v>
      </c>
      <c r="F915" s="17" t="s">
        <v>191</v>
      </c>
      <c r="G915" s="21">
        <v>9.5920000000000005</v>
      </c>
      <c r="H915" s="21">
        <v>17.5</v>
      </c>
      <c r="I915" s="25">
        <v>0.12258571428571423</v>
      </c>
      <c r="J915" s="21">
        <v>1.75</v>
      </c>
      <c r="K915" s="21">
        <v>1.3080000000000001</v>
      </c>
      <c r="L915" s="21">
        <v>2.1</v>
      </c>
      <c r="M915" s="17" t="s">
        <v>121</v>
      </c>
      <c r="N915" s="17" t="s">
        <v>117</v>
      </c>
      <c r="O915" s="21">
        <v>0.875</v>
      </c>
      <c r="P915" s="21">
        <v>3.1377500000000005</v>
      </c>
    </row>
    <row r="916" spans="1:16" ht="16.5" x14ac:dyDescent="0.25">
      <c r="A916" s="2"/>
      <c r="B916" s="4"/>
      <c r="C916" s="18"/>
      <c r="E916" s="20">
        <v>44706</v>
      </c>
      <c r="F916" s="17" t="s">
        <v>191</v>
      </c>
      <c r="G916" s="21">
        <v>9.5920000000000005</v>
      </c>
      <c r="H916" s="21">
        <v>16.5</v>
      </c>
      <c r="I916" s="25">
        <v>8.9366666666666664E-2</v>
      </c>
      <c r="J916" s="21">
        <v>1.6500000000000001</v>
      </c>
      <c r="K916" s="21">
        <v>1.3080000000000001</v>
      </c>
      <c r="L916" s="21">
        <v>1.98</v>
      </c>
      <c r="M916" s="17" t="s">
        <v>120</v>
      </c>
      <c r="N916" s="17" t="s">
        <v>117</v>
      </c>
      <c r="O916" s="21">
        <v>0.82500000000000007</v>
      </c>
      <c r="P916" s="21">
        <v>2.95845</v>
      </c>
    </row>
    <row r="917" spans="1:16" ht="16.5" x14ac:dyDescent="0.25">
      <c r="A917" s="2"/>
      <c r="B917" s="4"/>
      <c r="C917" s="18"/>
      <c r="E917" s="20">
        <v>44706</v>
      </c>
      <c r="F917" s="17" t="s">
        <v>191</v>
      </c>
      <c r="G917" s="21">
        <v>9.5920000000000005</v>
      </c>
      <c r="H917" s="21">
        <v>15.5</v>
      </c>
      <c r="I917" s="25">
        <v>5.1861290322580529E-2</v>
      </c>
      <c r="J917" s="21">
        <v>1.55</v>
      </c>
      <c r="K917" s="21">
        <v>1.3080000000000001</v>
      </c>
      <c r="L917" s="21">
        <v>1.8599999999999999</v>
      </c>
      <c r="M917" s="17" t="s">
        <v>113</v>
      </c>
      <c r="N917" s="17" t="s">
        <v>117</v>
      </c>
      <c r="O917" s="21">
        <v>0.77500000000000002</v>
      </c>
      <c r="P917" s="21">
        <v>2.7791500000000005</v>
      </c>
    </row>
    <row r="918" spans="1:16" ht="16.5" x14ac:dyDescent="0.25">
      <c r="A918" s="2"/>
      <c r="B918" s="4"/>
      <c r="C918" s="18"/>
      <c r="E918" s="20">
        <v>44665</v>
      </c>
      <c r="F918" s="17" t="s">
        <v>188</v>
      </c>
      <c r="G918" s="21">
        <v>7.04</v>
      </c>
      <c r="H918" s="21">
        <v>17</v>
      </c>
      <c r="I918" s="25">
        <v>0.19658235294117635</v>
      </c>
      <c r="J918" s="21">
        <v>1.7000000000000002</v>
      </c>
      <c r="K918" s="21">
        <v>0.96</v>
      </c>
      <c r="L918" s="21">
        <v>3.06</v>
      </c>
      <c r="M918" s="17" t="s">
        <v>122</v>
      </c>
      <c r="N918" s="17" t="s">
        <v>117</v>
      </c>
      <c r="O918" s="21">
        <v>0.85000000000000009</v>
      </c>
      <c r="P918" s="21">
        <v>4.0681000000000003</v>
      </c>
    </row>
    <row r="919" spans="1:16" ht="16.5" x14ac:dyDescent="0.25">
      <c r="A919" s="2"/>
      <c r="B919" s="4"/>
      <c r="C919" s="18"/>
      <c r="E919" s="20">
        <v>44665</v>
      </c>
      <c r="F919" s="17" t="s">
        <v>188</v>
      </c>
      <c r="G919" s="21">
        <v>7.04</v>
      </c>
      <c r="H919" s="21">
        <v>16</v>
      </c>
      <c r="I919" s="25">
        <v>0.17069999999999994</v>
      </c>
      <c r="J919" s="21">
        <v>1.6</v>
      </c>
      <c r="K919" s="21">
        <v>0.96</v>
      </c>
      <c r="L919" s="21">
        <v>2.88</v>
      </c>
      <c r="M919" s="17" t="s">
        <v>121</v>
      </c>
      <c r="N919" s="17" t="s">
        <v>117</v>
      </c>
      <c r="O919" s="21">
        <v>0.8</v>
      </c>
      <c r="P919" s="21">
        <v>3.8288000000000002</v>
      </c>
    </row>
    <row r="920" spans="1:16" ht="16.5" x14ac:dyDescent="0.25">
      <c r="A920" s="2"/>
      <c r="B920" s="4"/>
      <c r="C920" s="18"/>
      <c r="E920" s="20">
        <v>44665</v>
      </c>
      <c r="F920" s="17" t="s">
        <v>188</v>
      </c>
      <c r="G920" s="21">
        <v>7.04</v>
      </c>
      <c r="H920" s="21">
        <v>15</v>
      </c>
      <c r="I920" s="25">
        <v>0.14136666666666658</v>
      </c>
      <c r="J920" s="21">
        <v>1.5</v>
      </c>
      <c r="K920" s="21">
        <v>0.96</v>
      </c>
      <c r="L920" s="21">
        <v>2.6999999999999997</v>
      </c>
      <c r="M920" s="17" t="s">
        <v>120</v>
      </c>
      <c r="N920" s="17" t="s">
        <v>117</v>
      </c>
      <c r="O920" s="21">
        <v>0.75</v>
      </c>
      <c r="P920" s="21">
        <v>3.5895000000000001</v>
      </c>
    </row>
    <row r="921" spans="1:16" ht="16.5" x14ac:dyDescent="0.25">
      <c r="A921" s="2"/>
      <c r="B921" s="4"/>
      <c r="C921" s="18"/>
      <c r="E921" s="20">
        <v>44665</v>
      </c>
      <c r="F921" s="17" t="s">
        <v>188</v>
      </c>
      <c r="G921" s="21">
        <v>7.04</v>
      </c>
      <c r="H921" s="21">
        <v>14</v>
      </c>
      <c r="I921" s="25">
        <v>0.10784285714285705</v>
      </c>
      <c r="J921" s="21">
        <v>1.4000000000000001</v>
      </c>
      <c r="K921" s="21">
        <v>0.96</v>
      </c>
      <c r="L921" s="21">
        <v>2.52</v>
      </c>
      <c r="M921" s="17" t="s">
        <v>113</v>
      </c>
      <c r="N921" s="17" t="s">
        <v>117</v>
      </c>
      <c r="O921" s="21">
        <v>0.70000000000000007</v>
      </c>
      <c r="P921" s="21">
        <v>3.3502000000000001</v>
      </c>
    </row>
    <row r="922" spans="1:16" ht="16.5" x14ac:dyDescent="0.25">
      <c r="A922" s="2"/>
      <c r="B922" s="4"/>
      <c r="C922" s="18"/>
      <c r="E922" s="20">
        <v>44665</v>
      </c>
      <c r="F922" s="17" t="s">
        <v>187</v>
      </c>
      <c r="G922" s="21">
        <v>8.36</v>
      </c>
      <c r="H922" s="21">
        <v>19.5</v>
      </c>
      <c r="I922" s="25">
        <v>0.18198205128205125</v>
      </c>
      <c r="J922" s="21">
        <v>1.9500000000000002</v>
      </c>
      <c r="K922" s="21">
        <v>1.1399999999999999</v>
      </c>
      <c r="L922" s="21">
        <v>3.51</v>
      </c>
      <c r="M922" s="17" t="s">
        <v>122</v>
      </c>
      <c r="N922" s="17" t="s">
        <v>117</v>
      </c>
      <c r="O922" s="21">
        <v>0.97500000000000009</v>
      </c>
      <c r="P922" s="21">
        <v>4.6663500000000004</v>
      </c>
    </row>
    <row r="923" spans="1:16" ht="16.5" x14ac:dyDescent="0.25">
      <c r="A923" s="2"/>
      <c r="B923" s="4"/>
      <c r="C923" s="18"/>
      <c r="E923" s="20">
        <v>44665</v>
      </c>
      <c r="F923" s="17" t="s">
        <v>187</v>
      </c>
      <c r="G923" s="21">
        <v>8.36</v>
      </c>
      <c r="H923" s="21">
        <v>18.5</v>
      </c>
      <c r="I923" s="25">
        <v>0.15880810810810808</v>
      </c>
      <c r="J923" s="21">
        <v>1.85</v>
      </c>
      <c r="K923" s="21">
        <v>1.1399999999999999</v>
      </c>
      <c r="L923" s="21">
        <v>3.33</v>
      </c>
      <c r="M923" s="17" t="s">
        <v>121</v>
      </c>
      <c r="N923" s="17" t="s">
        <v>117</v>
      </c>
      <c r="O923" s="21">
        <v>0.92500000000000004</v>
      </c>
      <c r="P923" s="21">
        <v>4.4270500000000004</v>
      </c>
    </row>
    <row r="924" spans="1:16" ht="16.5" x14ac:dyDescent="0.25">
      <c r="A924" s="2"/>
      <c r="B924" s="4"/>
      <c r="C924" s="18"/>
      <c r="E924" s="20">
        <v>44665</v>
      </c>
      <c r="F924" s="17" t="s">
        <v>187</v>
      </c>
      <c r="G924" s="21">
        <v>8.36</v>
      </c>
      <c r="H924" s="21">
        <v>17.5</v>
      </c>
      <c r="I924" s="25">
        <v>0.13298571428571426</v>
      </c>
      <c r="J924" s="21">
        <v>1.75</v>
      </c>
      <c r="K924" s="21">
        <v>1.1399999999999999</v>
      </c>
      <c r="L924" s="21">
        <v>3.15</v>
      </c>
      <c r="M924" s="17" t="s">
        <v>120</v>
      </c>
      <c r="N924" s="17" t="s">
        <v>117</v>
      </c>
      <c r="O924" s="21">
        <v>0.875</v>
      </c>
      <c r="P924" s="21">
        <v>4.1877500000000003</v>
      </c>
    </row>
    <row r="925" spans="1:16" ht="16.5" x14ac:dyDescent="0.25">
      <c r="A925" s="2"/>
      <c r="B925" s="4"/>
      <c r="C925" s="18"/>
      <c r="E925" s="20">
        <v>44665</v>
      </c>
      <c r="F925" s="17" t="s">
        <v>187</v>
      </c>
      <c r="G925" s="21">
        <v>8.36</v>
      </c>
      <c r="H925" s="21">
        <v>18</v>
      </c>
      <c r="I925" s="25">
        <v>0.1462555555555555</v>
      </c>
      <c r="J925" s="21">
        <v>1.8</v>
      </c>
      <c r="K925" s="21">
        <v>1.1399999999999999</v>
      </c>
      <c r="L925" s="21">
        <v>3.2399999999999998</v>
      </c>
      <c r="M925" s="17" t="s">
        <v>122</v>
      </c>
      <c r="N925" s="17" t="s">
        <v>117</v>
      </c>
      <c r="O925" s="21">
        <v>0.9</v>
      </c>
      <c r="P925" s="21">
        <v>4.3074000000000003</v>
      </c>
    </row>
    <row r="926" spans="1:16" ht="16.5" x14ac:dyDescent="0.25">
      <c r="A926" s="2"/>
      <c r="B926" s="4"/>
      <c r="C926" s="18"/>
      <c r="E926" s="20">
        <v>44665</v>
      </c>
      <c r="F926" s="17" t="s">
        <v>187</v>
      </c>
      <c r="G926" s="21">
        <v>8.36</v>
      </c>
      <c r="H926" s="21">
        <v>17.5</v>
      </c>
      <c r="I926" s="25">
        <v>0.13298571428571426</v>
      </c>
      <c r="J926" s="21">
        <v>1.75</v>
      </c>
      <c r="K926" s="21">
        <v>1.1399999999999999</v>
      </c>
      <c r="L926" s="21">
        <v>3.15</v>
      </c>
      <c r="M926" s="17" t="s">
        <v>121</v>
      </c>
      <c r="N926" s="17" t="s">
        <v>117</v>
      </c>
      <c r="O926" s="21">
        <v>0.875</v>
      </c>
      <c r="P926" s="21">
        <v>4.1877500000000003</v>
      </c>
    </row>
    <row r="927" spans="1:16" ht="16.5" x14ac:dyDescent="0.25">
      <c r="A927" s="2"/>
      <c r="B927" s="4"/>
      <c r="C927" s="18"/>
      <c r="E927" s="20">
        <v>44665</v>
      </c>
      <c r="F927" s="17" t="s">
        <v>187</v>
      </c>
      <c r="G927" s="21">
        <v>8.36</v>
      </c>
      <c r="H927" s="21">
        <v>17</v>
      </c>
      <c r="I927" s="25">
        <v>0.11893529411764701</v>
      </c>
      <c r="J927" s="21">
        <v>1.7000000000000002</v>
      </c>
      <c r="K927" s="21">
        <v>1.1399999999999999</v>
      </c>
      <c r="L927" s="21">
        <v>3.06</v>
      </c>
      <c r="M927" s="17" t="s">
        <v>120</v>
      </c>
      <c r="N927" s="17" t="s">
        <v>117</v>
      </c>
      <c r="O927" s="21">
        <v>0.85000000000000009</v>
      </c>
      <c r="P927" s="21">
        <v>4.0681000000000003</v>
      </c>
    </row>
    <row r="928" spans="1:16" ht="16.5" x14ac:dyDescent="0.25">
      <c r="A928" s="2"/>
      <c r="B928" s="4"/>
      <c r="C928" s="18"/>
      <c r="E928" s="20">
        <v>44665</v>
      </c>
      <c r="F928" s="17" t="s">
        <v>187</v>
      </c>
      <c r="G928" s="21">
        <v>8.36</v>
      </c>
      <c r="H928" s="21">
        <v>16.5</v>
      </c>
      <c r="I928" s="25">
        <v>0.10403333333333328</v>
      </c>
      <c r="J928" s="21">
        <v>1.6500000000000001</v>
      </c>
      <c r="K928" s="21">
        <v>1.1399999999999999</v>
      </c>
      <c r="L928" s="21">
        <v>2.9699999999999998</v>
      </c>
      <c r="M928" s="17" t="s">
        <v>113</v>
      </c>
      <c r="N928" s="17" t="s">
        <v>117</v>
      </c>
      <c r="O928" s="21">
        <v>0.82500000000000007</v>
      </c>
      <c r="P928" s="21">
        <v>3.9484500000000002</v>
      </c>
    </row>
    <row r="929" spans="1:16" ht="16.5" x14ac:dyDescent="0.25">
      <c r="A929" s="2"/>
      <c r="B929" s="4"/>
      <c r="C929" s="18"/>
      <c r="E929" s="20">
        <v>44665</v>
      </c>
      <c r="F929" s="17" t="s">
        <v>103</v>
      </c>
      <c r="G929" s="21">
        <v>8.8000000000000007</v>
      </c>
      <c r="H929" s="21">
        <v>17.5</v>
      </c>
      <c r="I929" s="25">
        <v>0.21784285714285709</v>
      </c>
      <c r="J929" s="21">
        <v>1.75</v>
      </c>
      <c r="K929" s="21">
        <v>1.2</v>
      </c>
      <c r="L929" s="21">
        <v>1.2250000000000001</v>
      </c>
      <c r="M929" s="17" t="s">
        <v>122</v>
      </c>
      <c r="N929" s="17" t="s">
        <v>117</v>
      </c>
      <c r="O929" s="21">
        <v>0.875</v>
      </c>
      <c r="P929" s="21">
        <v>2.26275</v>
      </c>
    </row>
    <row r="930" spans="1:16" ht="16.5" x14ac:dyDescent="0.25">
      <c r="A930" s="2"/>
      <c r="B930" s="4"/>
      <c r="C930" s="18"/>
      <c r="E930" s="20">
        <v>44665</v>
      </c>
      <c r="F930" s="17" t="s">
        <v>103</v>
      </c>
      <c r="G930" s="21">
        <v>8.8000000000000007</v>
      </c>
      <c r="H930" s="21">
        <v>16.5</v>
      </c>
      <c r="I930" s="25">
        <v>0.1873666666666666</v>
      </c>
      <c r="J930" s="21">
        <v>1.6500000000000001</v>
      </c>
      <c r="K930" s="21">
        <v>1.2</v>
      </c>
      <c r="L930" s="21">
        <v>1.155</v>
      </c>
      <c r="M930" s="17" t="s">
        <v>121</v>
      </c>
      <c r="N930" s="17" t="s">
        <v>117</v>
      </c>
      <c r="O930" s="21">
        <v>0.82500000000000007</v>
      </c>
      <c r="P930" s="21">
        <v>2.1334499999999998</v>
      </c>
    </row>
    <row r="931" spans="1:16" ht="16.5" x14ac:dyDescent="0.25">
      <c r="A931" s="2"/>
      <c r="B931" s="4"/>
      <c r="C931" s="18"/>
      <c r="E931" s="20">
        <v>44665</v>
      </c>
      <c r="F931" s="17" t="s">
        <v>103</v>
      </c>
      <c r="G931" s="21">
        <v>8.8000000000000007</v>
      </c>
      <c r="H931" s="21">
        <v>15.5</v>
      </c>
      <c r="I931" s="25">
        <v>0.15295806451612903</v>
      </c>
      <c r="J931" s="21">
        <v>1.55</v>
      </c>
      <c r="K931" s="21">
        <v>1.2</v>
      </c>
      <c r="L931" s="21">
        <v>1.0850000000000002</v>
      </c>
      <c r="M931" s="17" t="s">
        <v>120</v>
      </c>
      <c r="N931" s="17" t="s">
        <v>117</v>
      </c>
      <c r="O931" s="21">
        <v>0.77500000000000002</v>
      </c>
      <c r="P931" s="21">
        <v>2.0041500000000001</v>
      </c>
    </row>
    <row r="932" spans="1:16" ht="16.5" x14ac:dyDescent="0.25">
      <c r="A932" s="2"/>
      <c r="B932" s="4"/>
      <c r="C932" s="18"/>
      <c r="E932" s="20">
        <v>44665</v>
      </c>
      <c r="F932" s="17" t="s">
        <v>103</v>
      </c>
      <c r="G932" s="21">
        <v>8.8000000000000007</v>
      </c>
      <c r="H932" s="21">
        <v>14.5</v>
      </c>
      <c r="I932" s="25">
        <v>0.11380344827586197</v>
      </c>
      <c r="J932" s="21">
        <v>1.4500000000000002</v>
      </c>
      <c r="K932" s="21">
        <v>1.2</v>
      </c>
      <c r="L932" s="21">
        <v>1.0150000000000001</v>
      </c>
      <c r="M932" s="17" t="s">
        <v>113</v>
      </c>
      <c r="N932" s="17" t="s">
        <v>117</v>
      </c>
      <c r="O932" s="21">
        <v>0.72500000000000009</v>
      </c>
      <c r="P932" s="21">
        <v>1.8748499999999999</v>
      </c>
    </row>
    <row r="933" spans="1:16" ht="16.5" x14ac:dyDescent="0.25">
      <c r="A933" s="2"/>
      <c r="B933" s="4"/>
      <c r="C933" s="18"/>
      <c r="E933" s="20">
        <v>44665</v>
      </c>
      <c r="F933" s="17" t="s">
        <v>102</v>
      </c>
      <c r="G933" s="21">
        <v>18.48</v>
      </c>
      <c r="H933" s="21">
        <v>33</v>
      </c>
      <c r="I933" s="25">
        <v>0.16069999999999995</v>
      </c>
      <c r="J933" s="21">
        <v>3.3000000000000003</v>
      </c>
      <c r="K933" s="21">
        <v>2.52</v>
      </c>
      <c r="L933" s="21">
        <v>2.31</v>
      </c>
      <c r="M933" s="17" t="s">
        <v>122</v>
      </c>
      <c r="N933" s="17" t="s">
        <v>117</v>
      </c>
      <c r="O933" s="21">
        <v>1.6500000000000001</v>
      </c>
      <c r="P933" s="21">
        <v>4.2668999999999997</v>
      </c>
    </row>
    <row r="934" spans="1:16" ht="16.5" x14ac:dyDescent="0.25">
      <c r="A934" s="2"/>
      <c r="B934" s="4"/>
      <c r="C934" s="18"/>
      <c r="E934" s="20">
        <v>44665</v>
      </c>
      <c r="F934" s="17" t="s">
        <v>102</v>
      </c>
      <c r="G934" s="21">
        <v>18.48</v>
      </c>
      <c r="H934" s="21">
        <v>32</v>
      </c>
      <c r="I934" s="25">
        <v>0.14320000000000002</v>
      </c>
      <c r="J934" s="21">
        <v>3.2</v>
      </c>
      <c r="K934" s="21">
        <v>2.52</v>
      </c>
      <c r="L934" s="21">
        <v>2.2400000000000002</v>
      </c>
      <c r="M934" s="17" t="s">
        <v>121</v>
      </c>
      <c r="N934" s="17" t="s">
        <v>117</v>
      </c>
      <c r="O934" s="21">
        <v>1.6</v>
      </c>
      <c r="P934" s="21">
        <v>4.1375999999999999</v>
      </c>
    </row>
    <row r="935" spans="1:16" ht="16.5" x14ac:dyDescent="0.25">
      <c r="A935" s="2"/>
      <c r="B935" s="4"/>
      <c r="C935" s="18"/>
      <c r="E935" s="20">
        <v>44665</v>
      </c>
      <c r="F935" s="17" t="s">
        <v>102</v>
      </c>
      <c r="G935" s="21">
        <v>18.48</v>
      </c>
      <c r="H935" s="21">
        <v>31</v>
      </c>
      <c r="I935" s="25">
        <v>0.12457096774193552</v>
      </c>
      <c r="J935" s="21">
        <v>3.1</v>
      </c>
      <c r="K935" s="21">
        <v>2.52</v>
      </c>
      <c r="L935" s="21">
        <v>2.1700000000000004</v>
      </c>
      <c r="M935" s="17" t="s">
        <v>120</v>
      </c>
      <c r="N935" s="17" t="s">
        <v>117</v>
      </c>
      <c r="O935" s="21">
        <v>1.55</v>
      </c>
      <c r="P935" s="21">
        <v>4.0083000000000002</v>
      </c>
    </row>
    <row r="936" spans="1:16" ht="16.5" x14ac:dyDescent="0.25">
      <c r="A936" s="2"/>
      <c r="B936" s="4"/>
      <c r="C936" s="18"/>
      <c r="E936" s="20">
        <v>44665</v>
      </c>
      <c r="F936" s="17" t="s">
        <v>102</v>
      </c>
      <c r="G936" s="21">
        <v>18.48</v>
      </c>
      <c r="H936" s="21">
        <v>30</v>
      </c>
      <c r="I936" s="25">
        <v>0.10469999999999995</v>
      </c>
      <c r="J936" s="21">
        <v>3</v>
      </c>
      <c r="K936" s="21">
        <v>2.52</v>
      </c>
      <c r="L936" s="21">
        <v>2.1</v>
      </c>
      <c r="M936" s="17" t="s">
        <v>113</v>
      </c>
      <c r="N936" s="17" t="s">
        <v>117</v>
      </c>
      <c r="O936" s="21">
        <v>1.5</v>
      </c>
      <c r="P936" s="21">
        <v>3.879</v>
      </c>
    </row>
    <row r="937" spans="1:16" ht="16.5" x14ac:dyDescent="0.25">
      <c r="A937" s="2"/>
      <c r="B937" s="4"/>
      <c r="C937" s="18"/>
      <c r="E937" s="20">
        <v>44665</v>
      </c>
      <c r="F937" s="17" t="s">
        <v>102</v>
      </c>
      <c r="G937" s="21">
        <v>18.48</v>
      </c>
      <c r="H937" s="21">
        <v>30</v>
      </c>
      <c r="I937" s="25">
        <v>0.10469999999999995</v>
      </c>
      <c r="J937" s="21">
        <v>3</v>
      </c>
      <c r="K937" s="21">
        <v>2.52</v>
      </c>
      <c r="L937" s="21">
        <v>2.1</v>
      </c>
      <c r="M937" s="17" t="s">
        <v>122</v>
      </c>
      <c r="N937" s="17" t="s">
        <v>117</v>
      </c>
      <c r="O937" s="21">
        <v>1.5</v>
      </c>
      <c r="P937" s="21">
        <v>3.879</v>
      </c>
    </row>
    <row r="938" spans="1:16" ht="16.5" x14ac:dyDescent="0.25">
      <c r="A938" s="2"/>
      <c r="B938" s="4"/>
      <c r="C938" s="18"/>
      <c r="E938" s="20">
        <v>44665</v>
      </c>
      <c r="F938" s="17" t="s">
        <v>101</v>
      </c>
      <c r="G938" s="21">
        <v>10.56</v>
      </c>
      <c r="H938" s="21">
        <v>20.5</v>
      </c>
      <c r="I938" s="25">
        <v>0.2055780487804878</v>
      </c>
      <c r="J938" s="21">
        <v>2.0500000000000003</v>
      </c>
      <c r="K938" s="21">
        <v>1.44</v>
      </c>
      <c r="L938" s="21">
        <v>1.4350000000000001</v>
      </c>
      <c r="M938" s="17" t="s">
        <v>122</v>
      </c>
      <c r="N938" s="17" t="s">
        <v>117</v>
      </c>
      <c r="O938" s="21">
        <v>1.0250000000000001</v>
      </c>
      <c r="P938" s="21">
        <v>2.6506500000000002</v>
      </c>
    </row>
    <row r="939" spans="1:16" ht="16.5" x14ac:dyDescent="0.25">
      <c r="A939" s="2"/>
      <c r="B939" s="4"/>
      <c r="C939" s="18"/>
      <c r="E939" s="20">
        <v>44665</v>
      </c>
      <c r="F939" s="17" t="s">
        <v>101</v>
      </c>
      <c r="G939" s="21">
        <v>10.56</v>
      </c>
      <c r="H939" s="21">
        <v>19.5</v>
      </c>
      <c r="I939" s="25">
        <v>0.17916153846153854</v>
      </c>
      <c r="J939" s="21">
        <v>1.9500000000000002</v>
      </c>
      <c r="K939" s="21">
        <v>1.44</v>
      </c>
      <c r="L939" s="21">
        <v>1.3650000000000002</v>
      </c>
      <c r="M939" s="17" t="s">
        <v>121</v>
      </c>
      <c r="N939" s="17" t="s">
        <v>117</v>
      </c>
      <c r="O939" s="21">
        <v>0.97500000000000009</v>
      </c>
      <c r="P939" s="21">
        <v>2.52135</v>
      </c>
    </row>
    <row r="940" spans="1:16" ht="16.5" x14ac:dyDescent="0.25">
      <c r="A940" s="2"/>
      <c r="B940" s="4"/>
      <c r="C940" s="18"/>
      <c r="E940" s="20">
        <v>44665</v>
      </c>
      <c r="F940" s="17" t="s">
        <v>101</v>
      </c>
      <c r="G940" s="21">
        <v>10.56</v>
      </c>
      <c r="H940" s="21">
        <v>21.5</v>
      </c>
      <c r="I940" s="25">
        <v>0.2295372093023256</v>
      </c>
      <c r="J940" s="21">
        <v>2.15</v>
      </c>
      <c r="K940" s="21">
        <v>1.44</v>
      </c>
      <c r="L940" s="21">
        <v>1.5050000000000001</v>
      </c>
      <c r="M940" s="17" t="s">
        <v>122</v>
      </c>
      <c r="N940" s="17" t="s">
        <v>117</v>
      </c>
      <c r="O940" s="21">
        <v>1.075</v>
      </c>
      <c r="P940" s="21">
        <v>2.7799499999999999</v>
      </c>
    </row>
    <row r="941" spans="1:16" ht="16.5" x14ac:dyDescent="0.25">
      <c r="A941" s="2"/>
      <c r="B941" s="4"/>
      <c r="C941" s="18"/>
      <c r="E941" s="20">
        <v>44665</v>
      </c>
      <c r="F941" s="17" t="s">
        <v>101</v>
      </c>
      <c r="G941" s="21">
        <v>10.56</v>
      </c>
      <c r="H941" s="21">
        <v>20.5</v>
      </c>
      <c r="I941" s="25">
        <v>0.2055780487804878</v>
      </c>
      <c r="J941" s="21">
        <v>2.0500000000000003</v>
      </c>
      <c r="K941" s="21">
        <v>1.44</v>
      </c>
      <c r="L941" s="21">
        <v>1.4350000000000001</v>
      </c>
      <c r="M941" s="17" t="s">
        <v>121</v>
      </c>
      <c r="N941" s="17" t="s">
        <v>117</v>
      </c>
      <c r="O941" s="21">
        <v>1.0250000000000001</v>
      </c>
      <c r="P941" s="21">
        <v>2.6506500000000002</v>
      </c>
    </row>
    <row r="942" spans="1:16" ht="16.5" x14ac:dyDescent="0.25">
      <c r="A942" s="2"/>
      <c r="B942" s="4"/>
      <c r="C942" s="18"/>
      <c r="E942" s="20">
        <v>44665</v>
      </c>
      <c r="F942" s="17" t="s">
        <v>101</v>
      </c>
      <c r="G942" s="21">
        <v>10.56</v>
      </c>
      <c r="H942" s="21">
        <v>18.5</v>
      </c>
      <c r="I942" s="25">
        <v>0.14988918918918911</v>
      </c>
      <c r="J942" s="21">
        <v>1.85</v>
      </c>
      <c r="K942" s="21">
        <v>1.44</v>
      </c>
      <c r="L942" s="21">
        <v>1.2950000000000002</v>
      </c>
      <c r="M942" s="17" t="s">
        <v>120</v>
      </c>
      <c r="N942" s="17" t="s">
        <v>117</v>
      </c>
      <c r="O942" s="21">
        <v>0.92500000000000004</v>
      </c>
      <c r="P942" s="21">
        <v>2.3920499999999998</v>
      </c>
    </row>
    <row r="943" spans="1:16" ht="16.5" x14ac:dyDescent="0.25">
      <c r="A943" s="2"/>
      <c r="B943" s="4"/>
      <c r="C943" s="18"/>
      <c r="E943" s="20">
        <v>44665</v>
      </c>
      <c r="F943" s="17" t="s">
        <v>101</v>
      </c>
      <c r="G943" s="21">
        <v>10.56</v>
      </c>
      <c r="H943" s="21">
        <v>17.5</v>
      </c>
      <c r="I943" s="25">
        <v>0.11727142857142851</v>
      </c>
      <c r="J943" s="21">
        <v>1.75</v>
      </c>
      <c r="K943" s="21">
        <v>1.44</v>
      </c>
      <c r="L943" s="21">
        <v>1.2250000000000001</v>
      </c>
      <c r="M943" s="17" t="s">
        <v>113</v>
      </c>
      <c r="N943" s="17" t="s">
        <v>117</v>
      </c>
      <c r="O943" s="21">
        <v>0.875</v>
      </c>
      <c r="P943" s="21">
        <v>2.26275</v>
      </c>
    </row>
    <row r="944" spans="1:16" ht="16.5" x14ac:dyDescent="0.25">
      <c r="A944" s="2"/>
      <c r="B944" s="4"/>
      <c r="C944" s="18"/>
      <c r="E944" s="20">
        <v>44665</v>
      </c>
      <c r="F944" s="17" t="s">
        <v>98</v>
      </c>
      <c r="G944" s="21">
        <v>7.04</v>
      </c>
      <c r="H944" s="21">
        <v>13</v>
      </c>
      <c r="I944" s="25">
        <v>0.25346153846153846</v>
      </c>
      <c r="J944" s="21">
        <v>1.3</v>
      </c>
      <c r="K944" s="21">
        <v>0.96</v>
      </c>
      <c r="L944" s="21">
        <v>0.71499999999999997</v>
      </c>
      <c r="M944" s="17" t="s">
        <v>122</v>
      </c>
      <c r="N944" s="17" t="s">
        <v>116</v>
      </c>
      <c r="O944" s="21">
        <v>0.65</v>
      </c>
      <c r="P944" s="21">
        <v>0.71499999999999997</v>
      </c>
    </row>
    <row r="945" spans="1:16" ht="16.5" x14ac:dyDescent="0.25">
      <c r="A945" s="2"/>
      <c r="B945" s="4"/>
      <c r="C945" s="18"/>
      <c r="E945" s="20">
        <v>44665</v>
      </c>
      <c r="F945" s="17" t="s">
        <v>98</v>
      </c>
      <c r="G945" s="21">
        <v>7.04</v>
      </c>
      <c r="H945" s="21">
        <v>12.5</v>
      </c>
      <c r="I945" s="25">
        <v>0.23180000000000001</v>
      </c>
      <c r="J945" s="21">
        <v>1.25</v>
      </c>
      <c r="K945" s="21">
        <v>0.96</v>
      </c>
      <c r="L945" s="21">
        <v>0.6875</v>
      </c>
      <c r="M945" s="17" t="s">
        <v>121</v>
      </c>
      <c r="N945" s="17" t="s">
        <v>116</v>
      </c>
      <c r="O945" s="21">
        <v>0.625</v>
      </c>
      <c r="P945" s="21">
        <v>0.6875</v>
      </c>
    </row>
    <row r="946" spans="1:16" ht="16.5" x14ac:dyDescent="0.25">
      <c r="A946" s="2"/>
      <c r="B946" s="4"/>
      <c r="C946" s="18"/>
      <c r="E946" s="20">
        <v>44665</v>
      </c>
      <c r="F946" s="17" t="s">
        <v>98</v>
      </c>
      <c r="G946" s="21">
        <v>7.04</v>
      </c>
      <c r="H946" s="21">
        <v>12</v>
      </c>
      <c r="I946" s="25">
        <v>0.20833333333333329</v>
      </c>
      <c r="J946" s="21">
        <v>1.2000000000000002</v>
      </c>
      <c r="K946" s="21">
        <v>0.96</v>
      </c>
      <c r="L946" s="21">
        <v>0.66</v>
      </c>
      <c r="M946" s="17" t="s">
        <v>120</v>
      </c>
      <c r="N946" s="17" t="s">
        <v>116</v>
      </c>
      <c r="O946" s="21">
        <v>0.60000000000000009</v>
      </c>
      <c r="P946" s="21">
        <v>0.66</v>
      </c>
    </row>
    <row r="947" spans="1:16" ht="16.5" x14ac:dyDescent="0.25">
      <c r="A947" s="2"/>
      <c r="B947" s="4"/>
      <c r="C947" s="18"/>
      <c r="E947" s="20">
        <v>44665</v>
      </c>
      <c r="F947" s="17" t="s">
        <v>98</v>
      </c>
      <c r="G947" s="21">
        <v>7.04</v>
      </c>
      <c r="H947" s="21">
        <v>11.5</v>
      </c>
      <c r="I947" s="25">
        <v>0.18282608695652167</v>
      </c>
      <c r="J947" s="21">
        <v>1.1500000000000001</v>
      </c>
      <c r="K947" s="21">
        <v>0.96</v>
      </c>
      <c r="L947" s="21">
        <v>0.63249999999999995</v>
      </c>
      <c r="M947" s="17" t="s">
        <v>113</v>
      </c>
      <c r="N947" s="17" t="s">
        <v>116</v>
      </c>
      <c r="O947" s="21">
        <v>0.57500000000000007</v>
      </c>
      <c r="P947" s="21">
        <v>0.63249999999999995</v>
      </c>
    </row>
    <row r="948" spans="1:16" ht="16.5" x14ac:dyDescent="0.25">
      <c r="A948" s="2"/>
      <c r="B948" s="4"/>
      <c r="C948" s="18"/>
      <c r="E948" s="20">
        <v>44665</v>
      </c>
      <c r="F948" s="17" t="s">
        <v>98</v>
      </c>
      <c r="G948" s="21">
        <v>7.04</v>
      </c>
      <c r="H948" s="21">
        <v>12</v>
      </c>
      <c r="I948" s="25">
        <v>0.20833333333333329</v>
      </c>
      <c r="J948" s="21">
        <v>1.2000000000000002</v>
      </c>
      <c r="K948" s="21">
        <v>0.96</v>
      </c>
      <c r="L948" s="21">
        <v>0.66</v>
      </c>
      <c r="M948" s="17" t="s">
        <v>113</v>
      </c>
      <c r="N948" s="17" t="s">
        <v>116</v>
      </c>
      <c r="O948" s="21">
        <v>0.60000000000000009</v>
      </c>
      <c r="P948" s="21">
        <v>0.66</v>
      </c>
    </row>
    <row r="949" spans="1:16" ht="16.5" x14ac:dyDescent="0.25">
      <c r="A949" s="2"/>
      <c r="B949" s="4"/>
      <c r="C949" s="18"/>
      <c r="E949" s="20">
        <v>44665</v>
      </c>
      <c r="F949" s="17" t="s">
        <v>98</v>
      </c>
      <c r="G949" s="21">
        <v>7.04</v>
      </c>
      <c r="H949" s="21">
        <v>11.5</v>
      </c>
      <c r="I949" s="25">
        <v>0.18282608695652167</v>
      </c>
      <c r="J949" s="21">
        <v>1.1500000000000001</v>
      </c>
      <c r="K949" s="21">
        <v>0.96</v>
      </c>
      <c r="L949" s="21">
        <v>0.63249999999999995</v>
      </c>
      <c r="M949" s="17" t="s">
        <v>113</v>
      </c>
      <c r="N949" s="17" t="s">
        <v>116</v>
      </c>
      <c r="O949" s="21">
        <v>0.57500000000000007</v>
      </c>
      <c r="P949" s="21">
        <v>0.63249999999999995</v>
      </c>
    </row>
    <row r="950" spans="1:16" ht="16.5" x14ac:dyDescent="0.25">
      <c r="A950" s="2"/>
      <c r="B950" s="4"/>
      <c r="C950" s="18"/>
      <c r="E950" s="20">
        <v>44665</v>
      </c>
      <c r="F950" s="17" t="s">
        <v>98</v>
      </c>
      <c r="G950" s="21">
        <v>7.04</v>
      </c>
      <c r="H950" s="21">
        <v>11.9</v>
      </c>
      <c r="I950" s="25">
        <v>0.20340336134453779</v>
      </c>
      <c r="J950" s="21">
        <v>1.1900000000000002</v>
      </c>
      <c r="K950" s="21">
        <v>0.96</v>
      </c>
      <c r="L950" s="21">
        <v>0.65449999999999997</v>
      </c>
      <c r="M950" s="17" t="s">
        <v>113</v>
      </c>
      <c r="N950" s="17" t="s">
        <v>116</v>
      </c>
      <c r="O950" s="21">
        <v>0.59500000000000008</v>
      </c>
      <c r="P950" s="21">
        <v>0.65449999999999997</v>
      </c>
    </row>
    <row r="951" spans="1:16" ht="16.5" x14ac:dyDescent="0.25">
      <c r="A951" s="2"/>
      <c r="B951" s="4"/>
      <c r="C951" s="18"/>
      <c r="E951" s="20">
        <v>44665</v>
      </c>
      <c r="F951" s="17" t="s">
        <v>98</v>
      </c>
      <c r="G951" s="21">
        <v>7.04</v>
      </c>
      <c r="H951" s="21">
        <v>11.9</v>
      </c>
      <c r="I951" s="25">
        <v>0.20340336134453779</v>
      </c>
      <c r="J951" s="21">
        <v>1.1900000000000002</v>
      </c>
      <c r="K951" s="21">
        <v>0.96</v>
      </c>
      <c r="L951" s="21">
        <v>0.65449999999999997</v>
      </c>
      <c r="M951" s="17" t="s">
        <v>122</v>
      </c>
      <c r="N951" s="17" t="s">
        <v>116</v>
      </c>
      <c r="O951" s="21">
        <v>0.59500000000000008</v>
      </c>
      <c r="P951" s="21">
        <v>0.65449999999999997</v>
      </c>
    </row>
    <row r="952" spans="1:16" ht="16.5" x14ac:dyDescent="0.25">
      <c r="A952" s="2"/>
      <c r="B952" s="4"/>
      <c r="C952" s="18"/>
      <c r="E952" s="20">
        <v>44665</v>
      </c>
      <c r="F952" s="17" t="s">
        <v>98</v>
      </c>
      <c r="G952" s="21">
        <v>7.04</v>
      </c>
      <c r="H952" s="21">
        <v>15.9</v>
      </c>
      <c r="I952" s="25">
        <v>0.22793270440251573</v>
      </c>
      <c r="J952" s="21">
        <v>1.59</v>
      </c>
      <c r="K952" s="21">
        <v>0.96</v>
      </c>
      <c r="L952" s="21">
        <v>1.9079999999999999</v>
      </c>
      <c r="M952" s="17" t="s">
        <v>122</v>
      </c>
      <c r="N952" s="17" t="s">
        <v>117</v>
      </c>
      <c r="O952" s="21">
        <v>0.79500000000000004</v>
      </c>
      <c r="P952" s="21">
        <v>2.8508700000000005</v>
      </c>
    </row>
    <row r="953" spans="1:16" ht="16.5" x14ac:dyDescent="0.25">
      <c r="A953" s="2"/>
      <c r="B953" s="4"/>
      <c r="C953" s="18"/>
      <c r="E953" s="20">
        <v>44665</v>
      </c>
      <c r="F953" s="17" t="s">
        <v>98</v>
      </c>
      <c r="G953" s="21">
        <v>7.04</v>
      </c>
      <c r="H953" s="21">
        <v>14.9</v>
      </c>
      <c r="I953" s="25">
        <v>0.19821677852348987</v>
      </c>
      <c r="J953" s="21">
        <v>1.4900000000000002</v>
      </c>
      <c r="K953" s="21">
        <v>0.96</v>
      </c>
      <c r="L953" s="21">
        <v>1.788</v>
      </c>
      <c r="M953" s="17" t="s">
        <v>121</v>
      </c>
      <c r="N953" s="17" t="s">
        <v>117</v>
      </c>
      <c r="O953" s="21">
        <v>0.74500000000000011</v>
      </c>
      <c r="P953" s="21">
        <v>2.6715700000000004</v>
      </c>
    </row>
    <row r="954" spans="1:16" ht="16.5" x14ac:dyDescent="0.25">
      <c r="A954" s="2"/>
      <c r="B954" s="4"/>
      <c r="C954" s="18"/>
      <c r="E954" s="20">
        <v>44665</v>
      </c>
      <c r="F954" s="17" t="s">
        <v>98</v>
      </c>
      <c r="G954" s="21">
        <v>7.04</v>
      </c>
      <c r="H954" s="21">
        <v>13.9</v>
      </c>
      <c r="I954" s="25">
        <v>0.16422517985611512</v>
      </c>
      <c r="J954" s="21">
        <v>1.3900000000000001</v>
      </c>
      <c r="K954" s="21">
        <v>0.96</v>
      </c>
      <c r="L954" s="21">
        <v>1.6679999999999999</v>
      </c>
      <c r="M954" s="17" t="s">
        <v>120</v>
      </c>
      <c r="N954" s="17" t="s">
        <v>117</v>
      </c>
      <c r="O954" s="21">
        <v>0.69500000000000006</v>
      </c>
      <c r="P954" s="21">
        <v>2.4922700000000004</v>
      </c>
    </row>
    <row r="955" spans="1:16" ht="16.5" x14ac:dyDescent="0.25">
      <c r="A955" s="2"/>
      <c r="B955" s="4"/>
      <c r="C955" s="18"/>
      <c r="E955" s="20">
        <v>44665</v>
      </c>
      <c r="F955" s="17" t="s">
        <v>98</v>
      </c>
      <c r="G955" s="21">
        <v>7.04</v>
      </c>
      <c r="H955" s="21">
        <v>12.9</v>
      </c>
      <c r="I955" s="25">
        <v>0.12496356589147289</v>
      </c>
      <c r="J955" s="21">
        <v>1.29</v>
      </c>
      <c r="K955" s="21">
        <v>0.96</v>
      </c>
      <c r="L955" s="21">
        <v>1.548</v>
      </c>
      <c r="M955" s="17" t="s">
        <v>113</v>
      </c>
      <c r="N955" s="17" t="s">
        <v>117</v>
      </c>
      <c r="O955" s="21">
        <v>0.64500000000000002</v>
      </c>
      <c r="P955" s="21">
        <v>2.3129700000000004</v>
      </c>
    </row>
    <row r="956" spans="1:16" ht="16.5" x14ac:dyDescent="0.25">
      <c r="A956" s="2"/>
      <c r="B956" s="4"/>
      <c r="C956" s="18"/>
      <c r="E956" s="20">
        <v>44665</v>
      </c>
      <c r="F956" s="17" t="s">
        <v>97</v>
      </c>
      <c r="G956" s="21">
        <v>8.36</v>
      </c>
      <c r="H956" s="21">
        <v>17.899999999999999</v>
      </c>
      <c r="I956" s="25">
        <v>0.20366089385474861</v>
      </c>
      <c r="J956" s="21">
        <v>1.79</v>
      </c>
      <c r="K956" s="21">
        <v>1.1399999999999999</v>
      </c>
      <c r="L956" s="21">
        <v>2.1479999999999997</v>
      </c>
      <c r="M956" s="17" t="s">
        <v>122</v>
      </c>
      <c r="N956" s="17" t="s">
        <v>117</v>
      </c>
      <c r="O956" s="21">
        <v>0.89500000000000002</v>
      </c>
      <c r="P956" s="21">
        <v>3.20947</v>
      </c>
    </row>
    <row r="957" spans="1:16" ht="16.5" x14ac:dyDescent="0.25">
      <c r="A957" s="2"/>
      <c r="B957" s="4"/>
      <c r="C957" s="18"/>
      <c r="E957" s="20">
        <v>44665</v>
      </c>
      <c r="F957" s="17" t="s">
        <v>97</v>
      </c>
      <c r="G957" s="21">
        <v>8.36</v>
      </c>
      <c r="H957" s="21">
        <v>16.899999999999999</v>
      </c>
      <c r="I957" s="25">
        <v>0.17602544378698223</v>
      </c>
      <c r="J957" s="21">
        <v>1.69</v>
      </c>
      <c r="K957" s="21">
        <v>1.1399999999999999</v>
      </c>
      <c r="L957" s="21">
        <v>2.0279999999999996</v>
      </c>
      <c r="M957" s="17" t="s">
        <v>121</v>
      </c>
      <c r="N957" s="17" t="s">
        <v>117</v>
      </c>
      <c r="O957" s="21">
        <v>0.84499999999999997</v>
      </c>
      <c r="P957" s="21">
        <v>3.03017</v>
      </c>
    </row>
    <row r="958" spans="1:16" ht="16.5" x14ac:dyDescent="0.25">
      <c r="A958" s="2"/>
      <c r="B958" s="4"/>
      <c r="C958" s="18"/>
      <c r="E958" s="20">
        <v>44665</v>
      </c>
      <c r="F958" s="17" t="s">
        <v>97</v>
      </c>
      <c r="G958" s="21">
        <v>8.36</v>
      </c>
      <c r="H958" s="21">
        <v>15.9</v>
      </c>
      <c r="I958" s="25">
        <v>0.14491383647798747</v>
      </c>
      <c r="J958" s="21">
        <v>1.59</v>
      </c>
      <c r="K958" s="21">
        <v>1.1399999999999999</v>
      </c>
      <c r="L958" s="21">
        <v>1.9079999999999999</v>
      </c>
      <c r="M958" s="17" t="s">
        <v>120</v>
      </c>
      <c r="N958" s="17" t="s">
        <v>117</v>
      </c>
      <c r="O958" s="21">
        <v>0.79500000000000004</v>
      </c>
      <c r="P958" s="21">
        <v>2.8508700000000005</v>
      </c>
    </row>
    <row r="959" spans="1:16" ht="16.5" x14ac:dyDescent="0.25">
      <c r="A959" s="2"/>
      <c r="B959" s="4"/>
      <c r="C959" s="18"/>
      <c r="E959" s="20">
        <v>44665</v>
      </c>
      <c r="F959" s="17" t="s">
        <v>97</v>
      </c>
      <c r="G959" s="21">
        <v>8.36</v>
      </c>
      <c r="H959" s="21">
        <v>16.899999999999999</v>
      </c>
      <c r="I959" s="25">
        <v>0.17602544378698223</v>
      </c>
      <c r="J959" s="21">
        <v>1.69</v>
      </c>
      <c r="K959" s="21">
        <v>1.1399999999999999</v>
      </c>
      <c r="L959" s="21">
        <v>2.0279999999999996</v>
      </c>
      <c r="M959" s="17" t="s">
        <v>120</v>
      </c>
      <c r="N959" s="17" t="s">
        <v>117</v>
      </c>
      <c r="O959" s="21">
        <v>0.84499999999999997</v>
      </c>
      <c r="P959" s="21">
        <v>3.03017</v>
      </c>
    </row>
    <row r="960" spans="1:16" ht="16.5" x14ac:dyDescent="0.25">
      <c r="A960" s="2"/>
      <c r="B960" s="4"/>
      <c r="C960" s="18"/>
      <c r="E960" s="20">
        <v>44665</v>
      </c>
      <c r="F960" s="17" t="s">
        <v>97</v>
      </c>
      <c r="G960" s="21">
        <v>8.36</v>
      </c>
      <c r="H960" s="21">
        <v>15.9</v>
      </c>
      <c r="I960" s="25">
        <v>0.14491383647798747</v>
      </c>
      <c r="J960" s="21">
        <v>1.59</v>
      </c>
      <c r="K960" s="21">
        <v>1.1399999999999999</v>
      </c>
      <c r="L960" s="21">
        <v>1.9079999999999999</v>
      </c>
      <c r="M960" s="17" t="s">
        <v>120</v>
      </c>
      <c r="N960" s="17" t="s">
        <v>117</v>
      </c>
      <c r="O960" s="21">
        <v>0.79500000000000004</v>
      </c>
      <c r="P960" s="21">
        <v>2.8508700000000005</v>
      </c>
    </row>
    <row r="961" spans="1:16" ht="16.5" x14ac:dyDescent="0.25">
      <c r="A961" s="2"/>
      <c r="B961" s="4"/>
      <c r="C961" s="18"/>
      <c r="E961" s="20">
        <v>44665</v>
      </c>
      <c r="F961" s="17" t="s">
        <v>97</v>
      </c>
      <c r="G961" s="21">
        <v>8.36</v>
      </c>
      <c r="H961" s="21">
        <v>14.9</v>
      </c>
      <c r="I961" s="25">
        <v>0.10962617449664427</v>
      </c>
      <c r="J961" s="21">
        <v>1.4900000000000002</v>
      </c>
      <c r="K961" s="21">
        <v>1.1399999999999999</v>
      </c>
      <c r="L961" s="21">
        <v>1.788</v>
      </c>
      <c r="M961" s="17" t="s">
        <v>113</v>
      </c>
      <c r="N961" s="17" t="s">
        <v>117</v>
      </c>
      <c r="O961" s="21">
        <v>0.74500000000000011</v>
      </c>
      <c r="P961" s="21">
        <v>2.6715700000000004</v>
      </c>
    </row>
    <row r="962" spans="1:16" ht="16.5" x14ac:dyDescent="0.25">
      <c r="A962" s="2"/>
      <c r="B962" s="4"/>
      <c r="C962" s="18"/>
      <c r="E962" s="20">
        <v>44664</v>
      </c>
      <c r="F962" s="17" t="s">
        <v>185</v>
      </c>
      <c r="G962" s="21">
        <v>4.1588356200980394</v>
      </c>
      <c r="H962" s="21">
        <v>10</v>
      </c>
      <c r="I962" s="25">
        <v>0.19481643799019599</v>
      </c>
      <c r="J962" s="21">
        <v>1</v>
      </c>
      <c r="K962" s="21">
        <v>0.38830729166666667</v>
      </c>
      <c r="L962" s="21">
        <v>1.7999999999999998</v>
      </c>
      <c r="M962" s="17" t="s">
        <v>122</v>
      </c>
      <c r="N962" s="17" t="s">
        <v>117</v>
      </c>
      <c r="O962" s="21">
        <v>0.5</v>
      </c>
      <c r="P962" s="21">
        <v>2.3930000000000002</v>
      </c>
    </row>
    <row r="963" spans="1:16" ht="16.5" x14ac:dyDescent="0.25">
      <c r="A963" s="2"/>
      <c r="B963" s="4"/>
      <c r="C963" s="18"/>
      <c r="E963" s="20">
        <v>44664</v>
      </c>
      <c r="F963" s="17" t="s">
        <v>185</v>
      </c>
      <c r="G963" s="21">
        <v>4.1588356200980394</v>
      </c>
      <c r="H963" s="21">
        <v>9.5</v>
      </c>
      <c r="I963" s="25">
        <v>0.17292782946336419</v>
      </c>
      <c r="J963" s="21">
        <v>0.95000000000000007</v>
      </c>
      <c r="K963" s="21">
        <v>0.38830729166666667</v>
      </c>
      <c r="L963" s="21">
        <v>1.71</v>
      </c>
      <c r="M963" s="17" t="s">
        <v>121</v>
      </c>
      <c r="N963" s="17" t="s">
        <v>117</v>
      </c>
      <c r="O963" s="21">
        <v>0.47500000000000003</v>
      </c>
      <c r="P963" s="21">
        <v>2.2733500000000002</v>
      </c>
    </row>
    <row r="964" spans="1:16" ht="16.5" x14ac:dyDescent="0.25">
      <c r="A964" s="2"/>
      <c r="B964" s="4"/>
      <c r="C964" s="18"/>
      <c r="E964" s="20">
        <v>44664</v>
      </c>
      <c r="F964" s="17" t="s">
        <v>185</v>
      </c>
      <c r="G964" s="21">
        <v>4.1588356200980394</v>
      </c>
      <c r="H964" s="21">
        <v>9</v>
      </c>
      <c r="I964" s="25">
        <v>0.14860715332243998</v>
      </c>
      <c r="J964" s="21">
        <v>0.9</v>
      </c>
      <c r="K964" s="21">
        <v>0.38830729166666667</v>
      </c>
      <c r="L964" s="21">
        <v>1.6199999999999999</v>
      </c>
      <c r="M964" s="17" t="s">
        <v>120</v>
      </c>
      <c r="N964" s="17" t="s">
        <v>117</v>
      </c>
      <c r="O964" s="21">
        <v>0.45</v>
      </c>
      <c r="P964" s="21">
        <v>2.1537000000000002</v>
      </c>
    </row>
    <row r="965" spans="1:16" ht="16.5" x14ac:dyDescent="0.25">
      <c r="A965" s="2"/>
      <c r="B965" s="4"/>
      <c r="C965" s="18"/>
      <c r="E965" s="20">
        <v>44664</v>
      </c>
      <c r="F965" s="17" t="s">
        <v>185</v>
      </c>
      <c r="G965" s="21">
        <v>4.1588356200980394</v>
      </c>
      <c r="H965" s="21">
        <v>8.5</v>
      </c>
      <c r="I965" s="25">
        <v>0.12142522116493645</v>
      </c>
      <c r="J965" s="21">
        <v>0.85000000000000009</v>
      </c>
      <c r="K965" s="21">
        <v>0.38830729166666667</v>
      </c>
      <c r="L965" s="21">
        <v>1.53</v>
      </c>
      <c r="M965" s="17" t="s">
        <v>113</v>
      </c>
      <c r="N965" s="17" t="s">
        <v>117</v>
      </c>
      <c r="O965" s="21">
        <v>0.42500000000000004</v>
      </c>
      <c r="P965" s="21">
        <v>2.0340500000000001</v>
      </c>
    </row>
    <row r="966" spans="1:16" ht="16.5" x14ac:dyDescent="0.25">
      <c r="A966" s="2"/>
      <c r="B966" s="4"/>
      <c r="C966" s="18"/>
      <c r="E966" s="20">
        <v>44664</v>
      </c>
      <c r="F966" s="17" t="s">
        <v>87</v>
      </c>
      <c r="G966" s="21">
        <v>4.5471429117647064</v>
      </c>
      <c r="H966" s="21">
        <v>8</v>
      </c>
      <c r="I966" s="25">
        <v>0.28160713602941168</v>
      </c>
      <c r="J966" s="21">
        <v>0.8</v>
      </c>
      <c r="K966" s="21">
        <v>0.38830729166666667</v>
      </c>
      <c r="L966" s="21">
        <v>0</v>
      </c>
      <c r="M966" s="17" t="s">
        <v>122</v>
      </c>
      <c r="N966" s="17" t="s">
        <v>115</v>
      </c>
      <c r="O966" s="21">
        <v>0.4</v>
      </c>
      <c r="P966" s="21">
        <v>0</v>
      </c>
    </row>
    <row r="967" spans="1:16" ht="16.5" x14ac:dyDescent="0.25">
      <c r="A967" s="2"/>
      <c r="B967" s="4"/>
      <c r="C967" s="18"/>
      <c r="E967" s="20">
        <v>44664</v>
      </c>
      <c r="F967" s="17" t="s">
        <v>87</v>
      </c>
      <c r="G967" s="21">
        <v>4.5471429117647064</v>
      </c>
      <c r="H967" s="21">
        <v>7.5</v>
      </c>
      <c r="I967" s="25">
        <v>0.24371427843137247</v>
      </c>
      <c r="J967" s="21">
        <v>0.75</v>
      </c>
      <c r="K967" s="21">
        <v>0.38830729166666667</v>
      </c>
      <c r="L967" s="21">
        <v>0</v>
      </c>
      <c r="M967" s="17" t="s">
        <v>121</v>
      </c>
      <c r="N967" s="17" t="s">
        <v>115</v>
      </c>
      <c r="O967" s="21">
        <v>0.375</v>
      </c>
      <c r="P967" s="21">
        <v>0</v>
      </c>
    </row>
    <row r="968" spans="1:16" ht="16.5" x14ac:dyDescent="0.25">
      <c r="A968" s="2"/>
      <c r="B968" s="4"/>
      <c r="C968" s="18"/>
      <c r="E968" s="20">
        <v>44664</v>
      </c>
      <c r="F968" s="17" t="s">
        <v>87</v>
      </c>
      <c r="G968" s="21">
        <v>4.5471429117647064</v>
      </c>
      <c r="H968" s="21">
        <v>7</v>
      </c>
      <c r="I968" s="25">
        <v>0.20040815546218477</v>
      </c>
      <c r="J968" s="21">
        <v>0.70000000000000007</v>
      </c>
      <c r="K968" s="21">
        <v>0.38830729166666667</v>
      </c>
      <c r="L968" s="21">
        <v>0</v>
      </c>
      <c r="M968" s="17" t="s">
        <v>120</v>
      </c>
      <c r="N968" s="17" t="s">
        <v>115</v>
      </c>
      <c r="O968" s="21">
        <v>0.35000000000000003</v>
      </c>
      <c r="P968" s="21">
        <v>0</v>
      </c>
    </row>
    <row r="969" spans="1:16" ht="16.5" x14ac:dyDescent="0.25">
      <c r="A969" s="2"/>
      <c r="B969" s="4"/>
      <c r="C969" s="18"/>
      <c r="E969" s="20">
        <v>44664</v>
      </c>
      <c r="F969" s="17" t="s">
        <v>87</v>
      </c>
      <c r="G969" s="21">
        <v>4.5471429117647064</v>
      </c>
      <c r="H969" s="21">
        <v>6.5</v>
      </c>
      <c r="I969" s="25">
        <v>0.15043955203619902</v>
      </c>
      <c r="J969" s="21">
        <v>0.65</v>
      </c>
      <c r="K969" s="21">
        <v>0.38830729166666667</v>
      </c>
      <c r="L969" s="21">
        <v>0</v>
      </c>
      <c r="M969" s="17" t="s">
        <v>113</v>
      </c>
      <c r="N969" s="17" t="s">
        <v>115</v>
      </c>
      <c r="O969" s="21">
        <v>0.32500000000000001</v>
      </c>
      <c r="P969" s="21">
        <v>0</v>
      </c>
    </row>
    <row r="970" spans="1:16" ht="16.5" x14ac:dyDescent="0.25">
      <c r="A970" s="2"/>
      <c r="B970" s="4"/>
      <c r="C970" s="18"/>
      <c r="E970" s="20">
        <v>44664</v>
      </c>
      <c r="F970" s="17" t="s">
        <v>87</v>
      </c>
      <c r="G970" s="21">
        <v>4.5471429117647064</v>
      </c>
      <c r="H970" s="21">
        <v>6.5</v>
      </c>
      <c r="I970" s="25">
        <v>0.15043955203619902</v>
      </c>
      <c r="J970" s="21">
        <v>0.65</v>
      </c>
      <c r="K970" s="21">
        <v>0.38830729166666667</v>
      </c>
      <c r="L970" s="21">
        <v>0</v>
      </c>
      <c r="M970" s="17" t="s">
        <v>122</v>
      </c>
      <c r="N970" s="17" t="s">
        <v>115</v>
      </c>
      <c r="O970" s="21">
        <v>0.32500000000000001</v>
      </c>
      <c r="P970" s="21">
        <v>0</v>
      </c>
    </row>
    <row r="971" spans="1:16" ht="16.5" x14ac:dyDescent="0.25">
      <c r="A971" s="2"/>
      <c r="B971" s="4"/>
      <c r="C971" s="18"/>
      <c r="E971" s="20">
        <v>44664</v>
      </c>
      <c r="F971" s="17" t="s">
        <v>87</v>
      </c>
      <c r="G971" s="21">
        <v>4.1588356200980394</v>
      </c>
      <c r="H971" s="21">
        <v>9</v>
      </c>
      <c r="I971" s="25">
        <v>0.25860715332244</v>
      </c>
      <c r="J971" s="21">
        <v>0.9</v>
      </c>
      <c r="K971" s="21">
        <v>0.38830729166666667</v>
      </c>
      <c r="L971" s="21">
        <v>0.63000000000000012</v>
      </c>
      <c r="M971" s="17" t="s">
        <v>122</v>
      </c>
      <c r="N971" s="17" t="s">
        <v>117</v>
      </c>
      <c r="O971" s="21">
        <v>0.45</v>
      </c>
      <c r="P971" s="21">
        <v>1.1637</v>
      </c>
    </row>
    <row r="972" spans="1:16" ht="16.5" x14ac:dyDescent="0.25">
      <c r="A972" s="2"/>
      <c r="B972" s="4"/>
      <c r="C972" s="18"/>
      <c r="E972" s="20">
        <v>44664</v>
      </c>
      <c r="F972" s="17" t="s">
        <v>87</v>
      </c>
      <c r="G972" s="21">
        <v>4.1588356200980394</v>
      </c>
      <c r="H972" s="21">
        <v>8.5</v>
      </c>
      <c r="I972" s="25">
        <v>0.23142522116493655</v>
      </c>
      <c r="J972" s="21">
        <v>0.85000000000000009</v>
      </c>
      <c r="K972" s="21">
        <v>0.38830729166666667</v>
      </c>
      <c r="L972" s="21">
        <v>0.59500000000000008</v>
      </c>
      <c r="M972" s="17" t="s">
        <v>121</v>
      </c>
      <c r="N972" s="17" t="s">
        <v>117</v>
      </c>
      <c r="O972" s="21">
        <v>0.42500000000000004</v>
      </c>
      <c r="P972" s="21">
        <v>1.0990500000000001</v>
      </c>
    </row>
    <row r="973" spans="1:16" ht="16.5" x14ac:dyDescent="0.25">
      <c r="A973" s="2"/>
      <c r="B973" s="4"/>
      <c r="C973" s="18"/>
      <c r="E973" s="20">
        <v>44664</v>
      </c>
      <c r="F973" s="17" t="s">
        <v>87</v>
      </c>
      <c r="G973" s="21">
        <v>4.1588356200980394</v>
      </c>
      <c r="H973" s="21">
        <v>8</v>
      </c>
      <c r="I973" s="25">
        <v>0.20084554748774511</v>
      </c>
      <c r="J973" s="21">
        <v>0.8</v>
      </c>
      <c r="K973" s="21">
        <v>0.38830729166666667</v>
      </c>
      <c r="L973" s="21">
        <v>0.56000000000000005</v>
      </c>
      <c r="M973" s="17" t="s">
        <v>120</v>
      </c>
      <c r="N973" s="17" t="s">
        <v>117</v>
      </c>
      <c r="O973" s="21">
        <v>0.4</v>
      </c>
      <c r="P973" s="21">
        <v>1.0344</v>
      </c>
    </row>
    <row r="974" spans="1:16" ht="16.5" x14ac:dyDescent="0.25">
      <c r="A974" s="2"/>
      <c r="B974" s="4"/>
      <c r="C974" s="18"/>
      <c r="E974" s="20">
        <v>44664</v>
      </c>
      <c r="F974" s="17" t="s">
        <v>87</v>
      </c>
      <c r="G974" s="21">
        <v>4.1588356200980394</v>
      </c>
      <c r="H974" s="21">
        <v>7.5</v>
      </c>
      <c r="I974" s="25">
        <v>0.16618858398692804</v>
      </c>
      <c r="J974" s="21">
        <v>0.75</v>
      </c>
      <c r="K974" s="21">
        <v>0.38830729166666667</v>
      </c>
      <c r="L974" s="21">
        <v>0.52500000000000002</v>
      </c>
      <c r="M974" s="17" t="s">
        <v>113</v>
      </c>
      <c r="N974" s="17" t="s">
        <v>117</v>
      </c>
      <c r="O974" s="21">
        <v>0.375</v>
      </c>
      <c r="P974" s="21">
        <v>0.96975</v>
      </c>
    </row>
    <row r="975" spans="1:16" ht="16.5" x14ac:dyDescent="0.25">
      <c r="A975" s="2"/>
      <c r="B975" s="4"/>
      <c r="C975" s="18"/>
      <c r="E975" s="20">
        <v>44664</v>
      </c>
      <c r="F975" s="17" t="s">
        <v>186</v>
      </c>
      <c r="G975" s="21">
        <v>7.2589658284313741</v>
      </c>
      <c r="H975" s="21">
        <v>15.5</v>
      </c>
      <c r="I975" s="25">
        <v>0.14237962397216933</v>
      </c>
      <c r="J975" s="21">
        <v>1.55</v>
      </c>
      <c r="K975" s="21">
        <v>0.54036458333333337</v>
      </c>
      <c r="L975" s="21">
        <v>2.79</v>
      </c>
      <c r="M975" s="17" t="s">
        <v>122</v>
      </c>
      <c r="N975" s="17" t="s">
        <v>117</v>
      </c>
      <c r="O975" s="21">
        <v>0.77500000000000002</v>
      </c>
      <c r="P975" s="21">
        <v>3.7091500000000002</v>
      </c>
    </row>
    <row r="976" spans="1:16" ht="16.5" x14ac:dyDescent="0.25">
      <c r="A976" s="2"/>
      <c r="B976" s="4"/>
      <c r="C976" s="18"/>
      <c r="E976" s="20">
        <v>44664</v>
      </c>
      <c r="F976" s="17" t="s">
        <v>186</v>
      </c>
      <c r="G976" s="21">
        <v>7.2589658284313741</v>
      </c>
      <c r="H976" s="21">
        <v>15</v>
      </c>
      <c r="I976" s="25">
        <v>0.12676894477124165</v>
      </c>
      <c r="J976" s="21">
        <v>1.5</v>
      </c>
      <c r="K976" s="21">
        <v>0.54036458333333337</v>
      </c>
      <c r="L976" s="21">
        <v>2.6999999999999997</v>
      </c>
      <c r="M976" s="17" t="s">
        <v>121</v>
      </c>
      <c r="N976" s="17" t="s">
        <v>117</v>
      </c>
      <c r="O976" s="21">
        <v>0.75</v>
      </c>
      <c r="P976" s="21">
        <v>3.5895000000000001</v>
      </c>
    </row>
    <row r="977" spans="1:16" ht="16.5" x14ac:dyDescent="0.25">
      <c r="A977" s="2"/>
      <c r="B977" s="4"/>
      <c r="C977" s="18"/>
      <c r="E977" s="20">
        <v>44664</v>
      </c>
      <c r="F977" s="17" t="s">
        <v>186</v>
      </c>
      <c r="G977" s="21">
        <v>7.2589658284313741</v>
      </c>
      <c r="H977" s="21">
        <v>14.5</v>
      </c>
      <c r="I977" s="25">
        <v>0.11008166700473274</v>
      </c>
      <c r="J977" s="21">
        <v>1.4500000000000002</v>
      </c>
      <c r="K977" s="21">
        <v>0.54036458333333337</v>
      </c>
      <c r="L977" s="21">
        <v>2.61</v>
      </c>
      <c r="M977" s="17" t="s">
        <v>120</v>
      </c>
      <c r="N977" s="17" t="s">
        <v>117</v>
      </c>
      <c r="O977" s="21">
        <v>0.72500000000000009</v>
      </c>
      <c r="P977" s="21">
        <v>3.4698500000000001</v>
      </c>
    </row>
    <row r="978" spans="1:16" ht="16.5" x14ac:dyDescent="0.25">
      <c r="A978" s="2"/>
      <c r="B978" s="4"/>
      <c r="C978" s="18"/>
      <c r="E978" s="20">
        <v>44664</v>
      </c>
      <c r="F978" s="17" t="s">
        <v>186</v>
      </c>
      <c r="G978" s="21">
        <v>7.2589658284313741</v>
      </c>
      <c r="H978" s="21">
        <v>14</v>
      </c>
      <c r="I978" s="25">
        <v>9.2202440826330334E-2</v>
      </c>
      <c r="J978" s="21">
        <v>1.4000000000000001</v>
      </c>
      <c r="K978" s="21">
        <v>0.54036458333333337</v>
      </c>
      <c r="L978" s="21">
        <v>2.52</v>
      </c>
      <c r="M978" s="17" t="s">
        <v>113</v>
      </c>
      <c r="N978" s="17" t="s">
        <v>117</v>
      </c>
      <c r="O978" s="21">
        <v>0.70000000000000007</v>
      </c>
      <c r="P978" s="21">
        <v>3.3502000000000001</v>
      </c>
    </row>
    <row r="979" spans="1:16" ht="16.5" x14ac:dyDescent="0.25">
      <c r="A979" s="2"/>
      <c r="B979" s="4"/>
      <c r="C979" s="18"/>
      <c r="E979" s="20">
        <v>44664</v>
      </c>
      <c r="F979" s="17" t="s">
        <v>88</v>
      </c>
      <c r="G979" s="21">
        <v>7.7993304117647071</v>
      </c>
      <c r="H979" s="21">
        <v>12</v>
      </c>
      <c r="I979" s="25">
        <v>0.20005579901960771</v>
      </c>
      <c r="J979" s="21">
        <v>1.2000000000000002</v>
      </c>
      <c r="K979" s="21">
        <v>0.54036458333333337</v>
      </c>
      <c r="L979" s="21">
        <v>0</v>
      </c>
      <c r="M979" s="17" t="s">
        <v>122</v>
      </c>
      <c r="N979" s="17" t="s">
        <v>115</v>
      </c>
      <c r="O979" s="21">
        <v>0.60000000000000009</v>
      </c>
      <c r="P979" s="21">
        <v>0</v>
      </c>
    </row>
    <row r="980" spans="1:16" ht="16.5" x14ac:dyDescent="0.25">
      <c r="A980" s="2"/>
      <c r="B980" s="4"/>
      <c r="C980" s="18"/>
      <c r="E980" s="20">
        <v>44664</v>
      </c>
      <c r="F980" s="17" t="s">
        <v>88</v>
      </c>
      <c r="G980" s="21">
        <v>7.7993304117647071</v>
      </c>
      <c r="H980" s="21">
        <v>11.5</v>
      </c>
      <c r="I980" s="25">
        <v>0.1717973554987211</v>
      </c>
      <c r="J980" s="21">
        <v>1.1500000000000001</v>
      </c>
      <c r="K980" s="21">
        <v>0.54036458333333337</v>
      </c>
      <c r="L980" s="21">
        <v>0</v>
      </c>
      <c r="M980" s="17" t="s">
        <v>121</v>
      </c>
      <c r="N980" s="17" t="s">
        <v>115</v>
      </c>
      <c r="O980" s="21">
        <v>0.57500000000000007</v>
      </c>
      <c r="P980" s="21">
        <v>0</v>
      </c>
    </row>
    <row r="981" spans="1:16" ht="16.5" x14ac:dyDescent="0.25">
      <c r="A981" s="2"/>
      <c r="B981" s="4"/>
      <c r="C981" s="18"/>
      <c r="E981" s="20">
        <v>44664</v>
      </c>
      <c r="F981" s="17" t="s">
        <v>88</v>
      </c>
      <c r="G981" s="21">
        <v>7.7993304117647071</v>
      </c>
      <c r="H981" s="21">
        <v>11</v>
      </c>
      <c r="I981" s="25">
        <v>0.14096996256684483</v>
      </c>
      <c r="J981" s="21">
        <v>1.1000000000000001</v>
      </c>
      <c r="K981" s="21">
        <v>0.54036458333333337</v>
      </c>
      <c r="L981" s="21">
        <v>0</v>
      </c>
      <c r="M981" s="17" t="s">
        <v>120</v>
      </c>
      <c r="N981" s="17" t="s">
        <v>115</v>
      </c>
      <c r="O981" s="21">
        <v>0.55000000000000004</v>
      </c>
      <c r="P981" s="21">
        <v>0</v>
      </c>
    </row>
    <row r="982" spans="1:16" ht="16.5" x14ac:dyDescent="0.25">
      <c r="A982" s="2"/>
      <c r="B982" s="4"/>
      <c r="C982" s="18"/>
      <c r="E982" s="20">
        <v>44664</v>
      </c>
      <c r="F982" s="17" t="s">
        <v>88</v>
      </c>
      <c r="G982" s="21">
        <v>7.7993304117647071</v>
      </c>
      <c r="H982" s="21">
        <v>10.5</v>
      </c>
      <c r="I982" s="25">
        <v>0.10720662745098028</v>
      </c>
      <c r="J982" s="21">
        <v>1.05</v>
      </c>
      <c r="K982" s="21">
        <v>0.54036458333333337</v>
      </c>
      <c r="L982" s="21">
        <v>0</v>
      </c>
      <c r="M982" s="17" t="s">
        <v>113</v>
      </c>
      <c r="N982" s="17" t="s">
        <v>115</v>
      </c>
      <c r="O982" s="21">
        <v>0.52500000000000002</v>
      </c>
      <c r="P982" s="21">
        <v>0</v>
      </c>
    </row>
    <row r="983" spans="1:16" ht="16.5" x14ac:dyDescent="0.25">
      <c r="A983" s="2"/>
      <c r="B983" s="4"/>
      <c r="C983" s="18"/>
      <c r="E983" s="20">
        <v>44664</v>
      </c>
      <c r="F983" s="17" t="s">
        <v>88</v>
      </c>
      <c r="G983" s="21">
        <v>7.2589658284313741</v>
      </c>
      <c r="H983" s="21">
        <v>14</v>
      </c>
      <c r="I983" s="25">
        <v>0.20220244082633038</v>
      </c>
      <c r="J983" s="21">
        <v>1.4000000000000001</v>
      </c>
      <c r="K983" s="21">
        <v>0.54036458333333337</v>
      </c>
      <c r="L983" s="21">
        <v>0.98000000000000009</v>
      </c>
      <c r="M983" s="17" t="s">
        <v>122</v>
      </c>
      <c r="N983" s="17" t="s">
        <v>117</v>
      </c>
      <c r="O983" s="21">
        <v>0.70000000000000007</v>
      </c>
      <c r="P983" s="21">
        <v>1.8102</v>
      </c>
    </row>
    <row r="984" spans="1:16" ht="16.5" x14ac:dyDescent="0.25">
      <c r="A984" s="2"/>
      <c r="B984" s="4"/>
      <c r="C984" s="18"/>
      <c r="E984" s="20">
        <v>44664</v>
      </c>
      <c r="F984" s="17" t="s">
        <v>88</v>
      </c>
      <c r="G984" s="21">
        <v>7.2589658284313741</v>
      </c>
      <c r="H984" s="21">
        <v>13.5</v>
      </c>
      <c r="I984" s="25">
        <v>0.18299882752360194</v>
      </c>
      <c r="J984" s="21">
        <v>1.35</v>
      </c>
      <c r="K984" s="21">
        <v>0.54036458333333337</v>
      </c>
      <c r="L984" s="21">
        <v>0.94500000000000006</v>
      </c>
      <c r="M984" s="17" t="s">
        <v>121</v>
      </c>
      <c r="N984" s="17" t="s">
        <v>117</v>
      </c>
      <c r="O984" s="21">
        <v>0.67500000000000004</v>
      </c>
      <c r="P984" s="21">
        <v>1.7455499999999999</v>
      </c>
    </row>
    <row r="985" spans="1:16" ht="16.5" x14ac:dyDescent="0.25">
      <c r="A985" s="2"/>
      <c r="B985" s="4"/>
      <c r="C985" s="18"/>
      <c r="E985" s="20">
        <v>44664</v>
      </c>
      <c r="F985" s="17" t="s">
        <v>88</v>
      </c>
      <c r="G985" s="21">
        <v>7.2589658284313741</v>
      </c>
      <c r="H985" s="21">
        <v>13</v>
      </c>
      <c r="I985" s="25">
        <v>0.16231801319758665</v>
      </c>
      <c r="J985" s="21">
        <v>1.3</v>
      </c>
      <c r="K985" s="21">
        <v>0.54036458333333337</v>
      </c>
      <c r="L985" s="21">
        <v>0.91000000000000014</v>
      </c>
      <c r="M985" s="17" t="s">
        <v>120</v>
      </c>
      <c r="N985" s="17" t="s">
        <v>117</v>
      </c>
      <c r="O985" s="21">
        <v>0.65</v>
      </c>
      <c r="P985" s="21">
        <v>1.6809000000000001</v>
      </c>
    </row>
    <row r="986" spans="1:16" ht="16.5" x14ac:dyDescent="0.25">
      <c r="A986" s="2"/>
      <c r="B986" s="4"/>
      <c r="C986" s="18"/>
      <c r="E986" s="20">
        <v>44664</v>
      </c>
      <c r="F986" s="17" t="s">
        <v>88</v>
      </c>
      <c r="G986" s="21">
        <v>7.2589658284313741</v>
      </c>
      <c r="H986" s="21">
        <v>12.5</v>
      </c>
      <c r="I986" s="25">
        <v>0.13998273372549</v>
      </c>
      <c r="J986" s="21">
        <v>1.25</v>
      </c>
      <c r="K986" s="21">
        <v>0.54036458333333337</v>
      </c>
      <c r="L986" s="21">
        <v>0.87500000000000011</v>
      </c>
      <c r="M986" s="17" t="s">
        <v>113</v>
      </c>
      <c r="N986" s="17" t="s">
        <v>117</v>
      </c>
      <c r="O986" s="21">
        <v>0.625</v>
      </c>
      <c r="P986" s="21">
        <v>1.61625</v>
      </c>
    </row>
    <row r="987" spans="1:16" ht="16.5" x14ac:dyDescent="0.25">
      <c r="A987" s="2"/>
      <c r="B987" s="4"/>
      <c r="C987" s="18"/>
      <c r="E987" s="20">
        <v>44664</v>
      </c>
      <c r="F987" s="17" t="s">
        <v>184</v>
      </c>
      <c r="G987" s="21">
        <v>7.6477158284313722</v>
      </c>
      <c r="H987" s="21">
        <v>16.5</v>
      </c>
      <c r="I987" s="25">
        <v>0.14720207100415916</v>
      </c>
      <c r="J987" s="21">
        <v>1.6500000000000001</v>
      </c>
      <c r="K987" s="21">
        <v>0.77661458333333333</v>
      </c>
      <c r="L987" s="21">
        <v>2.9699999999999998</v>
      </c>
      <c r="M987" s="17" t="s">
        <v>122</v>
      </c>
      <c r="N987" s="17" t="s">
        <v>117</v>
      </c>
      <c r="O987" s="21">
        <v>0.82500000000000007</v>
      </c>
      <c r="P987" s="21">
        <v>3.9484500000000002</v>
      </c>
    </row>
    <row r="988" spans="1:16" ht="16.5" x14ac:dyDescent="0.25">
      <c r="A988" s="2"/>
      <c r="B988" s="4"/>
      <c r="C988" s="18"/>
      <c r="E988" s="20">
        <v>44664</v>
      </c>
      <c r="F988" s="17" t="s">
        <v>184</v>
      </c>
      <c r="G988" s="21">
        <v>7.6477158284313722</v>
      </c>
      <c r="H988" s="21">
        <v>16</v>
      </c>
      <c r="I988" s="25">
        <v>0.13271776072303917</v>
      </c>
      <c r="J988" s="21">
        <v>1.6</v>
      </c>
      <c r="K988" s="21">
        <v>0.77661458333333333</v>
      </c>
      <c r="L988" s="21">
        <v>2.88</v>
      </c>
      <c r="M988" s="17" t="s">
        <v>121</v>
      </c>
      <c r="N988" s="17" t="s">
        <v>117</v>
      </c>
      <c r="O988" s="21">
        <v>0.8</v>
      </c>
      <c r="P988" s="21">
        <v>3.8288000000000002</v>
      </c>
    </row>
    <row r="989" spans="1:16" ht="16.5" x14ac:dyDescent="0.25">
      <c r="A989" s="2"/>
      <c r="B989" s="4"/>
      <c r="C989" s="18"/>
      <c r="E989" s="20">
        <v>44664</v>
      </c>
      <c r="F989" s="17" t="s">
        <v>184</v>
      </c>
      <c r="G989" s="21">
        <v>7.6477158284313722</v>
      </c>
      <c r="H989" s="21">
        <v>15.5</v>
      </c>
      <c r="I989" s="25">
        <v>0.11729897881087915</v>
      </c>
      <c r="J989" s="21">
        <v>1.55</v>
      </c>
      <c r="K989" s="21">
        <v>0.77661458333333333</v>
      </c>
      <c r="L989" s="21">
        <v>2.79</v>
      </c>
      <c r="M989" s="17" t="s">
        <v>120</v>
      </c>
      <c r="N989" s="17" t="s">
        <v>117</v>
      </c>
      <c r="O989" s="21">
        <v>0.77500000000000002</v>
      </c>
      <c r="P989" s="21">
        <v>3.7091500000000002</v>
      </c>
    </row>
    <row r="990" spans="1:16" ht="16.5" x14ac:dyDescent="0.25">
      <c r="A990" s="2"/>
      <c r="B990" s="4"/>
      <c r="C990" s="18"/>
      <c r="E990" s="20">
        <v>44664</v>
      </c>
      <c r="F990" s="17" t="s">
        <v>184</v>
      </c>
      <c r="G990" s="21">
        <v>7.6477158284313722</v>
      </c>
      <c r="H990" s="21">
        <v>15</v>
      </c>
      <c r="I990" s="25">
        <v>0.10085227810457512</v>
      </c>
      <c r="J990" s="21">
        <v>1.5</v>
      </c>
      <c r="K990" s="21">
        <v>0.77661458333333333</v>
      </c>
      <c r="L990" s="21">
        <v>2.6999999999999997</v>
      </c>
      <c r="M990" s="17" t="s">
        <v>113</v>
      </c>
      <c r="N990" s="17" t="s">
        <v>117</v>
      </c>
      <c r="O990" s="21">
        <v>0.75</v>
      </c>
      <c r="P990" s="21">
        <v>3.5895000000000001</v>
      </c>
    </row>
    <row r="991" spans="1:16" ht="16.5" x14ac:dyDescent="0.25">
      <c r="A991" s="2"/>
      <c r="B991" s="4"/>
      <c r="C991" s="18"/>
      <c r="E991" s="20">
        <v>44664</v>
      </c>
      <c r="F991" s="17" t="s">
        <v>184</v>
      </c>
      <c r="G991" s="21">
        <v>7.6477158284313722</v>
      </c>
      <c r="H991" s="21">
        <v>15</v>
      </c>
      <c r="I991" s="25">
        <v>0.10085227810457512</v>
      </c>
      <c r="J991" s="21">
        <v>1.5</v>
      </c>
      <c r="K991" s="21">
        <v>0.77661458333333333</v>
      </c>
      <c r="L991" s="21">
        <v>2.6999999999999997</v>
      </c>
      <c r="M991" s="17" t="s">
        <v>122</v>
      </c>
      <c r="N991" s="17" t="s">
        <v>117</v>
      </c>
      <c r="O991" s="21">
        <v>0.75</v>
      </c>
      <c r="P991" s="21">
        <v>3.5895000000000001</v>
      </c>
    </row>
    <row r="992" spans="1:16" ht="16.5" x14ac:dyDescent="0.25">
      <c r="A992" s="2"/>
      <c r="B992" s="4"/>
      <c r="C992" s="18"/>
      <c r="E992" s="20">
        <v>44664</v>
      </c>
      <c r="F992" s="17" t="s">
        <v>86</v>
      </c>
      <c r="G992" s="21">
        <v>8.4243304117647053</v>
      </c>
      <c r="H992" s="21">
        <v>13</v>
      </c>
      <c r="I992" s="25">
        <v>0.20197458371040727</v>
      </c>
      <c r="J992" s="21">
        <v>1.3</v>
      </c>
      <c r="K992" s="21">
        <v>0.77661458333333333</v>
      </c>
      <c r="L992" s="21">
        <v>0</v>
      </c>
      <c r="M992" s="17" t="s">
        <v>122</v>
      </c>
      <c r="N992" s="17" t="s">
        <v>115</v>
      </c>
      <c r="O992" s="21">
        <v>0.65</v>
      </c>
      <c r="P992" s="21">
        <v>0</v>
      </c>
    </row>
    <row r="993" spans="1:16" ht="16.5" x14ac:dyDescent="0.25">
      <c r="A993" s="2"/>
      <c r="B993" s="4"/>
      <c r="C993" s="18"/>
      <c r="E993" s="20">
        <v>44664</v>
      </c>
      <c r="F993" s="17" t="s">
        <v>86</v>
      </c>
      <c r="G993" s="21">
        <v>8.4243304117647053</v>
      </c>
      <c r="H993" s="21">
        <v>12.5</v>
      </c>
      <c r="I993" s="25">
        <v>0.17605356705882358</v>
      </c>
      <c r="J993" s="21">
        <v>1.25</v>
      </c>
      <c r="K993" s="21">
        <v>0.77661458333333333</v>
      </c>
      <c r="L993" s="21">
        <v>0</v>
      </c>
      <c r="M993" s="17" t="s">
        <v>121</v>
      </c>
      <c r="N993" s="17" t="s">
        <v>115</v>
      </c>
      <c r="O993" s="21">
        <v>0.625</v>
      </c>
      <c r="P993" s="21">
        <v>0</v>
      </c>
    </row>
    <row r="994" spans="1:16" ht="16.5" x14ac:dyDescent="0.25">
      <c r="A994" s="2"/>
      <c r="B994" s="4"/>
      <c r="C994" s="18"/>
      <c r="E994" s="20">
        <v>44664</v>
      </c>
      <c r="F994" s="17" t="s">
        <v>86</v>
      </c>
      <c r="G994" s="21">
        <v>8.4243304117647053</v>
      </c>
      <c r="H994" s="21">
        <v>12</v>
      </c>
      <c r="I994" s="25">
        <v>0.14797246568627453</v>
      </c>
      <c r="J994" s="21">
        <v>1.2000000000000002</v>
      </c>
      <c r="K994" s="21">
        <v>0.77661458333333333</v>
      </c>
      <c r="L994" s="21">
        <v>0</v>
      </c>
      <c r="M994" s="17" t="s">
        <v>120</v>
      </c>
      <c r="N994" s="17" t="s">
        <v>115</v>
      </c>
      <c r="O994" s="21">
        <v>0.60000000000000009</v>
      </c>
      <c r="P994" s="21">
        <v>0</v>
      </c>
    </row>
    <row r="995" spans="1:16" ht="16.5" x14ac:dyDescent="0.25">
      <c r="A995" s="2"/>
      <c r="B995" s="4"/>
      <c r="C995" s="18"/>
      <c r="E995" s="20">
        <v>44664</v>
      </c>
      <c r="F995" s="17" t="s">
        <v>86</v>
      </c>
      <c r="G995" s="21">
        <v>8.4243304117647053</v>
      </c>
      <c r="H995" s="21">
        <v>11.5</v>
      </c>
      <c r="I995" s="25">
        <v>0.11744952941176473</v>
      </c>
      <c r="J995" s="21">
        <v>1.1500000000000001</v>
      </c>
      <c r="K995" s="21">
        <v>0.77661458333333333</v>
      </c>
      <c r="L995" s="21">
        <v>0</v>
      </c>
      <c r="M995" s="17" t="s">
        <v>113</v>
      </c>
      <c r="N995" s="17" t="s">
        <v>115</v>
      </c>
      <c r="O995" s="21">
        <v>0.57500000000000007</v>
      </c>
      <c r="P995" s="21">
        <v>0</v>
      </c>
    </row>
    <row r="996" spans="1:16" ht="16.5" x14ac:dyDescent="0.25">
      <c r="A996" s="2"/>
      <c r="B996" s="4"/>
      <c r="C996" s="18"/>
      <c r="E996" s="20">
        <v>44664</v>
      </c>
      <c r="F996" s="17" t="s">
        <v>86</v>
      </c>
      <c r="G996" s="21">
        <v>8.4243304117647053</v>
      </c>
      <c r="H996" s="21">
        <v>11.5</v>
      </c>
      <c r="I996" s="25">
        <v>0.11744952941176473</v>
      </c>
      <c r="J996" s="21">
        <v>1.1500000000000001</v>
      </c>
      <c r="K996" s="21">
        <v>0.77661458333333333</v>
      </c>
      <c r="L996" s="21">
        <v>0</v>
      </c>
      <c r="M996" s="17" t="s">
        <v>122</v>
      </c>
      <c r="N996" s="17" t="s">
        <v>115</v>
      </c>
      <c r="O996" s="21">
        <v>0.57500000000000007</v>
      </c>
      <c r="P996" s="21">
        <v>0</v>
      </c>
    </row>
    <row r="997" spans="1:16" ht="16.5" x14ac:dyDescent="0.25">
      <c r="A997" s="2"/>
      <c r="B997" s="4"/>
      <c r="C997" s="18"/>
      <c r="E997" s="20">
        <v>44664</v>
      </c>
      <c r="F997" s="17" t="s">
        <v>86</v>
      </c>
      <c r="G997" s="21">
        <v>7.6477158284313722</v>
      </c>
      <c r="H997" s="21">
        <v>15</v>
      </c>
      <c r="I997" s="25">
        <v>0.21085227810457513</v>
      </c>
      <c r="J997" s="21">
        <v>1.5</v>
      </c>
      <c r="K997" s="21">
        <v>0.77661458333333333</v>
      </c>
      <c r="L997" s="21">
        <v>1.05</v>
      </c>
      <c r="M997" s="17" t="s">
        <v>122</v>
      </c>
      <c r="N997" s="17" t="s">
        <v>117</v>
      </c>
      <c r="O997" s="21">
        <v>0.75</v>
      </c>
      <c r="P997" s="21">
        <v>1.9395</v>
      </c>
    </row>
    <row r="998" spans="1:16" ht="16.5" x14ac:dyDescent="0.25">
      <c r="A998" s="2"/>
      <c r="B998" s="4"/>
      <c r="C998" s="18"/>
      <c r="E998" s="20">
        <v>44664</v>
      </c>
      <c r="F998" s="17" t="s">
        <v>86</v>
      </c>
      <c r="G998" s="21">
        <v>7.6477158284313722</v>
      </c>
      <c r="H998" s="21">
        <v>14.5</v>
      </c>
      <c r="I998" s="25">
        <v>0.19327132217714668</v>
      </c>
      <c r="J998" s="21">
        <v>1.4500000000000002</v>
      </c>
      <c r="K998" s="21">
        <v>0.77661458333333333</v>
      </c>
      <c r="L998" s="21">
        <v>1.0150000000000001</v>
      </c>
      <c r="M998" s="17" t="s">
        <v>121</v>
      </c>
      <c r="N998" s="17" t="s">
        <v>117</v>
      </c>
      <c r="O998" s="21">
        <v>0.72500000000000009</v>
      </c>
      <c r="P998" s="21">
        <v>1.8748499999999999</v>
      </c>
    </row>
    <row r="999" spans="1:16" ht="16.5" x14ac:dyDescent="0.25">
      <c r="A999" s="2"/>
      <c r="B999" s="4"/>
      <c r="C999" s="18"/>
      <c r="E999" s="20">
        <v>44664</v>
      </c>
      <c r="F999" s="17" t="s">
        <v>86</v>
      </c>
      <c r="G999" s="21">
        <v>7.6477158284313722</v>
      </c>
      <c r="H999" s="21">
        <v>14</v>
      </c>
      <c r="I999" s="25">
        <v>0.17443458368347337</v>
      </c>
      <c r="J999" s="21">
        <v>1.4000000000000001</v>
      </c>
      <c r="K999" s="21">
        <v>0.77661458333333333</v>
      </c>
      <c r="L999" s="21">
        <v>0.98000000000000009</v>
      </c>
      <c r="M999" s="17" t="s">
        <v>120</v>
      </c>
      <c r="N999" s="17" t="s">
        <v>117</v>
      </c>
      <c r="O999" s="21">
        <v>0.70000000000000007</v>
      </c>
      <c r="P999" s="21">
        <v>1.8102</v>
      </c>
    </row>
    <row r="1000" spans="1:16" ht="16.5" x14ac:dyDescent="0.25">
      <c r="A1000" s="2"/>
      <c r="B1000" s="4"/>
      <c r="C1000" s="18"/>
      <c r="E1000" s="20">
        <v>44664</v>
      </c>
      <c r="F1000" s="17" t="s">
        <v>86</v>
      </c>
      <c r="G1000" s="21">
        <v>7.6477158284313722</v>
      </c>
      <c r="H1000" s="21">
        <v>13.5</v>
      </c>
      <c r="I1000" s="25">
        <v>0.15420253122730579</v>
      </c>
      <c r="J1000" s="21">
        <v>1.35</v>
      </c>
      <c r="K1000" s="21">
        <v>0.77661458333333333</v>
      </c>
      <c r="L1000" s="21">
        <v>0.94500000000000006</v>
      </c>
      <c r="M1000" s="17" t="s">
        <v>113</v>
      </c>
      <c r="N1000" s="17" t="s">
        <v>117</v>
      </c>
      <c r="O1000" s="21">
        <v>0.67500000000000004</v>
      </c>
      <c r="P1000" s="21">
        <v>1.7455499999999999</v>
      </c>
    </row>
    <row r="1001" spans="1:16" ht="16.5" x14ac:dyDescent="0.25">
      <c r="A1001" s="2"/>
      <c r="B1001" s="4"/>
      <c r="C1001" s="18"/>
      <c r="E1001" s="20">
        <v>44635</v>
      </c>
      <c r="F1001" s="17" t="s">
        <v>100</v>
      </c>
      <c r="G1001" s="21">
        <v>16.3125</v>
      </c>
      <c r="H1001" s="21">
        <v>33.5</v>
      </c>
      <c r="I1001" s="25">
        <v>0.18375970149253729</v>
      </c>
      <c r="J1001" s="21">
        <v>3.35</v>
      </c>
      <c r="K1001" s="21">
        <v>0.2</v>
      </c>
      <c r="L1001" s="21">
        <v>4.0199999999999996</v>
      </c>
      <c r="M1001" s="17" t="s">
        <v>122</v>
      </c>
      <c r="N1001" s="17" t="s">
        <v>117</v>
      </c>
      <c r="O1001" s="21">
        <v>1.675</v>
      </c>
      <c r="P1001" s="21">
        <v>6.0065500000000007</v>
      </c>
    </row>
    <row r="1002" spans="1:16" ht="16.5" x14ac:dyDescent="0.25">
      <c r="A1002" s="2"/>
      <c r="B1002" s="4"/>
      <c r="C1002" s="18"/>
      <c r="E1002" s="20">
        <v>44635</v>
      </c>
      <c r="F1002" s="17" t="s">
        <v>100</v>
      </c>
      <c r="G1002" s="21">
        <v>16.3125</v>
      </c>
      <c r="H1002" s="21">
        <v>32.5</v>
      </c>
      <c r="I1002" s="25">
        <v>0.1687769230769231</v>
      </c>
      <c r="J1002" s="21">
        <v>3.25</v>
      </c>
      <c r="K1002" s="21">
        <v>0.2</v>
      </c>
      <c r="L1002" s="21">
        <v>3.9</v>
      </c>
      <c r="M1002" s="17" t="s">
        <v>121</v>
      </c>
      <c r="N1002" s="17" t="s">
        <v>117</v>
      </c>
      <c r="O1002" s="21">
        <v>1.625</v>
      </c>
      <c r="P1002" s="21">
        <v>5.8272500000000003</v>
      </c>
    </row>
    <row r="1003" spans="1:16" ht="16.5" x14ac:dyDescent="0.25">
      <c r="A1003" s="2"/>
      <c r="B1003" s="4"/>
      <c r="C1003" s="18"/>
      <c r="E1003" s="20">
        <v>44635</v>
      </c>
      <c r="F1003" s="17" t="s">
        <v>100</v>
      </c>
      <c r="G1003" s="21">
        <v>16.3125</v>
      </c>
      <c r="H1003" s="21">
        <v>31.5</v>
      </c>
      <c r="I1003" s="25">
        <v>0.15284285714285709</v>
      </c>
      <c r="J1003" s="21">
        <v>3.1500000000000004</v>
      </c>
      <c r="K1003" s="21">
        <v>0.2</v>
      </c>
      <c r="L1003" s="21">
        <v>3.78</v>
      </c>
      <c r="M1003" s="17" t="s">
        <v>120</v>
      </c>
      <c r="N1003" s="17" t="s">
        <v>117</v>
      </c>
      <c r="O1003" s="21">
        <v>1.5750000000000002</v>
      </c>
      <c r="P1003" s="21">
        <v>5.6479500000000007</v>
      </c>
    </row>
    <row r="1004" spans="1:16" ht="16.5" x14ac:dyDescent="0.25">
      <c r="A1004" s="2"/>
      <c r="B1004" s="4"/>
      <c r="C1004" s="18"/>
      <c r="E1004" s="20">
        <v>44635</v>
      </c>
      <c r="F1004" s="17" t="s">
        <v>100</v>
      </c>
      <c r="G1004" s="21">
        <v>16.3125</v>
      </c>
      <c r="H1004" s="21">
        <v>29.5</v>
      </c>
      <c r="I1004" s="25">
        <v>0.11773389830508479</v>
      </c>
      <c r="J1004" s="21">
        <v>2.95</v>
      </c>
      <c r="K1004" s="21">
        <v>0.2</v>
      </c>
      <c r="L1004" s="21">
        <v>3.54</v>
      </c>
      <c r="M1004" s="17" t="s">
        <v>120</v>
      </c>
      <c r="N1004" s="17" t="s">
        <v>117</v>
      </c>
      <c r="O1004" s="21">
        <v>1.4750000000000001</v>
      </c>
      <c r="P1004" s="21">
        <v>5.2893500000000007</v>
      </c>
    </row>
    <row r="1005" spans="1:16" ht="16.5" x14ac:dyDescent="0.25">
      <c r="A1005" s="2"/>
      <c r="B1005" s="4"/>
      <c r="C1005" s="18"/>
      <c r="E1005" s="20">
        <v>44635</v>
      </c>
      <c r="F1005" s="17" t="s">
        <v>100</v>
      </c>
      <c r="G1005" s="21">
        <v>16.3125</v>
      </c>
      <c r="H1005" s="21">
        <v>28.5</v>
      </c>
      <c r="I1005" s="25">
        <v>9.8331578947368381E-2</v>
      </c>
      <c r="J1005" s="21">
        <v>2.85</v>
      </c>
      <c r="K1005" s="21">
        <v>0.2</v>
      </c>
      <c r="L1005" s="21">
        <v>3.42</v>
      </c>
      <c r="M1005" s="17" t="s">
        <v>113</v>
      </c>
      <c r="N1005" s="17" t="s">
        <v>117</v>
      </c>
      <c r="O1005" s="21">
        <v>1.425</v>
      </c>
      <c r="P1005" s="21">
        <v>5.1100500000000002</v>
      </c>
    </row>
    <row r="1006" spans="1:16" ht="16.5" x14ac:dyDescent="0.25">
      <c r="A1006" s="2"/>
      <c r="B1006" s="4"/>
      <c r="C1006" s="18"/>
      <c r="E1006" s="20">
        <v>44635</v>
      </c>
      <c r="F1006" s="17" t="s">
        <v>100</v>
      </c>
      <c r="G1006" s="21">
        <v>16.3125</v>
      </c>
      <c r="H1006" s="21">
        <v>26.5</v>
      </c>
      <c r="I1006" s="25">
        <v>0.17943396226415093</v>
      </c>
      <c r="J1006" s="21">
        <v>2.6500000000000004</v>
      </c>
      <c r="K1006" s="21">
        <v>0.2</v>
      </c>
      <c r="L1006" s="21">
        <v>1.4575</v>
      </c>
      <c r="M1006" s="17" t="s">
        <v>122</v>
      </c>
      <c r="N1006" s="17" t="s">
        <v>116</v>
      </c>
      <c r="O1006" s="21">
        <v>1.3250000000000002</v>
      </c>
      <c r="P1006" s="21">
        <v>1.4575</v>
      </c>
    </row>
    <row r="1007" spans="1:16" ht="16.5" x14ac:dyDescent="0.25">
      <c r="A1007" s="2"/>
      <c r="B1007" s="4"/>
      <c r="C1007" s="18"/>
      <c r="E1007" s="20">
        <v>44635</v>
      </c>
      <c r="F1007" s="17" t="s">
        <v>100</v>
      </c>
      <c r="G1007" s="21">
        <v>16.3125</v>
      </c>
      <c r="H1007" s="21">
        <v>25.5</v>
      </c>
      <c r="I1007" s="25">
        <v>0.1552941176470588</v>
      </c>
      <c r="J1007" s="21">
        <v>2.5500000000000003</v>
      </c>
      <c r="K1007" s="21">
        <v>0.2</v>
      </c>
      <c r="L1007" s="21">
        <v>1.4025000000000001</v>
      </c>
      <c r="M1007" s="17" t="s">
        <v>121</v>
      </c>
      <c r="N1007" s="17" t="s">
        <v>116</v>
      </c>
      <c r="O1007" s="21">
        <v>1.2750000000000001</v>
      </c>
      <c r="P1007" s="21">
        <v>1.4025000000000001</v>
      </c>
    </row>
    <row r="1008" spans="1:16" ht="16.5" x14ac:dyDescent="0.25">
      <c r="A1008" s="2"/>
      <c r="B1008" s="4"/>
      <c r="C1008" s="18"/>
      <c r="E1008" s="20">
        <v>44635</v>
      </c>
      <c r="F1008" s="17" t="s">
        <v>100</v>
      </c>
      <c r="G1008" s="21">
        <v>16.3125</v>
      </c>
      <c r="H1008" s="21">
        <v>24.5</v>
      </c>
      <c r="I1008" s="25">
        <v>0.12918367346938775</v>
      </c>
      <c r="J1008" s="21">
        <v>2.4500000000000002</v>
      </c>
      <c r="K1008" s="21">
        <v>0.2</v>
      </c>
      <c r="L1008" s="21">
        <v>1.3474999999999999</v>
      </c>
      <c r="M1008" s="17" t="s">
        <v>120</v>
      </c>
      <c r="N1008" s="17" t="s">
        <v>116</v>
      </c>
      <c r="O1008" s="21">
        <v>1.2250000000000001</v>
      </c>
      <c r="P1008" s="21">
        <v>1.3474999999999999</v>
      </c>
    </row>
    <row r="1009" spans="1:16" ht="16.5" x14ac:dyDescent="0.25">
      <c r="A1009" s="2"/>
      <c r="B1009" s="4"/>
      <c r="C1009" s="18"/>
      <c r="E1009" s="20">
        <v>44635</v>
      </c>
      <c r="F1009" s="17" t="s">
        <v>100</v>
      </c>
      <c r="G1009" s="21">
        <v>16.3125</v>
      </c>
      <c r="H1009" s="21">
        <v>23.5</v>
      </c>
      <c r="I1009" s="25">
        <v>0.10085106382978722</v>
      </c>
      <c r="J1009" s="21">
        <v>2.35</v>
      </c>
      <c r="K1009" s="21">
        <v>0.2</v>
      </c>
      <c r="L1009" s="21">
        <v>1.2925</v>
      </c>
      <c r="M1009" s="17" t="s">
        <v>113</v>
      </c>
      <c r="N1009" s="17" t="s">
        <v>116</v>
      </c>
      <c r="O1009" s="21">
        <v>1.175</v>
      </c>
      <c r="P1009" s="21">
        <v>1.2925</v>
      </c>
    </row>
    <row r="1010" spans="1:16" ht="16.5" x14ac:dyDescent="0.25">
      <c r="A1010" s="2"/>
      <c r="B1010" s="4"/>
      <c r="C1010" s="18"/>
      <c r="E1010" s="20">
        <v>44635</v>
      </c>
      <c r="F1010" s="17" t="s">
        <v>100</v>
      </c>
      <c r="G1010" s="21">
        <v>16.512499999999999</v>
      </c>
      <c r="H1010" s="21">
        <v>25</v>
      </c>
      <c r="I1010" s="25">
        <v>0.18950000000000003</v>
      </c>
      <c r="J1010" s="21">
        <v>2.5</v>
      </c>
      <c r="K1010" s="21">
        <v>0.2</v>
      </c>
      <c r="L1010" s="21">
        <v>0</v>
      </c>
      <c r="M1010" s="17" t="s">
        <v>122</v>
      </c>
      <c r="N1010" s="17" t="s">
        <v>115</v>
      </c>
      <c r="O1010" s="21">
        <v>1.25</v>
      </c>
      <c r="P1010" s="21">
        <v>0</v>
      </c>
    </row>
    <row r="1011" spans="1:16" ht="16.5" x14ac:dyDescent="0.25">
      <c r="A1011" s="2"/>
      <c r="B1011" s="4"/>
      <c r="C1011" s="18"/>
      <c r="E1011" s="20">
        <v>44635</v>
      </c>
      <c r="F1011" s="17" t="s">
        <v>100</v>
      </c>
      <c r="G1011" s="21">
        <v>16.512499999999999</v>
      </c>
      <c r="H1011" s="21">
        <v>24</v>
      </c>
      <c r="I1011" s="25">
        <v>0.16197916666666667</v>
      </c>
      <c r="J1011" s="21">
        <v>2.4000000000000004</v>
      </c>
      <c r="K1011" s="21">
        <v>0.2</v>
      </c>
      <c r="L1011" s="21">
        <v>0</v>
      </c>
      <c r="M1011" s="17" t="s">
        <v>121</v>
      </c>
      <c r="N1011" s="17" t="s">
        <v>115</v>
      </c>
      <c r="O1011" s="21">
        <v>1.2000000000000002</v>
      </c>
      <c r="P1011" s="21">
        <v>0</v>
      </c>
    </row>
    <row r="1012" spans="1:16" ht="16.5" x14ac:dyDescent="0.25">
      <c r="A1012" s="2"/>
      <c r="B1012" s="4"/>
      <c r="C1012" s="18"/>
      <c r="E1012" s="20">
        <v>44635</v>
      </c>
      <c r="F1012" s="17" t="s">
        <v>100</v>
      </c>
      <c r="G1012" s="21">
        <v>16.512499999999999</v>
      </c>
      <c r="H1012" s="21">
        <v>23</v>
      </c>
      <c r="I1012" s="25">
        <v>0.13206521739130436</v>
      </c>
      <c r="J1012" s="21">
        <v>2.3000000000000003</v>
      </c>
      <c r="K1012" s="21">
        <v>0.2</v>
      </c>
      <c r="L1012" s="21">
        <v>0</v>
      </c>
      <c r="M1012" s="17" t="s">
        <v>120</v>
      </c>
      <c r="N1012" s="17" t="s">
        <v>115</v>
      </c>
      <c r="O1012" s="21">
        <v>1.1500000000000001</v>
      </c>
      <c r="P1012" s="21">
        <v>0</v>
      </c>
    </row>
    <row r="1013" spans="1:16" ht="16.5" x14ac:dyDescent="0.25">
      <c r="A1013" s="2"/>
      <c r="B1013" s="4"/>
      <c r="C1013" s="18"/>
      <c r="E1013" s="20">
        <v>44635</v>
      </c>
      <c r="F1013" s="17" t="s">
        <v>100</v>
      </c>
      <c r="G1013" s="21">
        <v>16.512499999999999</v>
      </c>
      <c r="H1013" s="21">
        <v>22</v>
      </c>
      <c r="I1013" s="25">
        <v>9.9431818181818218E-2</v>
      </c>
      <c r="J1013" s="21">
        <v>2.2000000000000002</v>
      </c>
      <c r="K1013" s="21">
        <v>0.2</v>
      </c>
      <c r="L1013" s="21">
        <v>0</v>
      </c>
      <c r="M1013" s="17" t="s">
        <v>113</v>
      </c>
      <c r="N1013" s="17" t="s">
        <v>115</v>
      </c>
      <c r="O1013" s="21">
        <v>1.1000000000000001</v>
      </c>
      <c r="P1013" s="21">
        <v>0</v>
      </c>
    </row>
    <row r="1014" spans="1:16" ht="16.5" x14ac:dyDescent="0.25">
      <c r="A1014" s="2"/>
      <c r="B1014" s="4"/>
      <c r="C1014" s="18"/>
      <c r="E1014" s="20">
        <v>44635</v>
      </c>
      <c r="F1014" s="17" t="s">
        <v>98</v>
      </c>
      <c r="G1014" s="21">
        <v>6.16</v>
      </c>
      <c r="H1014" s="21">
        <v>11.5</v>
      </c>
      <c r="I1014" s="25">
        <v>0.25934782608695645</v>
      </c>
      <c r="J1014" s="21">
        <v>1.1500000000000001</v>
      </c>
      <c r="K1014" s="21">
        <v>0.84</v>
      </c>
      <c r="L1014" s="21">
        <v>0.63249999999999995</v>
      </c>
      <c r="M1014" s="17" t="s">
        <v>122</v>
      </c>
      <c r="N1014" s="17" t="s">
        <v>116</v>
      </c>
      <c r="O1014" s="21">
        <v>0.57500000000000007</v>
      </c>
      <c r="P1014" s="21">
        <v>0.63249999999999995</v>
      </c>
    </row>
    <row r="1015" spans="1:16" ht="16.5" x14ac:dyDescent="0.25">
      <c r="A1015" s="2"/>
      <c r="B1015" s="4"/>
      <c r="C1015" s="18"/>
      <c r="E1015" s="20">
        <v>44635</v>
      </c>
      <c r="F1015" s="17" t="s">
        <v>98</v>
      </c>
      <c r="G1015" s="21">
        <v>6.16</v>
      </c>
      <c r="H1015" s="21">
        <v>11</v>
      </c>
      <c r="I1015" s="25">
        <v>0.23499999999999996</v>
      </c>
      <c r="J1015" s="21">
        <v>1.1000000000000001</v>
      </c>
      <c r="K1015" s="21">
        <v>0.84</v>
      </c>
      <c r="L1015" s="21">
        <v>0.60499999999999998</v>
      </c>
      <c r="M1015" s="17" t="s">
        <v>121</v>
      </c>
      <c r="N1015" s="17" t="s">
        <v>116</v>
      </c>
      <c r="O1015" s="21">
        <v>0.55000000000000004</v>
      </c>
      <c r="P1015" s="21">
        <v>0.60499999999999998</v>
      </c>
    </row>
    <row r="1016" spans="1:16" ht="16.5" x14ac:dyDescent="0.25">
      <c r="A1016" s="2"/>
      <c r="B1016" s="4"/>
      <c r="C1016" s="18"/>
      <c r="E1016" s="20">
        <v>44635</v>
      </c>
      <c r="F1016" s="17" t="s">
        <v>98</v>
      </c>
      <c r="G1016" s="21">
        <v>6.16</v>
      </c>
      <c r="H1016" s="21">
        <v>10.5</v>
      </c>
      <c r="I1016" s="25">
        <v>0.20833333333333326</v>
      </c>
      <c r="J1016" s="21">
        <v>1.05</v>
      </c>
      <c r="K1016" s="21">
        <v>0.84</v>
      </c>
      <c r="L1016" s="21">
        <v>0.57750000000000001</v>
      </c>
      <c r="M1016" s="17" t="s">
        <v>120</v>
      </c>
      <c r="N1016" s="17" t="s">
        <v>116</v>
      </c>
      <c r="O1016" s="21">
        <v>0.52500000000000002</v>
      </c>
      <c r="P1016" s="21">
        <v>0.57750000000000001</v>
      </c>
    </row>
    <row r="1017" spans="1:16" ht="16.5" x14ac:dyDescent="0.25">
      <c r="A1017" s="2"/>
      <c r="B1017" s="4"/>
      <c r="C1017" s="18"/>
      <c r="E1017" s="20">
        <v>44635</v>
      </c>
      <c r="F1017" s="17" t="s">
        <v>98</v>
      </c>
      <c r="G1017" s="21">
        <v>6.16</v>
      </c>
      <c r="H1017" s="21">
        <v>10</v>
      </c>
      <c r="I1017" s="25">
        <v>0.17899999999999991</v>
      </c>
      <c r="J1017" s="21">
        <v>1</v>
      </c>
      <c r="K1017" s="21">
        <v>0.84</v>
      </c>
      <c r="L1017" s="21">
        <v>0.55000000000000004</v>
      </c>
      <c r="M1017" s="17" t="s">
        <v>113</v>
      </c>
      <c r="N1017" s="17" t="s">
        <v>116</v>
      </c>
      <c r="O1017" s="21">
        <v>0.5</v>
      </c>
      <c r="P1017" s="21">
        <v>0.55000000000000004</v>
      </c>
    </row>
    <row r="1018" spans="1:16" ht="16.5" x14ac:dyDescent="0.25">
      <c r="A1018" s="2"/>
      <c r="B1018" s="4"/>
      <c r="C1018" s="18"/>
      <c r="E1018" s="20">
        <v>44635</v>
      </c>
      <c r="F1018" s="17" t="s">
        <v>97</v>
      </c>
      <c r="G1018" s="21">
        <v>8.2720000000000002</v>
      </c>
      <c r="H1018" s="21">
        <v>15</v>
      </c>
      <c r="I1018" s="25">
        <v>0.24353333333333335</v>
      </c>
      <c r="J1018" s="21">
        <v>1.5</v>
      </c>
      <c r="K1018" s="21">
        <v>1.1279999999999999</v>
      </c>
      <c r="L1018" s="21">
        <v>0.82499999999999996</v>
      </c>
      <c r="M1018" s="17" t="s">
        <v>122</v>
      </c>
      <c r="N1018" s="17" t="s">
        <v>116</v>
      </c>
      <c r="O1018" s="21">
        <v>0.75</v>
      </c>
      <c r="P1018" s="21">
        <v>0.82499999999999996</v>
      </c>
    </row>
    <row r="1019" spans="1:16" ht="16.5" x14ac:dyDescent="0.25">
      <c r="A1019" s="2"/>
      <c r="B1019" s="4"/>
      <c r="C1019" s="18"/>
      <c r="E1019" s="20">
        <v>44635</v>
      </c>
      <c r="F1019" s="17" t="s">
        <v>97</v>
      </c>
      <c r="G1019" s="21">
        <v>8.2720000000000002</v>
      </c>
      <c r="H1019" s="21">
        <v>14.5</v>
      </c>
      <c r="I1019" s="25">
        <v>0.22451724137931037</v>
      </c>
      <c r="J1019" s="21">
        <v>1.4500000000000002</v>
      </c>
      <c r="K1019" s="21">
        <v>1.1279999999999999</v>
      </c>
      <c r="L1019" s="21">
        <v>0.79749999999999999</v>
      </c>
      <c r="M1019" s="17" t="s">
        <v>121</v>
      </c>
      <c r="N1019" s="17" t="s">
        <v>116</v>
      </c>
      <c r="O1019" s="21">
        <v>0.72500000000000009</v>
      </c>
      <c r="P1019" s="21">
        <v>0.79749999999999999</v>
      </c>
    </row>
    <row r="1020" spans="1:16" ht="16.5" x14ac:dyDescent="0.25">
      <c r="A1020" s="2"/>
      <c r="B1020" s="4"/>
      <c r="C1020" s="18"/>
      <c r="E1020" s="20">
        <v>44635</v>
      </c>
      <c r="F1020" s="17" t="s">
        <v>97</v>
      </c>
      <c r="G1020" s="21">
        <v>8.2720000000000002</v>
      </c>
      <c r="H1020" s="21">
        <v>14</v>
      </c>
      <c r="I1020" s="25">
        <v>0.20414285714285713</v>
      </c>
      <c r="J1020" s="21">
        <v>1.4000000000000001</v>
      </c>
      <c r="K1020" s="21">
        <v>1.1279999999999999</v>
      </c>
      <c r="L1020" s="21">
        <v>0.77</v>
      </c>
      <c r="M1020" s="17" t="s">
        <v>120</v>
      </c>
      <c r="N1020" s="17" t="s">
        <v>116</v>
      </c>
      <c r="O1020" s="21">
        <v>0.70000000000000007</v>
      </c>
      <c r="P1020" s="21">
        <v>0.77</v>
      </c>
    </row>
    <row r="1021" spans="1:16" ht="16.5" x14ac:dyDescent="0.25">
      <c r="A1021" s="2"/>
      <c r="B1021" s="4"/>
      <c r="C1021" s="18"/>
      <c r="E1021" s="20">
        <v>44635</v>
      </c>
      <c r="F1021" s="17" t="s">
        <v>97</v>
      </c>
      <c r="G1021" s="21">
        <v>8.2720000000000002</v>
      </c>
      <c r="H1021" s="21">
        <v>13.5</v>
      </c>
      <c r="I1021" s="25">
        <v>0.18225925925925926</v>
      </c>
      <c r="J1021" s="21">
        <v>1.35</v>
      </c>
      <c r="K1021" s="21">
        <v>1.1279999999999999</v>
      </c>
      <c r="L1021" s="21">
        <v>0.74250000000000005</v>
      </c>
      <c r="M1021" s="17" t="s">
        <v>113</v>
      </c>
      <c r="N1021" s="17" t="s">
        <v>116</v>
      </c>
      <c r="O1021" s="21">
        <v>0.67500000000000004</v>
      </c>
      <c r="P1021" s="21">
        <v>0.74250000000000005</v>
      </c>
    </row>
    <row r="1022" spans="1:16" ht="16.5" x14ac:dyDescent="0.25">
      <c r="A1022" s="2"/>
      <c r="B1022" s="4"/>
      <c r="C1022" s="18"/>
      <c r="E1022" s="20">
        <v>44622</v>
      </c>
      <c r="F1022" s="17" t="s">
        <v>97</v>
      </c>
      <c r="G1022" s="21">
        <v>8.2720000000000002</v>
      </c>
      <c r="H1022" s="21">
        <v>13.9</v>
      </c>
      <c r="I1022" s="25">
        <v>0.19989208633093522</v>
      </c>
      <c r="J1022" s="21">
        <v>1.3900000000000001</v>
      </c>
      <c r="K1022" s="21">
        <v>1.1279999999999999</v>
      </c>
      <c r="L1022" s="21">
        <v>0.76450000000000007</v>
      </c>
      <c r="M1022" s="17" t="s">
        <v>122</v>
      </c>
      <c r="N1022" s="17" t="s">
        <v>116</v>
      </c>
      <c r="O1022" s="21">
        <v>0.69500000000000006</v>
      </c>
      <c r="P1022" s="21">
        <v>0.76450000000000007</v>
      </c>
    </row>
    <row r="1023" spans="1:16" ht="16.5" x14ac:dyDescent="0.25">
      <c r="A1023" s="2"/>
      <c r="B1023" s="4"/>
      <c r="C1023" s="18"/>
      <c r="E1023" s="20">
        <v>44622</v>
      </c>
      <c r="F1023" s="17" t="s">
        <v>97</v>
      </c>
      <c r="G1023" s="21">
        <v>8.2720000000000002</v>
      </c>
      <c r="H1023" s="21">
        <v>13</v>
      </c>
      <c r="I1023" s="25">
        <v>0.15869230769230766</v>
      </c>
      <c r="J1023" s="21">
        <v>1.3</v>
      </c>
      <c r="K1023" s="21">
        <v>1.1279999999999999</v>
      </c>
      <c r="L1023" s="21">
        <v>0.71499999999999997</v>
      </c>
      <c r="M1023" s="17" t="s">
        <v>121</v>
      </c>
      <c r="N1023" s="17" t="s">
        <v>116</v>
      </c>
      <c r="O1023" s="21">
        <v>0.65</v>
      </c>
      <c r="P1023" s="21">
        <v>0.71499999999999997</v>
      </c>
    </row>
    <row r="1024" spans="1:16" ht="16.5" x14ac:dyDescent="0.25">
      <c r="A1024" s="2"/>
      <c r="B1024" s="4"/>
      <c r="C1024" s="18"/>
      <c r="E1024" s="20">
        <v>44622</v>
      </c>
      <c r="F1024" s="17" t="s">
        <v>97</v>
      </c>
      <c r="G1024" s="21">
        <v>8.2720000000000002</v>
      </c>
      <c r="H1024" s="21">
        <v>12.5</v>
      </c>
      <c r="I1024" s="25">
        <v>0.13323999999999997</v>
      </c>
      <c r="J1024" s="21">
        <v>1.25</v>
      </c>
      <c r="K1024" s="21">
        <v>1.1279999999999999</v>
      </c>
      <c r="L1024" s="21">
        <v>0.6875</v>
      </c>
      <c r="M1024" s="17" t="s">
        <v>120</v>
      </c>
      <c r="N1024" s="17" t="s">
        <v>116</v>
      </c>
      <c r="O1024" s="21">
        <v>0.625</v>
      </c>
      <c r="P1024" s="21">
        <v>0.6875</v>
      </c>
    </row>
    <row r="1025" spans="1:16" ht="16.5" x14ac:dyDescent="0.25">
      <c r="A1025" s="2"/>
      <c r="B1025" s="4"/>
      <c r="C1025" s="18"/>
      <c r="E1025" s="20">
        <v>44622</v>
      </c>
      <c r="F1025" s="17" t="s">
        <v>97</v>
      </c>
      <c r="G1025" s="21">
        <v>8.2720000000000002</v>
      </c>
      <c r="H1025" s="21">
        <v>11.9</v>
      </c>
      <c r="I1025" s="25">
        <v>9.9873949579831867E-2</v>
      </c>
      <c r="J1025" s="21">
        <v>1.1900000000000002</v>
      </c>
      <c r="K1025" s="21">
        <v>1.1279999999999999</v>
      </c>
      <c r="L1025" s="21">
        <v>0.65449999999999997</v>
      </c>
      <c r="M1025" s="17" t="s">
        <v>113</v>
      </c>
      <c r="N1025" s="17" t="s">
        <v>116</v>
      </c>
      <c r="O1025" s="21">
        <v>0.59500000000000008</v>
      </c>
      <c r="P1025" s="21">
        <v>0.65449999999999997</v>
      </c>
    </row>
    <row r="1026" spans="1:16" ht="16.5" x14ac:dyDescent="0.25">
      <c r="A1026" s="2"/>
      <c r="B1026" s="4"/>
      <c r="C1026" s="18"/>
      <c r="E1026" s="20">
        <v>44622</v>
      </c>
      <c r="F1026" s="17" t="s">
        <v>97</v>
      </c>
      <c r="G1026" s="21">
        <v>8.2720000000000002</v>
      </c>
      <c r="H1026" s="21">
        <v>17.5</v>
      </c>
      <c r="I1026" s="25">
        <v>0.19801428571428567</v>
      </c>
      <c r="J1026" s="21">
        <v>1.75</v>
      </c>
      <c r="K1026" s="21">
        <v>1.1279999999999999</v>
      </c>
      <c r="L1026" s="21">
        <v>2.1</v>
      </c>
      <c r="M1026" s="17" t="s">
        <v>122</v>
      </c>
      <c r="N1026" s="17" t="s">
        <v>117</v>
      </c>
      <c r="O1026" s="21">
        <v>0.875</v>
      </c>
      <c r="P1026" s="21">
        <v>3.1377500000000005</v>
      </c>
    </row>
    <row r="1027" spans="1:16" ht="16.5" x14ac:dyDescent="0.25">
      <c r="A1027" s="2"/>
      <c r="B1027" s="4"/>
      <c r="C1027" s="18"/>
      <c r="E1027" s="20">
        <v>44622</v>
      </c>
      <c r="F1027" s="17" t="s">
        <v>97</v>
      </c>
      <c r="G1027" s="21">
        <v>8.2720000000000002</v>
      </c>
      <c r="H1027" s="21">
        <v>16.899999999999999</v>
      </c>
      <c r="I1027" s="25">
        <v>0.18123254437869815</v>
      </c>
      <c r="J1027" s="21">
        <v>1.69</v>
      </c>
      <c r="K1027" s="21">
        <v>1.1279999999999999</v>
      </c>
      <c r="L1027" s="21">
        <v>2.0279999999999996</v>
      </c>
      <c r="M1027" s="17" t="s">
        <v>121</v>
      </c>
      <c r="N1027" s="17" t="s">
        <v>117</v>
      </c>
      <c r="O1027" s="21">
        <v>0.84499999999999997</v>
      </c>
      <c r="P1027" s="21">
        <v>3.03017</v>
      </c>
    </row>
    <row r="1028" spans="1:16" ht="16.5" x14ac:dyDescent="0.25">
      <c r="A1028" s="2"/>
      <c r="B1028" s="4"/>
      <c r="C1028" s="18"/>
      <c r="E1028" s="20">
        <v>44622</v>
      </c>
      <c r="F1028" s="17" t="s">
        <v>97</v>
      </c>
      <c r="G1028" s="21">
        <v>8.2720000000000002</v>
      </c>
      <c r="H1028" s="21">
        <v>15.9</v>
      </c>
      <c r="I1028" s="25">
        <v>0.15044842767295596</v>
      </c>
      <c r="J1028" s="21">
        <v>1.59</v>
      </c>
      <c r="K1028" s="21">
        <v>1.1279999999999999</v>
      </c>
      <c r="L1028" s="21">
        <v>1.9079999999999999</v>
      </c>
      <c r="M1028" s="17" t="s">
        <v>120</v>
      </c>
      <c r="N1028" s="17" t="s">
        <v>117</v>
      </c>
      <c r="O1028" s="21">
        <v>0.79500000000000004</v>
      </c>
      <c r="P1028" s="21">
        <v>2.8508700000000005</v>
      </c>
    </row>
    <row r="1029" spans="1:16" ht="16.5" x14ac:dyDescent="0.25">
      <c r="A1029" s="2"/>
      <c r="B1029" s="4"/>
      <c r="C1029" s="18"/>
      <c r="E1029" s="20">
        <v>44622</v>
      </c>
      <c r="F1029" s="17" t="s">
        <v>97</v>
      </c>
      <c r="G1029" s="21">
        <v>8.2720000000000002</v>
      </c>
      <c r="H1029" s="21">
        <v>15.5</v>
      </c>
      <c r="I1029" s="25">
        <v>0.13702258064516118</v>
      </c>
      <c r="J1029" s="21">
        <v>1.55</v>
      </c>
      <c r="K1029" s="21">
        <v>1.1279999999999999</v>
      </c>
      <c r="L1029" s="21">
        <v>1.8599999999999999</v>
      </c>
      <c r="M1029" s="17" t="s">
        <v>121</v>
      </c>
      <c r="N1029" s="17" t="s">
        <v>117</v>
      </c>
      <c r="O1029" s="21">
        <v>0.77500000000000002</v>
      </c>
      <c r="P1029" s="21">
        <v>2.7791500000000005</v>
      </c>
    </row>
    <row r="1030" spans="1:16" ht="16.5" x14ac:dyDescent="0.25">
      <c r="A1030" s="2"/>
      <c r="B1030" s="4"/>
      <c r="C1030" s="18"/>
      <c r="E1030" s="20">
        <v>44622</v>
      </c>
      <c r="F1030" s="17" t="s">
        <v>97</v>
      </c>
      <c r="G1030" s="21">
        <v>8.2720000000000002</v>
      </c>
      <c r="H1030" s="21">
        <v>15</v>
      </c>
      <c r="I1030" s="25">
        <v>0.11923333333333327</v>
      </c>
      <c r="J1030" s="21">
        <v>1.5</v>
      </c>
      <c r="K1030" s="21">
        <v>1.1279999999999999</v>
      </c>
      <c r="L1030" s="21">
        <v>1.7999999999999998</v>
      </c>
      <c r="M1030" s="17" t="s">
        <v>120</v>
      </c>
      <c r="N1030" s="17" t="s">
        <v>117</v>
      </c>
      <c r="O1030" s="21">
        <v>0.75</v>
      </c>
      <c r="P1030" s="21">
        <v>2.6895000000000002</v>
      </c>
    </row>
    <row r="1031" spans="1:16" ht="16.5" x14ac:dyDescent="0.25">
      <c r="A1031" s="2"/>
      <c r="B1031" s="4"/>
      <c r="C1031" s="18"/>
      <c r="E1031" s="20">
        <v>44622</v>
      </c>
      <c r="F1031" s="17" t="s">
        <v>97</v>
      </c>
      <c r="G1031" s="21">
        <v>8.2720000000000002</v>
      </c>
      <c r="H1031" s="21">
        <v>14.5</v>
      </c>
      <c r="I1031" s="25">
        <v>0.1002172413793103</v>
      </c>
      <c r="J1031" s="21">
        <v>1.4500000000000002</v>
      </c>
      <c r="K1031" s="21">
        <v>1.1279999999999999</v>
      </c>
      <c r="L1031" s="21">
        <v>1.74</v>
      </c>
      <c r="M1031" s="17" t="s">
        <v>113</v>
      </c>
      <c r="N1031" s="17" t="s">
        <v>117</v>
      </c>
      <c r="O1031" s="21">
        <v>0.72500000000000009</v>
      </c>
      <c r="P1031" s="21">
        <v>2.59985</v>
      </c>
    </row>
    <row r="1032" spans="1:16" ht="16.5" x14ac:dyDescent="0.25">
      <c r="A1032" s="2"/>
      <c r="B1032" s="4"/>
      <c r="C1032" s="18"/>
      <c r="E1032" s="20">
        <v>44622</v>
      </c>
      <c r="F1032" s="17" t="s">
        <v>97</v>
      </c>
      <c r="G1032" s="21">
        <v>9.4</v>
      </c>
      <c r="H1032" s="21">
        <v>14</v>
      </c>
      <c r="I1032" s="25">
        <v>0.17857142857142852</v>
      </c>
      <c r="J1032" s="21">
        <v>1.4000000000000001</v>
      </c>
      <c r="K1032" s="21">
        <v>1.1279999999999999</v>
      </c>
      <c r="L1032" s="21">
        <v>0</v>
      </c>
      <c r="M1032" s="17" t="s">
        <v>122</v>
      </c>
      <c r="N1032" s="17" t="s">
        <v>115</v>
      </c>
      <c r="O1032" s="21">
        <v>0.70000000000000007</v>
      </c>
      <c r="P1032" s="21">
        <v>0</v>
      </c>
    </row>
    <row r="1033" spans="1:16" ht="16.5" x14ac:dyDescent="0.25">
      <c r="A1033" s="2"/>
      <c r="B1033" s="4"/>
      <c r="C1033" s="18"/>
      <c r="E1033" s="20">
        <v>44622</v>
      </c>
      <c r="F1033" s="17" t="s">
        <v>97</v>
      </c>
      <c r="G1033" s="21">
        <v>9.4</v>
      </c>
      <c r="H1033" s="21">
        <v>13.5</v>
      </c>
      <c r="I1033" s="25">
        <v>0.15370370370370368</v>
      </c>
      <c r="J1033" s="21">
        <v>1.35</v>
      </c>
      <c r="K1033" s="21">
        <v>1.1279999999999999</v>
      </c>
      <c r="L1033" s="21">
        <v>0</v>
      </c>
      <c r="M1033" s="17" t="s">
        <v>121</v>
      </c>
      <c r="N1033" s="17" t="s">
        <v>115</v>
      </c>
      <c r="O1033" s="21">
        <v>0.67500000000000004</v>
      </c>
      <c r="P1033" s="21">
        <v>0</v>
      </c>
    </row>
    <row r="1034" spans="1:16" ht="16.5" x14ac:dyDescent="0.25">
      <c r="A1034" s="2"/>
      <c r="B1034" s="4"/>
      <c r="C1034" s="18"/>
      <c r="E1034" s="20">
        <v>44622</v>
      </c>
      <c r="F1034" s="17" t="s">
        <v>97</v>
      </c>
      <c r="G1034" s="21">
        <v>9.4</v>
      </c>
      <c r="H1034" s="21">
        <v>13</v>
      </c>
      <c r="I1034" s="25">
        <v>0.12692307692307689</v>
      </c>
      <c r="J1034" s="21">
        <v>1.3</v>
      </c>
      <c r="K1034" s="21">
        <v>1.1279999999999999</v>
      </c>
      <c r="L1034" s="21">
        <v>0</v>
      </c>
      <c r="M1034" s="17" t="s">
        <v>120</v>
      </c>
      <c r="N1034" s="17" t="s">
        <v>115</v>
      </c>
      <c r="O1034" s="21">
        <v>0.65</v>
      </c>
      <c r="P1034" s="21">
        <v>0</v>
      </c>
    </row>
    <row r="1035" spans="1:16" ht="16.5" x14ac:dyDescent="0.25">
      <c r="A1035" s="2"/>
      <c r="B1035" s="4"/>
      <c r="C1035" s="18"/>
      <c r="E1035" s="20">
        <v>44622</v>
      </c>
      <c r="F1035" s="17" t="s">
        <v>97</v>
      </c>
      <c r="G1035" s="21">
        <v>9.4</v>
      </c>
      <c r="H1035" s="21">
        <v>12.5</v>
      </c>
      <c r="I1035" s="25">
        <v>9.7999999999999976E-2</v>
      </c>
      <c r="J1035" s="21">
        <v>1.25</v>
      </c>
      <c r="K1035" s="21">
        <v>1.1279999999999999</v>
      </c>
      <c r="L1035" s="21">
        <v>0</v>
      </c>
      <c r="M1035" s="17" t="s">
        <v>113</v>
      </c>
      <c r="N1035" s="17" t="s">
        <v>115</v>
      </c>
      <c r="O1035" s="21">
        <v>0.625</v>
      </c>
      <c r="P1035" s="21">
        <v>0</v>
      </c>
    </row>
    <row r="1036" spans="1:16" ht="16.5" x14ac:dyDescent="0.25">
      <c r="A1036" s="2"/>
      <c r="B1036" s="4"/>
      <c r="C1036" s="18"/>
      <c r="E1036" s="20">
        <v>44622</v>
      </c>
      <c r="F1036" s="17" t="s">
        <v>98</v>
      </c>
      <c r="G1036" s="21">
        <v>6.16</v>
      </c>
      <c r="H1036" s="21">
        <v>10.5</v>
      </c>
      <c r="I1036" s="25">
        <v>0.20833333333333326</v>
      </c>
      <c r="J1036" s="21">
        <v>1.05</v>
      </c>
      <c r="K1036" s="21">
        <v>0.84</v>
      </c>
      <c r="L1036" s="21">
        <v>0.57750000000000001</v>
      </c>
      <c r="M1036" s="17" t="s">
        <v>122</v>
      </c>
      <c r="N1036" s="17" t="s">
        <v>116</v>
      </c>
      <c r="O1036" s="21">
        <v>0.52500000000000002</v>
      </c>
      <c r="P1036" s="21">
        <v>0.57750000000000001</v>
      </c>
    </row>
    <row r="1037" spans="1:16" ht="16.5" x14ac:dyDescent="0.25">
      <c r="A1037" s="2"/>
      <c r="B1037" s="4"/>
      <c r="C1037" s="18"/>
      <c r="E1037" s="20">
        <v>44622</v>
      </c>
      <c r="F1037" s="17" t="s">
        <v>98</v>
      </c>
      <c r="G1037" s="21">
        <v>6.16</v>
      </c>
      <c r="H1037" s="21">
        <v>10</v>
      </c>
      <c r="I1037" s="25">
        <v>0.17899999999999991</v>
      </c>
      <c r="J1037" s="21">
        <v>1</v>
      </c>
      <c r="K1037" s="21">
        <v>0.84</v>
      </c>
      <c r="L1037" s="21">
        <v>0.55000000000000004</v>
      </c>
      <c r="M1037" s="17" t="s">
        <v>121</v>
      </c>
      <c r="N1037" s="17" t="s">
        <v>116</v>
      </c>
      <c r="O1037" s="21">
        <v>0.5</v>
      </c>
      <c r="P1037" s="21">
        <v>0.55000000000000004</v>
      </c>
    </row>
    <row r="1038" spans="1:16" ht="16.5" x14ac:dyDescent="0.25">
      <c r="A1038" s="2"/>
      <c r="B1038" s="4"/>
      <c r="C1038" s="18"/>
      <c r="E1038" s="20">
        <v>44622</v>
      </c>
      <c r="F1038" s="17" t="s">
        <v>98</v>
      </c>
      <c r="G1038" s="21">
        <v>6.16</v>
      </c>
      <c r="H1038" s="21">
        <v>9.5</v>
      </c>
      <c r="I1038" s="25">
        <v>0.14657894736842092</v>
      </c>
      <c r="J1038" s="21">
        <v>0.95000000000000007</v>
      </c>
      <c r="K1038" s="21">
        <v>0.84</v>
      </c>
      <c r="L1038" s="21">
        <v>0.52249999999999996</v>
      </c>
      <c r="M1038" s="17" t="s">
        <v>120</v>
      </c>
      <c r="N1038" s="17" t="s">
        <v>116</v>
      </c>
      <c r="O1038" s="21">
        <v>0.47500000000000003</v>
      </c>
      <c r="P1038" s="21">
        <v>0.52249999999999996</v>
      </c>
    </row>
    <row r="1039" spans="1:16" ht="16.5" x14ac:dyDescent="0.25">
      <c r="A1039" s="2"/>
      <c r="B1039" s="4"/>
      <c r="C1039" s="18"/>
      <c r="E1039" s="20">
        <v>44622</v>
      </c>
      <c r="F1039" s="17" t="s">
        <v>98</v>
      </c>
      <c r="G1039" s="21">
        <v>6.16</v>
      </c>
      <c r="H1039" s="21">
        <v>8.9</v>
      </c>
      <c r="I1039" s="25">
        <v>0.10286516853932588</v>
      </c>
      <c r="J1039" s="21">
        <v>0.89000000000000012</v>
      </c>
      <c r="K1039" s="21">
        <v>0.84</v>
      </c>
      <c r="L1039" s="21">
        <v>0.48950000000000005</v>
      </c>
      <c r="M1039" s="17" t="s">
        <v>113</v>
      </c>
      <c r="N1039" s="17" t="s">
        <v>116</v>
      </c>
      <c r="O1039" s="21">
        <v>0.44500000000000006</v>
      </c>
      <c r="P1039" s="21">
        <v>0.48950000000000005</v>
      </c>
    </row>
    <row r="1040" spans="1:16" ht="16.5" x14ac:dyDescent="0.25">
      <c r="A1040" s="2"/>
      <c r="B1040" s="4"/>
      <c r="C1040" s="18"/>
      <c r="E1040" s="20">
        <v>44622</v>
      </c>
      <c r="F1040" s="17" t="s">
        <v>98</v>
      </c>
      <c r="G1040" s="21">
        <v>6.16</v>
      </c>
      <c r="H1040" s="21">
        <v>9.5</v>
      </c>
      <c r="I1040" s="25">
        <v>0.14657894736842092</v>
      </c>
      <c r="J1040" s="21">
        <v>0.95000000000000007</v>
      </c>
      <c r="K1040" s="21">
        <v>0.84</v>
      </c>
      <c r="L1040" s="21">
        <v>0.52249999999999996</v>
      </c>
      <c r="M1040" s="17" t="s">
        <v>121</v>
      </c>
      <c r="N1040" s="17" t="s">
        <v>116</v>
      </c>
      <c r="O1040" s="21">
        <v>0.47500000000000003</v>
      </c>
      <c r="P1040" s="21">
        <v>0.52249999999999996</v>
      </c>
    </row>
    <row r="1041" spans="1:16" ht="16.5" x14ac:dyDescent="0.25">
      <c r="A1041" s="2"/>
      <c r="B1041" s="4"/>
      <c r="C1041" s="18"/>
      <c r="E1041" s="20">
        <v>44622</v>
      </c>
      <c r="F1041" s="17" t="s">
        <v>98</v>
      </c>
      <c r="G1041" s="21">
        <v>6.16</v>
      </c>
      <c r="H1041" s="21">
        <v>10.5</v>
      </c>
      <c r="I1041" s="25">
        <v>0.20833333333333326</v>
      </c>
      <c r="J1041" s="21">
        <v>1.05</v>
      </c>
      <c r="K1041" s="21">
        <v>0.84</v>
      </c>
      <c r="L1041" s="21">
        <v>0.57750000000000001</v>
      </c>
      <c r="M1041" s="17" t="s">
        <v>122</v>
      </c>
      <c r="N1041" s="17" t="s">
        <v>116</v>
      </c>
      <c r="O1041" s="21">
        <v>0.52500000000000002</v>
      </c>
      <c r="P1041" s="21">
        <v>0.57750000000000001</v>
      </c>
    </row>
    <row r="1042" spans="1:16" ht="16.5" x14ac:dyDescent="0.25">
      <c r="A1042" s="2"/>
      <c r="B1042" s="4"/>
      <c r="C1042" s="18"/>
      <c r="E1042" s="20">
        <v>44622</v>
      </c>
      <c r="F1042" s="17" t="s">
        <v>98</v>
      </c>
      <c r="G1042" s="21">
        <v>6.16</v>
      </c>
      <c r="H1042" s="21">
        <v>10</v>
      </c>
      <c r="I1042" s="25">
        <v>0.17899999999999991</v>
      </c>
      <c r="J1042" s="21">
        <v>1</v>
      </c>
      <c r="K1042" s="21">
        <v>0.84</v>
      </c>
      <c r="L1042" s="21">
        <v>0.55000000000000004</v>
      </c>
      <c r="M1042" s="17" t="s">
        <v>121</v>
      </c>
      <c r="N1042" s="17" t="s">
        <v>116</v>
      </c>
      <c r="O1042" s="21">
        <v>0.5</v>
      </c>
      <c r="P1042" s="21">
        <v>0.55000000000000004</v>
      </c>
    </row>
    <row r="1043" spans="1:16" ht="16.5" x14ac:dyDescent="0.25">
      <c r="A1043" s="2"/>
      <c r="B1043" s="4"/>
      <c r="C1043" s="18"/>
      <c r="E1043" s="20">
        <v>44622</v>
      </c>
      <c r="F1043" s="17" t="s">
        <v>98</v>
      </c>
      <c r="G1043" s="21">
        <v>6.16</v>
      </c>
      <c r="H1043" s="21">
        <v>9.5</v>
      </c>
      <c r="I1043" s="25">
        <v>0.14657894736842092</v>
      </c>
      <c r="J1043" s="21">
        <v>0.95000000000000007</v>
      </c>
      <c r="K1043" s="21">
        <v>0.84</v>
      </c>
      <c r="L1043" s="21">
        <v>0.52249999999999996</v>
      </c>
      <c r="M1043" s="17" t="s">
        <v>120</v>
      </c>
      <c r="N1043" s="17" t="s">
        <v>116</v>
      </c>
      <c r="O1043" s="21">
        <v>0.47500000000000003</v>
      </c>
      <c r="P1043" s="21">
        <v>0.52249999999999996</v>
      </c>
    </row>
    <row r="1044" spans="1:16" ht="16.5" x14ac:dyDescent="0.25">
      <c r="A1044" s="2"/>
      <c r="B1044" s="4"/>
      <c r="C1044" s="18"/>
      <c r="E1044" s="20">
        <v>44622</v>
      </c>
      <c r="F1044" s="17" t="s">
        <v>98</v>
      </c>
      <c r="G1044" s="21">
        <v>6.16</v>
      </c>
      <c r="H1044" s="21">
        <v>8.9</v>
      </c>
      <c r="I1044" s="25">
        <v>0.10286516853932588</v>
      </c>
      <c r="J1044" s="21">
        <v>0.89000000000000012</v>
      </c>
      <c r="K1044" s="21">
        <v>0.84</v>
      </c>
      <c r="L1044" s="21">
        <v>0.48950000000000005</v>
      </c>
      <c r="M1044" s="17" t="s">
        <v>113</v>
      </c>
      <c r="N1044" s="17" t="s">
        <v>116</v>
      </c>
      <c r="O1044" s="21">
        <v>0.44500000000000006</v>
      </c>
      <c r="P1044" s="21">
        <v>0.48950000000000005</v>
      </c>
    </row>
    <row r="1045" spans="1:16" ht="16.5" x14ac:dyDescent="0.25">
      <c r="A1045" s="2"/>
      <c r="B1045" s="4"/>
      <c r="C1045" s="18"/>
      <c r="E1045" s="20">
        <v>44622</v>
      </c>
      <c r="F1045" s="17" t="s">
        <v>98</v>
      </c>
      <c r="G1045" s="21">
        <v>7</v>
      </c>
      <c r="H1045" s="21">
        <v>11</v>
      </c>
      <c r="I1045" s="25">
        <v>0.21363636363636365</v>
      </c>
      <c r="J1045" s="21">
        <v>1.1000000000000001</v>
      </c>
      <c r="K1045" s="21">
        <v>0.84</v>
      </c>
      <c r="L1045" s="21">
        <v>0</v>
      </c>
      <c r="M1045" s="17" t="s">
        <v>122</v>
      </c>
      <c r="N1045" s="17" t="s">
        <v>115</v>
      </c>
      <c r="O1045" s="21">
        <v>0.55000000000000004</v>
      </c>
      <c r="P1045" s="21">
        <v>0</v>
      </c>
    </row>
    <row r="1046" spans="1:16" ht="16.5" x14ac:dyDescent="0.25">
      <c r="A1046" s="2"/>
      <c r="B1046" s="4"/>
      <c r="C1046" s="18"/>
      <c r="E1046" s="20">
        <v>44622</v>
      </c>
      <c r="F1046" s="17" t="s">
        <v>98</v>
      </c>
      <c r="G1046" s="21">
        <v>7</v>
      </c>
      <c r="H1046" s="21">
        <v>10.5</v>
      </c>
      <c r="I1046" s="25">
        <v>0.18333333333333335</v>
      </c>
      <c r="J1046" s="21">
        <v>1.05</v>
      </c>
      <c r="K1046" s="21">
        <v>0.84</v>
      </c>
      <c r="L1046" s="21">
        <v>0</v>
      </c>
      <c r="M1046" s="17" t="s">
        <v>121</v>
      </c>
      <c r="N1046" s="17" t="s">
        <v>115</v>
      </c>
      <c r="O1046" s="21">
        <v>0.52500000000000002</v>
      </c>
      <c r="P1046" s="21">
        <v>0</v>
      </c>
    </row>
    <row r="1047" spans="1:16" ht="16.5" x14ac:dyDescent="0.25">
      <c r="A1047" s="2"/>
      <c r="B1047" s="4"/>
      <c r="C1047" s="18"/>
      <c r="E1047" s="20">
        <v>44622</v>
      </c>
      <c r="F1047" s="17" t="s">
        <v>98</v>
      </c>
      <c r="G1047" s="21">
        <v>7</v>
      </c>
      <c r="H1047" s="21">
        <v>10</v>
      </c>
      <c r="I1047" s="25">
        <v>0.15</v>
      </c>
      <c r="J1047" s="21">
        <v>1</v>
      </c>
      <c r="K1047" s="21">
        <v>0.84</v>
      </c>
      <c r="L1047" s="21">
        <v>0</v>
      </c>
      <c r="M1047" s="17" t="s">
        <v>120</v>
      </c>
      <c r="N1047" s="17" t="s">
        <v>115</v>
      </c>
      <c r="O1047" s="21">
        <v>0.5</v>
      </c>
      <c r="P1047" s="21">
        <v>0</v>
      </c>
    </row>
    <row r="1048" spans="1:16" ht="16.5" x14ac:dyDescent="0.25">
      <c r="A1048" s="2"/>
      <c r="B1048" s="4"/>
      <c r="C1048" s="18"/>
      <c r="E1048" s="20">
        <v>44622</v>
      </c>
      <c r="F1048" s="17" t="s">
        <v>98</v>
      </c>
      <c r="G1048" s="21">
        <v>7</v>
      </c>
      <c r="H1048" s="21">
        <v>9.5</v>
      </c>
      <c r="I1048" s="25">
        <v>0.11315789473684208</v>
      </c>
      <c r="J1048" s="21">
        <v>0.95000000000000007</v>
      </c>
      <c r="K1048" s="21">
        <v>0.84</v>
      </c>
      <c r="L1048" s="21">
        <v>0</v>
      </c>
      <c r="M1048" s="17" t="s">
        <v>113</v>
      </c>
      <c r="N1048" s="17" t="s">
        <v>115</v>
      </c>
      <c r="O1048" s="21">
        <v>0.47500000000000003</v>
      </c>
      <c r="P1048" s="21">
        <v>0</v>
      </c>
    </row>
    <row r="1049" spans="1:16" ht="16.5" x14ac:dyDescent="0.25">
      <c r="A1049" s="2"/>
      <c r="B1049" s="4"/>
      <c r="C1049" s="18"/>
      <c r="E1049" s="20">
        <v>44622</v>
      </c>
      <c r="F1049" s="17" t="s">
        <v>98</v>
      </c>
      <c r="G1049" s="21">
        <v>6.16</v>
      </c>
      <c r="H1049" s="21">
        <v>13.5</v>
      </c>
      <c r="I1049" s="25">
        <v>0.21440370370370368</v>
      </c>
      <c r="J1049" s="21">
        <v>1.35</v>
      </c>
      <c r="K1049" s="21">
        <v>0.84</v>
      </c>
      <c r="L1049" s="21">
        <v>1.6199999999999999</v>
      </c>
      <c r="M1049" s="17" t="s">
        <v>122</v>
      </c>
      <c r="N1049" s="17" t="s">
        <v>117</v>
      </c>
      <c r="O1049" s="21">
        <v>0.67500000000000004</v>
      </c>
      <c r="P1049" s="21">
        <v>2.4205500000000004</v>
      </c>
    </row>
    <row r="1050" spans="1:16" ht="16.5" x14ac:dyDescent="0.25">
      <c r="A1050" s="2"/>
      <c r="B1050" s="4"/>
      <c r="C1050" s="18"/>
      <c r="E1050" s="20">
        <v>44622</v>
      </c>
      <c r="F1050" s="17" t="s">
        <v>98</v>
      </c>
      <c r="G1050" s="21">
        <v>6.16</v>
      </c>
      <c r="H1050" s="21">
        <v>12.5</v>
      </c>
      <c r="I1050" s="25">
        <v>0.17789999999999992</v>
      </c>
      <c r="J1050" s="21">
        <v>1.25</v>
      </c>
      <c r="K1050" s="21">
        <v>0.84</v>
      </c>
      <c r="L1050" s="21">
        <v>1.5</v>
      </c>
      <c r="M1050" s="17" t="s">
        <v>121</v>
      </c>
      <c r="N1050" s="17" t="s">
        <v>117</v>
      </c>
      <c r="O1050" s="21">
        <v>0.625</v>
      </c>
      <c r="P1050" s="21">
        <v>2.24125</v>
      </c>
    </row>
    <row r="1051" spans="1:16" ht="16.5" x14ac:dyDescent="0.25">
      <c r="A1051" s="2"/>
      <c r="B1051" s="4"/>
      <c r="C1051" s="18"/>
      <c r="E1051" s="20">
        <v>44622</v>
      </c>
      <c r="F1051" s="17" t="s">
        <v>98</v>
      </c>
      <c r="G1051" s="21">
        <v>6.16</v>
      </c>
      <c r="H1051" s="21">
        <v>11.5</v>
      </c>
      <c r="I1051" s="25">
        <v>0.13504782608695654</v>
      </c>
      <c r="J1051" s="21">
        <v>1.1500000000000001</v>
      </c>
      <c r="K1051" s="21">
        <v>0.84</v>
      </c>
      <c r="L1051" s="21">
        <v>1.38</v>
      </c>
      <c r="M1051" s="17" t="s">
        <v>120</v>
      </c>
      <c r="N1051" s="17" t="s">
        <v>117</v>
      </c>
      <c r="O1051" s="21">
        <v>0.57500000000000007</v>
      </c>
      <c r="P1051" s="21">
        <v>2.0619500000000004</v>
      </c>
    </row>
    <row r="1052" spans="1:16" ht="16.5" x14ac:dyDescent="0.25">
      <c r="A1052" s="2"/>
      <c r="B1052" s="4"/>
      <c r="C1052" s="18"/>
      <c r="E1052" s="20">
        <v>44622</v>
      </c>
      <c r="F1052" s="17" t="s">
        <v>98</v>
      </c>
      <c r="G1052" s="21">
        <v>6.16</v>
      </c>
      <c r="H1052" s="21">
        <v>10.5</v>
      </c>
      <c r="I1052" s="25">
        <v>8.4033333333333335E-2</v>
      </c>
      <c r="J1052" s="21">
        <v>1.05</v>
      </c>
      <c r="K1052" s="21">
        <v>0.84</v>
      </c>
      <c r="L1052" s="21">
        <v>1.26</v>
      </c>
      <c r="M1052" s="17" t="s">
        <v>113</v>
      </c>
      <c r="N1052" s="17" t="s">
        <v>117</v>
      </c>
      <c r="O1052" s="21">
        <v>0.52500000000000002</v>
      </c>
      <c r="P1052" s="21">
        <v>1.8826500000000002</v>
      </c>
    </row>
    <row r="1053" spans="1:16" ht="16.5" x14ac:dyDescent="0.25">
      <c r="A1053" s="2"/>
      <c r="B1053" s="4"/>
      <c r="C1053" s="18"/>
      <c r="E1053" s="20">
        <v>44622</v>
      </c>
      <c r="F1053" s="17" t="s">
        <v>98</v>
      </c>
      <c r="G1053" s="21">
        <v>6.16</v>
      </c>
      <c r="H1053" s="21">
        <v>10.5</v>
      </c>
      <c r="I1053" s="25">
        <v>8.4033333333333335E-2</v>
      </c>
      <c r="J1053" s="21">
        <v>1.05</v>
      </c>
      <c r="K1053" s="21">
        <v>0.84</v>
      </c>
      <c r="L1053" s="21">
        <v>1.26</v>
      </c>
      <c r="M1053" s="17" t="s">
        <v>113</v>
      </c>
      <c r="N1053" s="17" t="s">
        <v>117</v>
      </c>
      <c r="O1053" s="21">
        <v>0.52500000000000002</v>
      </c>
      <c r="P1053" s="21">
        <v>1.8826500000000002</v>
      </c>
    </row>
    <row r="1054" spans="1:16" ht="16.5" x14ac:dyDescent="0.25">
      <c r="A1054" s="2"/>
      <c r="B1054" s="4"/>
      <c r="C1054" s="18"/>
      <c r="E1054" s="20">
        <v>44622</v>
      </c>
      <c r="F1054" s="17" t="s">
        <v>98</v>
      </c>
      <c r="G1054" s="21">
        <v>6.16</v>
      </c>
      <c r="H1054" s="21">
        <v>11.8</v>
      </c>
      <c r="I1054" s="25">
        <v>0.14866610169491523</v>
      </c>
      <c r="J1054" s="21">
        <v>1.1800000000000002</v>
      </c>
      <c r="K1054" s="21">
        <v>0.84</v>
      </c>
      <c r="L1054" s="21">
        <v>1.4159999999999999</v>
      </c>
      <c r="M1054" s="17" t="s">
        <v>120</v>
      </c>
      <c r="N1054" s="17" t="s">
        <v>117</v>
      </c>
      <c r="O1054" s="21">
        <v>0.59000000000000008</v>
      </c>
      <c r="P1054" s="21">
        <v>2.1157400000000002</v>
      </c>
    </row>
    <row r="1055" spans="1:16" ht="16.5" x14ac:dyDescent="0.25">
      <c r="A1055" s="2"/>
      <c r="B1055" s="4"/>
      <c r="C1055" s="18"/>
      <c r="E1055" s="20">
        <v>44622</v>
      </c>
      <c r="F1055" s="17" t="s">
        <v>98</v>
      </c>
      <c r="G1055" s="21">
        <v>6.16</v>
      </c>
      <c r="H1055" s="21">
        <v>10.8</v>
      </c>
      <c r="I1055" s="25">
        <v>0.10032962962962957</v>
      </c>
      <c r="J1055" s="21">
        <v>1.08</v>
      </c>
      <c r="K1055" s="21">
        <v>0.84</v>
      </c>
      <c r="L1055" s="21">
        <v>1.296</v>
      </c>
      <c r="M1055" s="17" t="s">
        <v>113</v>
      </c>
      <c r="N1055" s="17" t="s">
        <v>117</v>
      </c>
      <c r="O1055" s="21">
        <v>0.54</v>
      </c>
      <c r="P1055" s="21">
        <v>1.9364400000000004</v>
      </c>
    </row>
    <row r="1056" spans="1:16" ht="16.5" x14ac:dyDescent="0.25">
      <c r="A1056" s="2"/>
      <c r="B1056" s="4"/>
      <c r="C1056" s="18"/>
      <c r="E1056" s="20">
        <v>44622</v>
      </c>
      <c r="F1056" s="17" t="s">
        <v>102</v>
      </c>
      <c r="G1056" s="21">
        <v>16.896000000000001</v>
      </c>
      <c r="H1056" s="21">
        <v>35.9</v>
      </c>
      <c r="I1056" s="25">
        <v>0.25005933147632303</v>
      </c>
      <c r="J1056" s="21">
        <v>3.59</v>
      </c>
      <c r="K1056" s="21">
        <v>2.3039999999999998</v>
      </c>
      <c r="L1056" s="21">
        <v>2.5130000000000003</v>
      </c>
      <c r="M1056" s="17" t="s">
        <v>122</v>
      </c>
      <c r="N1056" s="17" t="s">
        <v>117</v>
      </c>
      <c r="O1056" s="21">
        <v>1.7949999999999999</v>
      </c>
      <c r="P1056" s="21">
        <v>4.6418699999999999</v>
      </c>
    </row>
    <row r="1057" spans="1:16" ht="16.5" x14ac:dyDescent="0.25">
      <c r="A1057" s="2"/>
      <c r="B1057" s="4"/>
      <c r="C1057" s="18"/>
      <c r="E1057" s="20">
        <v>44622</v>
      </c>
      <c r="F1057" s="17" t="s">
        <v>102</v>
      </c>
      <c r="G1057" s="21">
        <v>16.896000000000001</v>
      </c>
      <c r="H1057" s="21">
        <v>32.4</v>
      </c>
      <c r="I1057" s="25">
        <v>0.19921851851851846</v>
      </c>
      <c r="J1057" s="21">
        <v>3.24</v>
      </c>
      <c r="K1057" s="21">
        <v>2.3039999999999998</v>
      </c>
      <c r="L1057" s="21">
        <v>2.2680000000000002</v>
      </c>
      <c r="M1057" s="17" t="s">
        <v>121</v>
      </c>
      <c r="N1057" s="17" t="s">
        <v>117</v>
      </c>
      <c r="O1057" s="21">
        <v>1.62</v>
      </c>
      <c r="P1057" s="21">
        <v>4.1893199999999995</v>
      </c>
    </row>
    <row r="1058" spans="1:16" ht="16.5" x14ac:dyDescent="0.25">
      <c r="A1058" s="2"/>
      <c r="B1058" s="4"/>
      <c r="C1058" s="18"/>
      <c r="E1058" s="20">
        <v>44622</v>
      </c>
      <c r="F1058" s="17" t="s">
        <v>102</v>
      </c>
      <c r="G1058" s="21">
        <v>16.896000000000001</v>
      </c>
      <c r="H1058" s="21">
        <v>29.6</v>
      </c>
      <c r="I1058" s="25">
        <v>0.14988918918918909</v>
      </c>
      <c r="J1058" s="21">
        <v>2.9600000000000004</v>
      </c>
      <c r="K1058" s="21">
        <v>2.3039999999999998</v>
      </c>
      <c r="L1058" s="21">
        <v>2.0720000000000005</v>
      </c>
      <c r="M1058" s="17" t="s">
        <v>120</v>
      </c>
      <c r="N1058" s="17" t="s">
        <v>117</v>
      </c>
      <c r="O1058" s="21">
        <v>1.4800000000000002</v>
      </c>
      <c r="P1058" s="21">
        <v>3.82728</v>
      </c>
    </row>
    <row r="1059" spans="1:16" ht="16.5" x14ac:dyDescent="0.25">
      <c r="A1059" s="2"/>
      <c r="B1059" s="4"/>
      <c r="C1059" s="18"/>
      <c r="E1059" s="20">
        <v>44622</v>
      </c>
      <c r="F1059" s="17" t="s">
        <v>102</v>
      </c>
      <c r="G1059" s="21">
        <v>16.896000000000001</v>
      </c>
      <c r="H1059" s="21">
        <v>27.2</v>
      </c>
      <c r="I1059" s="25">
        <v>9.9523529411764594E-2</v>
      </c>
      <c r="J1059" s="21">
        <v>2.72</v>
      </c>
      <c r="K1059" s="21">
        <v>2.3039999999999998</v>
      </c>
      <c r="L1059" s="21">
        <v>1.9040000000000001</v>
      </c>
      <c r="M1059" s="17" t="s">
        <v>113</v>
      </c>
      <c r="N1059" s="17" t="s">
        <v>117</v>
      </c>
      <c r="O1059" s="21">
        <v>1.36</v>
      </c>
      <c r="P1059" s="21">
        <v>3.5169599999999996</v>
      </c>
    </row>
    <row r="1060" spans="1:16" ht="16.5" x14ac:dyDescent="0.25">
      <c r="A1060" s="2"/>
      <c r="B1060" s="4"/>
      <c r="C1060" s="18"/>
      <c r="E1060" s="20">
        <v>44622</v>
      </c>
      <c r="F1060" s="17" t="s">
        <v>101</v>
      </c>
      <c r="G1060" s="21">
        <v>9.5920000000000005</v>
      </c>
      <c r="H1060" s="21">
        <v>20.399999999999999</v>
      </c>
      <c r="I1060" s="25">
        <v>0.25050392156862733</v>
      </c>
      <c r="J1060" s="21">
        <v>2.04</v>
      </c>
      <c r="K1060" s="21">
        <v>1.3080000000000001</v>
      </c>
      <c r="L1060" s="21">
        <v>1.4279999999999999</v>
      </c>
      <c r="M1060" s="17" t="s">
        <v>122</v>
      </c>
      <c r="N1060" s="17" t="s">
        <v>117</v>
      </c>
      <c r="O1060" s="21">
        <v>1.02</v>
      </c>
      <c r="P1060" s="21">
        <v>2.6377199999999998</v>
      </c>
    </row>
    <row r="1061" spans="1:16" ht="16.5" x14ac:dyDescent="0.25">
      <c r="A1061" s="2"/>
      <c r="B1061" s="4"/>
      <c r="C1061" s="18"/>
      <c r="E1061" s="20">
        <v>44622</v>
      </c>
      <c r="F1061" s="17" t="s">
        <v>101</v>
      </c>
      <c r="G1061" s="21">
        <v>9.5920000000000005</v>
      </c>
      <c r="H1061" s="21">
        <v>20.399999999999999</v>
      </c>
      <c r="I1061" s="25">
        <v>0.25050392156862733</v>
      </c>
      <c r="J1061" s="21">
        <v>2.04</v>
      </c>
      <c r="K1061" s="21">
        <v>1.3080000000000001</v>
      </c>
      <c r="L1061" s="21">
        <v>1.4279999999999999</v>
      </c>
      <c r="M1061" s="17" t="s">
        <v>122</v>
      </c>
      <c r="N1061" s="17" t="s">
        <v>117</v>
      </c>
      <c r="O1061" s="21">
        <v>1.02</v>
      </c>
      <c r="P1061" s="21">
        <v>2.6377199999999998</v>
      </c>
    </row>
    <row r="1062" spans="1:16" ht="16.5" x14ac:dyDescent="0.25">
      <c r="A1062" s="2"/>
      <c r="B1062" s="4"/>
      <c r="C1062" s="18"/>
      <c r="E1062" s="20">
        <v>44622</v>
      </c>
      <c r="F1062" s="17" t="s">
        <v>101</v>
      </c>
      <c r="G1062" s="21">
        <v>9.5920000000000005</v>
      </c>
      <c r="H1062" s="21">
        <v>18.399999999999999</v>
      </c>
      <c r="I1062" s="25">
        <v>0.19939565217391295</v>
      </c>
      <c r="J1062" s="21">
        <v>1.8399999999999999</v>
      </c>
      <c r="K1062" s="21">
        <v>1.3080000000000001</v>
      </c>
      <c r="L1062" s="21">
        <v>1.288</v>
      </c>
      <c r="M1062" s="17" t="s">
        <v>121</v>
      </c>
      <c r="N1062" s="17" t="s">
        <v>117</v>
      </c>
      <c r="O1062" s="21">
        <v>0.91999999999999993</v>
      </c>
      <c r="P1062" s="21">
        <v>2.3791199999999999</v>
      </c>
    </row>
    <row r="1063" spans="1:16" ht="16.5" x14ac:dyDescent="0.25">
      <c r="A1063" s="2"/>
      <c r="B1063" s="4"/>
      <c r="C1063" s="18"/>
      <c r="E1063" s="20">
        <v>44622</v>
      </c>
      <c r="F1063" s="17" t="s">
        <v>101</v>
      </c>
      <c r="G1063" s="21">
        <v>9.5920000000000005</v>
      </c>
      <c r="H1063" s="21">
        <v>16.8</v>
      </c>
      <c r="I1063" s="25">
        <v>0.14974761904761902</v>
      </c>
      <c r="J1063" s="21">
        <v>1.6800000000000002</v>
      </c>
      <c r="K1063" s="21">
        <v>1.3080000000000001</v>
      </c>
      <c r="L1063" s="21">
        <v>1.1760000000000002</v>
      </c>
      <c r="M1063" s="17" t="s">
        <v>120</v>
      </c>
      <c r="N1063" s="17" t="s">
        <v>117</v>
      </c>
      <c r="O1063" s="21">
        <v>0.84000000000000008</v>
      </c>
      <c r="P1063" s="21">
        <v>2.1722399999999999</v>
      </c>
    </row>
    <row r="1064" spans="1:16" ht="16.5" x14ac:dyDescent="0.25">
      <c r="A1064" s="2"/>
      <c r="B1064" s="4"/>
      <c r="C1064" s="18"/>
      <c r="E1064" s="20">
        <v>44622</v>
      </c>
      <c r="F1064" s="17" t="s">
        <v>101</v>
      </c>
      <c r="G1064" s="21">
        <v>9.5920000000000005</v>
      </c>
      <c r="H1064" s="21">
        <v>15.5</v>
      </c>
      <c r="I1064" s="25">
        <v>0.10186129032258066</v>
      </c>
      <c r="J1064" s="21">
        <v>1.55</v>
      </c>
      <c r="K1064" s="21">
        <v>1.3080000000000001</v>
      </c>
      <c r="L1064" s="21">
        <v>1.0850000000000002</v>
      </c>
      <c r="M1064" s="17" t="s">
        <v>113</v>
      </c>
      <c r="N1064" s="17" t="s">
        <v>117</v>
      </c>
      <c r="O1064" s="21">
        <v>0.77500000000000002</v>
      </c>
      <c r="P1064" s="21">
        <v>2.0041500000000001</v>
      </c>
    </row>
    <row r="1065" spans="1:16" ht="16.5" x14ac:dyDescent="0.25">
      <c r="A1065" s="2"/>
      <c r="B1065" s="4"/>
      <c r="C1065" s="18"/>
      <c r="E1065" s="20">
        <v>44622</v>
      </c>
      <c r="F1065" s="17" t="s">
        <v>101</v>
      </c>
      <c r="G1065" s="21">
        <v>9.5920000000000005</v>
      </c>
      <c r="H1065" s="21">
        <v>15.5</v>
      </c>
      <c r="I1065" s="25">
        <v>0.10186129032258066</v>
      </c>
      <c r="J1065" s="21">
        <v>1.55</v>
      </c>
      <c r="K1065" s="21">
        <v>1.3080000000000001</v>
      </c>
      <c r="L1065" s="21">
        <v>1.0850000000000002</v>
      </c>
      <c r="M1065" s="17" t="s">
        <v>122</v>
      </c>
      <c r="N1065" s="17" t="s">
        <v>117</v>
      </c>
      <c r="O1065" s="21">
        <v>0.77500000000000002</v>
      </c>
      <c r="P1065" s="21">
        <v>2.0041500000000001</v>
      </c>
    </row>
    <row r="1066" spans="1:16" ht="16.5" x14ac:dyDescent="0.25">
      <c r="A1066" s="2"/>
      <c r="B1066" s="4"/>
      <c r="C1066" s="18"/>
      <c r="E1066" s="20">
        <v>44586</v>
      </c>
      <c r="F1066" s="17" t="s">
        <v>96</v>
      </c>
      <c r="G1066" s="21">
        <v>9.6668000000000003</v>
      </c>
      <c r="H1066" s="21">
        <v>18</v>
      </c>
      <c r="I1066" s="25">
        <v>0.17015555555555556</v>
      </c>
      <c r="J1066" s="21">
        <v>1.8</v>
      </c>
      <c r="K1066" s="21">
        <v>0.2432</v>
      </c>
      <c r="L1066" s="21">
        <v>2.16</v>
      </c>
      <c r="M1066" s="17" t="s">
        <v>122</v>
      </c>
      <c r="N1066" s="17" t="s">
        <v>117</v>
      </c>
      <c r="O1066" s="21">
        <v>0.9</v>
      </c>
      <c r="P1066" s="21">
        <v>2.5704000000000002</v>
      </c>
    </row>
    <row r="1067" spans="1:16" ht="16.5" x14ac:dyDescent="0.25">
      <c r="A1067" s="2"/>
      <c r="B1067" s="4"/>
      <c r="C1067" s="18"/>
      <c r="E1067" s="20">
        <v>44586</v>
      </c>
      <c r="F1067" s="17" t="s">
        <v>96</v>
      </c>
      <c r="G1067" s="21">
        <v>9.6668000000000003</v>
      </c>
      <c r="H1067" s="21">
        <v>17.5</v>
      </c>
      <c r="I1067" s="25">
        <v>0.15481142857142852</v>
      </c>
      <c r="J1067" s="21">
        <v>1.75</v>
      </c>
      <c r="K1067" s="21">
        <v>0.2432</v>
      </c>
      <c r="L1067" s="21">
        <v>2.1</v>
      </c>
      <c r="M1067" s="17" t="s">
        <v>121</v>
      </c>
      <c r="N1067" s="17" t="s">
        <v>117</v>
      </c>
      <c r="O1067" s="21">
        <v>0.875</v>
      </c>
      <c r="P1067" s="21">
        <v>2.4990000000000001</v>
      </c>
    </row>
    <row r="1068" spans="1:16" ht="16.5" x14ac:dyDescent="0.25">
      <c r="A1068" s="2"/>
      <c r="B1068" s="4"/>
      <c r="C1068" s="18"/>
      <c r="E1068" s="20">
        <v>44586</v>
      </c>
      <c r="F1068" s="17" t="s">
        <v>96</v>
      </c>
      <c r="G1068" s="21">
        <v>9.6668000000000003</v>
      </c>
      <c r="H1068" s="21">
        <v>17</v>
      </c>
      <c r="I1068" s="25">
        <v>0.13856470588235292</v>
      </c>
      <c r="J1068" s="21">
        <v>1.7000000000000002</v>
      </c>
      <c r="K1068" s="21">
        <v>0.2432</v>
      </c>
      <c r="L1068" s="21">
        <v>2.04</v>
      </c>
      <c r="M1068" s="17" t="s">
        <v>120</v>
      </c>
      <c r="N1068" s="17" t="s">
        <v>117</v>
      </c>
      <c r="O1068" s="21">
        <v>0.85000000000000009</v>
      </c>
      <c r="P1068" s="21">
        <v>2.4276</v>
      </c>
    </row>
    <row r="1069" spans="1:16" ht="16.5" x14ac:dyDescent="0.25">
      <c r="A1069" s="2"/>
      <c r="B1069" s="4"/>
      <c r="C1069" s="18"/>
      <c r="E1069" s="20">
        <v>44586</v>
      </c>
      <c r="F1069" s="17" t="s">
        <v>96</v>
      </c>
      <c r="G1069" s="21">
        <v>9.6668000000000003</v>
      </c>
      <c r="H1069" s="21">
        <v>16.5</v>
      </c>
      <c r="I1069" s="25">
        <v>0.12133333333333321</v>
      </c>
      <c r="J1069" s="21">
        <v>1.6500000000000001</v>
      </c>
      <c r="K1069" s="21">
        <v>0.2432</v>
      </c>
      <c r="L1069" s="21">
        <v>1.98</v>
      </c>
      <c r="M1069" s="17" t="s">
        <v>113</v>
      </c>
      <c r="N1069" s="17" t="s">
        <v>117</v>
      </c>
      <c r="O1069" s="21">
        <v>0.82500000000000007</v>
      </c>
      <c r="P1069" s="21">
        <v>2.3562000000000003</v>
      </c>
    </row>
    <row r="1070" spans="1:16" ht="16.5" x14ac:dyDescent="0.25">
      <c r="A1070" s="2"/>
      <c r="B1070" s="4"/>
      <c r="C1070" s="18"/>
      <c r="E1070" s="20">
        <v>44586</v>
      </c>
      <c r="F1070" s="17" t="s">
        <v>96</v>
      </c>
      <c r="G1070" s="21">
        <v>9.91</v>
      </c>
      <c r="H1070" s="21">
        <v>15</v>
      </c>
      <c r="I1070" s="25">
        <v>0.18933333333333333</v>
      </c>
      <c r="J1070" s="21">
        <v>1.5</v>
      </c>
      <c r="K1070" s="21">
        <v>0.2432</v>
      </c>
      <c r="L1070" s="21">
        <v>0</v>
      </c>
      <c r="M1070" s="17" t="s">
        <v>122</v>
      </c>
      <c r="N1070" s="17" t="s">
        <v>115</v>
      </c>
      <c r="O1070" s="21">
        <v>0.75</v>
      </c>
      <c r="P1070" s="21">
        <v>0</v>
      </c>
    </row>
    <row r="1071" spans="1:16" ht="16.5" x14ac:dyDescent="0.25">
      <c r="A1071" s="2"/>
      <c r="B1071" s="4"/>
      <c r="C1071" s="18"/>
      <c r="E1071" s="20">
        <v>44586</v>
      </c>
      <c r="F1071" s="17" t="s">
        <v>96</v>
      </c>
      <c r="G1071" s="21">
        <v>9.91</v>
      </c>
      <c r="H1071" s="21">
        <v>14.5</v>
      </c>
      <c r="I1071" s="25">
        <v>0.16655172413793101</v>
      </c>
      <c r="J1071" s="21">
        <v>1.4500000000000002</v>
      </c>
      <c r="K1071" s="21">
        <v>0.2432</v>
      </c>
      <c r="L1071" s="21">
        <v>0</v>
      </c>
      <c r="M1071" s="17" t="s">
        <v>121</v>
      </c>
      <c r="N1071" s="17" t="s">
        <v>115</v>
      </c>
      <c r="O1071" s="21">
        <v>0.72500000000000009</v>
      </c>
      <c r="P1071" s="21">
        <v>0</v>
      </c>
    </row>
    <row r="1072" spans="1:16" ht="16.5" x14ac:dyDescent="0.25">
      <c r="A1072" s="2"/>
      <c r="B1072" s="4"/>
      <c r="C1072" s="18"/>
      <c r="E1072" s="20">
        <v>44586</v>
      </c>
      <c r="F1072" s="17" t="s">
        <v>96</v>
      </c>
      <c r="G1072" s="21">
        <v>9.91</v>
      </c>
      <c r="H1072" s="21">
        <v>14</v>
      </c>
      <c r="I1072" s="25">
        <v>0.1421428571428571</v>
      </c>
      <c r="J1072" s="21">
        <v>1.4000000000000001</v>
      </c>
      <c r="K1072" s="21">
        <v>0.2432</v>
      </c>
      <c r="L1072" s="21">
        <v>0</v>
      </c>
      <c r="M1072" s="17" t="s">
        <v>120</v>
      </c>
      <c r="N1072" s="17" t="s">
        <v>115</v>
      </c>
      <c r="O1072" s="21">
        <v>0.70000000000000007</v>
      </c>
      <c r="P1072" s="21">
        <v>0</v>
      </c>
    </row>
    <row r="1073" spans="1:16" ht="16.5" x14ac:dyDescent="0.25">
      <c r="A1073" s="2"/>
      <c r="B1073" s="4"/>
      <c r="C1073" s="18"/>
      <c r="E1073" s="20">
        <v>44586</v>
      </c>
      <c r="F1073" s="17" t="s">
        <v>96</v>
      </c>
      <c r="G1073" s="21">
        <v>9.91</v>
      </c>
      <c r="H1073" s="21">
        <v>13.5</v>
      </c>
      <c r="I1073" s="25">
        <v>0.11592592592592592</v>
      </c>
      <c r="J1073" s="21">
        <v>1.35</v>
      </c>
      <c r="K1073" s="21">
        <v>0.2432</v>
      </c>
      <c r="L1073" s="21">
        <v>0</v>
      </c>
      <c r="M1073" s="17" t="s">
        <v>113</v>
      </c>
      <c r="N1073" s="17" t="s">
        <v>115</v>
      </c>
      <c r="O1073" s="21">
        <v>0.67500000000000004</v>
      </c>
      <c r="P1073" s="21">
        <v>0</v>
      </c>
    </row>
    <row r="1074" spans="1:16" ht="16.5" x14ac:dyDescent="0.25">
      <c r="A1074" s="2"/>
      <c r="B1074" s="4"/>
      <c r="C1074" s="18"/>
      <c r="E1074" s="20">
        <v>44586</v>
      </c>
      <c r="F1074" s="17" t="s">
        <v>96</v>
      </c>
      <c r="G1074" s="21">
        <v>9.6668000000000003</v>
      </c>
      <c r="H1074" s="21">
        <v>16.2</v>
      </c>
      <c r="I1074" s="25">
        <v>0.19828395061728385</v>
      </c>
      <c r="J1074" s="21">
        <v>1.62</v>
      </c>
      <c r="K1074" s="21">
        <v>0.2432</v>
      </c>
      <c r="L1074" s="21">
        <v>0.89100000000000001</v>
      </c>
      <c r="M1074" s="17" t="s">
        <v>122</v>
      </c>
      <c r="N1074" s="17" t="s">
        <v>116</v>
      </c>
      <c r="O1074" s="21">
        <v>0.81</v>
      </c>
      <c r="P1074" s="21">
        <v>0.89100000000000001</v>
      </c>
    </row>
    <row r="1075" spans="1:16" ht="16.5" x14ac:dyDescent="0.25">
      <c r="A1075" s="2"/>
      <c r="B1075" s="4"/>
      <c r="C1075" s="18"/>
      <c r="E1075" s="20">
        <v>44586</v>
      </c>
      <c r="F1075" s="17" t="s">
        <v>96</v>
      </c>
      <c r="G1075" s="21">
        <v>9.6668000000000003</v>
      </c>
      <c r="H1075" s="21">
        <v>15.7</v>
      </c>
      <c r="I1075" s="25">
        <v>0.17928025477706996</v>
      </c>
      <c r="J1075" s="21">
        <v>1.57</v>
      </c>
      <c r="K1075" s="21">
        <v>0.2432</v>
      </c>
      <c r="L1075" s="21">
        <v>0.86349999999999993</v>
      </c>
      <c r="M1075" s="17" t="s">
        <v>121</v>
      </c>
      <c r="N1075" s="17" t="s">
        <v>116</v>
      </c>
      <c r="O1075" s="21">
        <v>0.78500000000000003</v>
      </c>
      <c r="P1075" s="21">
        <v>0.86349999999999993</v>
      </c>
    </row>
    <row r="1076" spans="1:16" ht="16.5" x14ac:dyDescent="0.25">
      <c r="A1076" s="2"/>
      <c r="B1076" s="4"/>
      <c r="C1076" s="18"/>
      <c r="E1076" s="20">
        <v>44586</v>
      </c>
      <c r="F1076" s="17" t="s">
        <v>96</v>
      </c>
      <c r="G1076" s="21">
        <v>9.6668000000000003</v>
      </c>
      <c r="H1076" s="21">
        <v>15.5</v>
      </c>
      <c r="I1076" s="25">
        <v>0.17133548387096778</v>
      </c>
      <c r="J1076" s="21">
        <v>1.55</v>
      </c>
      <c r="K1076" s="21">
        <v>0.2432</v>
      </c>
      <c r="L1076" s="21">
        <v>0.85250000000000004</v>
      </c>
      <c r="M1076" s="17" t="s">
        <v>121</v>
      </c>
      <c r="N1076" s="17" t="s">
        <v>116</v>
      </c>
      <c r="O1076" s="21">
        <v>0.77500000000000002</v>
      </c>
      <c r="P1076" s="21">
        <v>0.85250000000000004</v>
      </c>
    </row>
    <row r="1077" spans="1:16" ht="16.5" x14ac:dyDescent="0.25">
      <c r="A1077" s="2"/>
      <c r="B1077" s="4"/>
      <c r="C1077" s="18"/>
      <c r="E1077" s="20">
        <v>44586</v>
      </c>
      <c r="F1077" s="17" t="s">
        <v>96</v>
      </c>
      <c r="G1077" s="21">
        <v>9.6668000000000003</v>
      </c>
      <c r="H1077" s="21">
        <v>15</v>
      </c>
      <c r="I1077" s="25">
        <v>0.15054666666666669</v>
      </c>
      <c r="J1077" s="21">
        <v>1.5</v>
      </c>
      <c r="K1077" s="21">
        <v>0.2432</v>
      </c>
      <c r="L1077" s="21">
        <v>0.82499999999999996</v>
      </c>
      <c r="M1077" s="17" t="s">
        <v>120</v>
      </c>
      <c r="N1077" s="17" t="s">
        <v>116</v>
      </c>
      <c r="O1077" s="21">
        <v>0.75</v>
      </c>
      <c r="P1077" s="21">
        <v>0.82499999999999996</v>
      </c>
    </row>
    <row r="1078" spans="1:16" ht="16.5" x14ac:dyDescent="0.25">
      <c r="A1078" s="2"/>
      <c r="B1078" s="4"/>
      <c r="C1078" s="18"/>
      <c r="E1078" s="20">
        <v>44586</v>
      </c>
      <c r="F1078" s="17" t="s">
        <v>96</v>
      </c>
      <c r="G1078" s="21">
        <v>9.6668000000000003</v>
      </c>
      <c r="H1078" s="21">
        <v>14.5</v>
      </c>
      <c r="I1078" s="25">
        <v>0.12832413793103448</v>
      </c>
      <c r="J1078" s="21">
        <v>1.4500000000000002</v>
      </c>
      <c r="K1078" s="21">
        <v>0.2432</v>
      </c>
      <c r="L1078" s="21">
        <v>0.79749999999999999</v>
      </c>
      <c r="M1078" s="17" t="s">
        <v>113</v>
      </c>
      <c r="N1078" s="17" t="s">
        <v>116</v>
      </c>
      <c r="O1078" s="21">
        <v>0.72500000000000009</v>
      </c>
      <c r="P1078" s="21">
        <v>0.79749999999999999</v>
      </c>
    </row>
    <row r="1079" spans="1:16" ht="16.5" x14ac:dyDescent="0.25">
      <c r="A1079" s="2"/>
      <c r="B1079" s="4"/>
      <c r="C1079" s="18"/>
      <c r="E1079" s="20">
        <v>44586</v>
      </c>
      <c r="F1079" s="17" t="s">
        <v>96</v>
      </c>
      <c r="G1079" s="21">
        <v>9.6668000000000003</v>
      </c>
      <c r="H1079" s="21">
        <v>14.5</v>
      </c>
      <c r="I1079" s="25">
        <v>0.12832413793103448</v>
      </c>
      <c r="J1079" s="21">
        <v>1.4500000000000002</v>
      </c>
      <c r="K1079" s="21">
        <v>0.2432</v>
      </c>
      <c r="L1079" s="21">
        <v>0.79749999999999999</v>
      </c>
      <c r="M1079" s="17" t="s">
        <v>120</v>
      </c>
      <c r="N1079" s="17" t="s">
        <v>116</v>
      </c>
      <c r="O1079" s="21">
        <v>0.72500000000000009</v>
      </c>
      <c r="P1079" s="21">
        <v>0.79749999999999999</v>
      </c>
    </row>
    <row r="1080" spans="1:16" ht="16.5" x14ac:dyDescent="0.25">
      <c r="A1080" s="2"/>
      <c r="B1080" s="4"/>
      <c r="C1080" s="18"/>
      <c r="E1080" s="20">
        <v>44586</v>
      </c>
      <c r="F1080" s="17" t="s">
        <v>96</v>
      </c>
      <c r="G1080" s="21">
        <v>9.6668000000000003</v>
      </c>
      <c r="H1080" s="21">
        <v>14.3</v>
      </c>
      <c r="I1080" s="25">
        <v>0.11900000000000001</v>
      </c>
      <c r="J1080" s="21">
        <v>1.4300000000000002</v>
      </c>
      <c r="K1080" s="21">
        <v>0.2432</v>
      </c>
      <c r="L1080" s="21">
        <v>0.78650000000000009</v>
      </c>
      <c r="M1080" s="17" t="s">
        <v>113</v>
      </c>
      <c r="N1080" s="17" t="s">
        <v>116</v>
      </c>
      <c r="O1080" s="21">
        <v>0.71500000000000008</v>
      </c>
      <c r="P1080" s="21">
        <v>0.78650000000000009</v>
      </c>
    </row>
    <row r="1081" spans="1:16" ht="16.5" x14ac:dyDescent="0.25">
      <c r="A1081" s="2"/>
      <c r="B1081" s="4"/>
      <c r="C1081" s="18"/>
      <c r="E1081" s="20">
        <v>44586</v>
      </c>
      <c r="F1081" s="17" t="s">
        <v>96</v>
      </c>
      <c r="G1081" s="21">
        <v>9.91</v>
      </c>
      <c r="H1081" s="21">
        <v>14.2</v>
      </c>
      <c r="I1081" s="25">
        <v>0.15211267605633799</v>
      </c>
      <c r="J1081" s="21">
        <v>1.42</v>
      </c>
      <c r="K1081" s="21">
        <v>0.2432</v>
      </c>
      <c r="L1081" s="21">
        <v>0</v>
      </c>
      <c r="M1081" s="17" t="s">
        <v>122</v>
      </c>
      <c r="N1081" s="17" t="s">
        <v>115</v>
      </c>
      <c r="O1081" s="21">
        <v>0.71</v>
      </c>
      <c r="P1081" s="21">
        <v>0</v>
      </c>
    </row>
    <row r="1082" spans="1:16" ht="16.5" x14ac:dyDescent="0.25">
      <c r="A1082" s="2"/>
      <c r="B1082" s="4"/>
      <c r="C1082" s="18"/>
      <c r="E1082" s="20">
        <v>44586</v>
      </c>
      <c r="F1082" s="17" t="s">
        <v>96</v>
      </c>
      <c r="G1082" s="21">
        <v>9.91</v>
      </c>
      <c r="H1082" s="21">
        <v>13.8</v>
      </c>
      <c r="I1082" s="25">
        <v>0.13188405797101452</v>
      </c>
      <c r="J1082" s="21">
        <v>1.3800000000000001</v>
      </c>
      <c r="K1082" s="21">
        <v>0.2432</v>
      </c>
      <c r="L1082" s="21">
        <v>0</v>
      </c>
      <c r="M1082" s="17" t="s">
        <v>121</v>
      </c>
      <c r="N1082" s="17" t="s">
        <v>115</v>
      </c>
      <c r="O1082" s="21">
        <v>0.69000000000000006</v>
      </c>
      <c r="P1082" s="21">
        <v>0</v>
      </c>
    </row>
    <row r="1083" spans="1:16" ht="16.5" x14ac:dyDescent="0.25">
      <c r="A1083" s="2"/>
      <c r="B1083" s="4"/>
      <c r="C1083" s="18"/>
      <c r="E1083" s="20">
        <v>44586</v>
      </c>
      <c r="F1083" s="17" t="s">
        <v>96</v>
      </c>
      <c r="G1083" s="21">
        <v>9.91</v>
      </c>
      <c r="H1083" s="21">
        <v>13.5</v>
      </c>
      <c r="I1083" s="25">
        <v>0.11592592592592592</v>
      </c>
      <c r="J1083" s="21">
        <v>1.35</v>
      </c>
      <c r="K1083" s="21">
        <v>0.2432</v>
      </c>
      <c r="L1083" s="21">
        <v>0</v>
      </c>
      <c r="M1083" s="17" t="s">
        <v>120</v>
      </c>
      <c r="N1083" s="17" t="s">
        <v>115</v>
      </c>
      <c r="O1083" s="21">
        <v>0.67500000000000004</v>
      </c>
      <c r="P1083" s="21">
        <v>0</v>
      </c>
    </row>
    <row r="1084" spans="1:16" ht="16.5" x14ac:dyDescent="0.25">
      <c r="A1084" s="2"/>
      <c r="B1084" s="4"/>
      <c r="C1084" s="18"/>
      <c r="E1084" s="20">
        <v>44586</v>
      </c>
      <c r="F1084" s="17" t="s">
        <v>96</v>
      </c>
      <c r="G1084" s="21">
        <v>9.91</v>
      </c>
      <c r="H1084" s="21">
        <v>13.2</v>
      </c>
      <c r="I1084" s="25">
        <v>9.9242424242424174E-2</v>
      </c>
      <c r="J1084" s="21">
        <v>1.32</v>
      </c>
      <c r="K1084" s="21">
        <v>0.2432</v>
      </c>
      <c r="L1084" s="21">
        <v>0</v>
      </c>
      <c r="M1084" s="17" t="s">
        <v>113</v>
      </c>
      <c r="N1084" s="17" t="s">
        <v>115</v>
      </c>
      <c r="O1084" s="21">
        <v>0.66</v>
      </c>
      <c r="P1084" s="21">
        <v>0</v>
      </c>
    </row>
    <row r="1085" spans="1:16" ht="16.5" x14ac:dyDescent="0.25">
      <c r="A1085" s="2"/>
      <c r="B1085" s="4"/>
      <c r="C1085" s="18"/>
      <c r="E1085" s="20">
        <v>44586</v>
      </c>
      <c r="F1085" s="17" t="s">
        <v>96</v>
      </c>
      <c r="G1085" s="21">
        <v>9.91</v>
      </c>
      <c r="H1085" s="21">
        <v>13.2</v>
      </c>
      <c r="I1085" s="25">
        <v>9.9242424242424174E-2</v>
      </c>
      <c r="J1085" s="21">
        <v>1.32</v>
      </c>
      <c r="K1085" s="21">
        <v>0.2432</v>
      </c>
      <c r="L1085" s="21">
        <v>0</v>
      </c>
      <c r="M1085" s="17" t="s">
        <v>113</v>
      </c>
      <c r="N1085" s="17" t="s">
        <v>115</v>
      </c>
      <c r="O1085" s="21">
        <v>0.66</v>
      </c>
      <c r="P1085" s="21">
        <v>0</v>
      </c>
    </row>
    <row r="1086" spans="1:16" ht="16.5" x14ac:dyDescent="0.25">
      <c r="A1086" s="2"/>
      <c r="B1086" s="4"/>
      <c r="C1086" s="18"/>
      <c r="E1086" s="20">
        <v>44586</v>
      </c>
      <c r="F1086" s="17" t="s">
        <v>95</v>
      </c>
      <c r="G1086" s="21">
        <v>4.8334000000000001</v>
      </c>
      <c r="H1086" s="21">
        <v>9</v>
      </c>
      <c r="I1086" s="25">
        <v>0.17015555555555556</v>
      </c>
      <c r="J1086" s="21">
        <v>0.9</v>
      </c>
      <c r="K1086" s="21">
        <v>0.1216</v>
      </c>
      <c r="L1086" s="21">
        <v>1.08</v>
      </c>
      <c r="M1086" s="17" t="s">
        <v>122</v>
      </c>
      <c r="N1086" s="17" t="s">
        <v>117</v>
      </c>
      <c r="O1086" s="21">
        <v>0.45</v>
      </c>
      <c r="P1086" s="21">
        <v>1.2852000000000001</v>
      </c>
    </row>
    <row r="1087" spans="1:16" ht="16.5" x14ac:dyDescent="0.25">
      <c r="A1087" s="2"/>
      <c r="B1087" s="4"/>
      <c r="C1087" s="18"/>
      <c r="E1087" s="20">
        <v>44586</v>
      </c>
      <c r="F1087" s="17" t="s">
        <v>95</v>
      </c>
      <c r="G1087" s="21">
        <v>4.8334000000000001</v>
      </c>
      <c r="H1087" s="21">
        <v>8.8000000000000007</v>
      </c>
      <c r="I1087" s="25">
        <v>0.15795000000000003</v>
      </c>
      <c r="J1087" s="21">
        <v>0.88000000000000012</v>
      </c>
      <c r="K1087" s="21">
        <v>0.1216</v>
      </c>
      <c r="L1087" s="21">
        <v>1.056</v>
      </c>
      <c r="M1087" s="17" t="s">
        <v>121</v>
      </c>
      <c r="N1087" s="17" t="s">
        <v>117</v>
      </c>
      <c r="O1087" s="21">
        <v>0.44000000000000006</v>
      </c>
      <c r="P1087" s="21">
        <v>1.2566400000000002</v>
      </c>
    </row>
    <row r="1088" spans="1:16" ht="16.5" x14ac:dyDescent="0.25">
      <c r="A1088" s="2"/>
      <c r="B1088" s="4"/>
      <c r="C1088" s="18"/>
      <c r="E1088" s="20">
        <v>44586</v>
      </c>
      <c r="F1088" s="17" t="s">
        <v>95</v>
      </c>
      <c r="G1088" s="21">
        <v>4.8334000000000001</v>
      </c>
      <c r="H1088" s="21">
        <v>8.6</v>
      </c>
      <c r="I1088" s="25">
        <v>0.14517674418604642</v>
      </c>
      <c r="J1088" s="21">
        <v>0.86</v>
      </c>
      <c r="K1088" s="21">
        <v>0.1216</v>
      </c>
      <c r="L1088" s="21">
        <v>1.032</v>
      </c>
      <c r="M1088" s="17" t="s">
        <v>120</v>
      </c>
      <c r="N1088" s="17" t="s">
        <v>117</v>
      </c>
      <c r="O1088" s="21">
        <v>0.43</v>
      </c>
      <c r="P1088" s="21">
        <v>1.2280800000000001</v>
      </c>
    </row>
    <row r="1089" spans="1:16" ht="16.5" x14ac:dyDescent="0.25">
      <c r="A1089" s="2"/>
      <c r="B1089" s="4"/>
      <c r="C1089" s="18"/>
      <c r="E1089" s="20">
        <v>44586</v>
      </c>
      <c r="F1089" s="17" t="s">
        <v>95</v>
      </c>
      <c r="G1089" s="21">
        <v>4.8334000000000001</v>
      </c>
      <c r="H1089" s="21">
        <v>8.4</v>
      </c>
      <c r="I1089" s="25">
        <v>0.13179523809523816</v>
      </c>
      <c r="J1089" s="21">
        <v>0.84000000000000008</v>
      </c>
      <c r="K1089" s="21">
        <v>0.1216</v>
      </c>
      <c r="L1089" s="21">
        <v>1.008</v>
      </c>
      <c r="M1089" s="17" t="s">
        <v>113</v>
      </c>
      <c r="N1089" s="17" t="s">
        <v>117</v>
      </c>
      <c r="O1089" s="21">
        <v>0.42000000000000004</v>
      </c>
      <c r="P1089" s="21">
        <v>1.1995200000000001</v>
      </c>
    </row>
    <row r="1090" spans="1:16" ht="16.5" x14ac:dyDescent="0.25">
      <c r="A1090" s="2"/>
      <c r="B1090" s="4"/>
      <c r="C1090" s="18"/>
      <c r="E1090" s="20">
        <v>44586</v>
      </c>
      <c r="F1090" s="17" t="s">
        <v>95</v>
      </c>
      <c r="G1090" s="21">
        <v>4.8334000000000001</v>
      </c>
      <c r="H1090" s="21">
        <v>8.1</v>
      </c>
      <c r="I1090" s="25">
        <v>0.19828395061728385</v>
      </c>
      <c r="J1090" s="21">
        <v>0.81</v>
      </c>
      <c r="K1090" s="21">
        <v>0.1216</v>
      </c>
      <c r="L1090" s="21">
        <v>0.44550000000000001</v>
      </c>
      <c r="M1090" s="17" t="s">
        <v>122</v>
      </c>
      <c r="N1090" s="17" t="s">
        <v>116</v>
      </c>
      <c r="O1090" s="21">
        <v>0.40500000000000003</v>
      </c>
      <c r="P1090" s="21">
        <v>0.44550000000000001</v>
      </c>
    </row>
    <row r="1091" spans="1:16" ht="16.5" x14ac:dyDescent="0.25">
      <c r="A1091" s="2"/>
      <c r="B1091" s="4"/>
      <c r="C1091" s="18"/>
      <c r="E1091" s="20">
        <v>44586</v>
      </c>
      <c r="F1091" s="17" t="s">
        <v>95</v>
      </c>
      <c r="G1091" s="21">
        <v>4.8334000000000001</v>
      </c>
      <c r="H1091" s="21">
        <v>7.9</v>
      </c>
      <c r="I1091" s="25">
        <v>0.18317721518987345</v>
      </c>
      <c r="J1091" s="21">
        <v>0.79</v>
      </c>
      <c r="K1091" s="21">
        <v>0.1216</v>
      </c>
      <c r="L1091" s="21">
        <v>0.4345</v>
      </c>
      <c r="M1091" s="17" t="s">
        <v>121</v>
      </c>
      <c r="N1091" s="17" t="s">
        <v>116</v>
      </c>
      <c r="O1091" s="21">
        <v>0.39500000000000002</v>
      </c>
      <c r="P1091" s="21">
        <v>0.4345</v>
      </c>
    </row>
    <row r="1092" spans="1:16" ht="16.5" x14ac:dyDescent="0.25">
      <c r="A1092" s="2"/>
      <c r="B1092" s="4"/>
      <c r="C1092" s="18"/>
      <c r="E1092" s="20">
        <v>44586</v>
      </c>
      <c r="F1092" s="17" t="s">
        <v>95</v>
      </c>
      <c r="G1092" s="21">
        <v>4.8334000000000001</v>
      </c>
      <c r="H1092" s="21">
        <v>7.7</v>
      </c>
      <c r="I1092" s="25">
        <v>0.16728571428571434</v>
      </c>
      <c r="J1092" s="21">
        <v>0.77</v>
      </c>
      <c r="K1092" s="21">
        <v>0.1216</v>
      </c>
      <c r="L1092" s="21">
        <v>0.42349999999999999</v>
      </c>
      <c r="M1092" s="17" t="s">
        <v>120</v>
      </c>
      <c r="N1092" s="17" t="s">
        <v>116</v>
      </c>
      <c r="O1092" s="21">
        <v>0.38500000000000001</v>
      </c>
      <c r="P1092" s="21">
        <v>0.42349999999999999</v>
      </c>
    </row>
    <row r="1093" spans="1:16" ht="16.5" x14ac:dyDescent="0.25">
      <c r="A1093" s="2"/>
      <c r="B1093" s="4"/>
      <c r="C1093" s="18"/>
      <c r="E1093" s="20">
        <v>44586</v>
      </c>
      <c r="F1093" s="17" t="s">
        <v>95</v>
      </c>
      <c r="G1093" s="21">
        <v>4.8334000000000001</v>
      </c>
      <c r="H1093" s="21">
        <v>7.5</v>
      </c>
      <c r="I1093" s="25">
        <v>0.15054666666666669</v>
      </c>
      <c r="J1093" s="21">
        <v>0.75</v>
      </c>
      <c r="K1093" s="21">
        <v>0.1216</v>
      </c>
      <c r="L1093" s="21">
        <v>0.41249999999999998</v>
      </c>
      <c r="M1093" s="17" t="s">
        <v>113</v>
      </c>
      <c r="N1093" s="17" t="s">
        <v>116</v>
      </c>
      <c r="O1093" s="21">
        <v>0.375</v>
      </c>
      <c r="P1093" s="21">
        <v>0.41249999999999998</v>
      </c>
    </row>
    <row r="1094" spans="1:16" ht="16.5" x14ac:dyDescent="0.25">
      <c r="A1094" s="2"/>
      <c r="B1094" s="4"/>
      <c r="C1094" s="18"/>
      <c r="E1094" s="20">
        <v>44586</v>
      </c>
      <c r="F1094" s="17" t="s">
        <v>95</v>
      </c>
      <c r="G1094" s="21">
        <v>4.9550000000000001</v>
      </c>
      <c r="H1094" s="21">
        <v>7.4</v>
      </c>
      <c r="I1094" s="25">
        <v>0.18040540540540539</v>
      </c>
      <c r="J1094" s="21">
        <v>0.7400000000000001</v>
      </c>
      <c r="K1094" s="21">
        <v>0.1216</v>
      </c>
      <c r="L1094" s="21">
        <v>0</v>
      </c>
      <c r="M1094" s="17" t="s">
        <v>122</v>
      </c>
      <c r="N1094" s="17" t="s">
        <v>115</v>
      </c>
      <c r="O1094" s="21">
        <v>0.37000000000000005</v>
      </c>
      <c r="P1094" s="21">
        <v>0</v>
      </c>
    </row>
    <row r="1095" spans="1:16" ht="16.5" x14ac:dyDescent="0.25">
      <c r="A1095" s="2"/>
      <c r="B1095" s="4"/>
      <c r="C1095" s="18"/>
      <c r="E1095" s="20">
        <v>44586</v>
      </c>
      <c r="F1095" s="17" t="s">
        <v>95</v>
      </c>
      <c r="G1095" s="21">
        <v>4.9550000000000001</v>
      </c>
      <c r="H1095" s="21">
        <v>7.2</v>
      </c>
      <c r="I1095" s="25">
        <v>0.16180555555555556</v>
      </c>
      <c r="J1095" s="21">
        <v>0.72000000000000008</v>
      </c>
      <c r="K1095" s="21">
        <v>0.1216</v>
      </c>
      <c r="L1095" s="21">
        <v>0</v>
      </c>
      <c r="M1095" s="17" t="s">
        <v>121</v>
      </c>
      <c r="N1095" s="17" t="s">
        <v>115</v>
      </c>
      <c r="O1095" s="21">
        <v>0.36000000000000004</v>
      </c>
      <c r="P1095" s="21">
        <v>0</v>
      </c>
    </row>
    <row r="1096" spans="1:16" ht="16.5" x14ac:dyDescent="0.25">
      <c r="A1096" s="2"/>
      <c r="B1096" s="4"/>
      <c r="C1096" s="18"/>
      <c r="E1096" s="20">
        <v>44586</v>
      </c>
      <c r="F1096" s="17" t="s">
        <v>95</v>
      </c>
      <c r="G1096" s="21">
        <v>4.9550000000000001</v>
      </c>
      <c r="H1096" s="21">
        <v>7</v>
      </c>
      <c r="I1096" s="25">
        <v>0.1421428571428571</v>
      </c>
      <c r="J1096" s="21">
        <v>0.70000000000000007</v>
      </c>
      <c r="K1096" s="21">
        <v>0.1216</v>
      </c>
      <c r="L1096" s="21">
        <v>0</v>
      </c>
      <c r="M1096" s="17" t="s">
        <v>120</v>
      </c>
      <c r="N1096" s="17" t="s">
        <v>115</v>
      </c>
      <c r="O1096" s="21">
        <v>0.35000000000000003</v>
      </c>
      <c r="P1096" s="21">
        <v>0</v>
      </c>
    </row>
    <row r="1097" spans="1:16" ht="16.5" x14ac:dyDescent="0.25">
      <c r="A1097" s="2"/>
      <c r="B1097" s="4"/>
      <c r="C1097" s="18"/>
      <c r="E1097" s="20">
        <v>44586</v>
      </c>
      <c r="F1097" s="17" t="s">
        <v>95</v>
      </c>
      <c r="G1097" s="21">
        <v>4.9550000000000001</v>
      </c>
      <c r="H1097" s="21">
        <v>6.8</v>
      </c>
      <c r="I1097" s="25">
        <v>0.12132352941176465</v>
      </c>
      <c r="J1097" s="21">
        <v>0.68</v>
      </c>
      <c r="K1097" s="21">
        <v>0.1216</v>
      </c>
      <c r="L1097" s="21">
        <v>0</v>
      </c>
      <c r="M1097" s="17" t="s">
        <v>113</v>
      </c>
      <c r="N1097" s="17" t="s">
        <v>115</v>
      </c>
      <c r="O1097" s="21">
        <v>0.34</v>
      </c>
      <c r="P1097" s="21">
        <v>0</v>
      </c>
    </row>
    <row r="1098" spans="1:16" ht="16.5" x14ac:dyDescent="0.25">
      <c r="A1098" s="2"/>
      <c r="B1098" s="4"/>
      <c r="C1098" s="18"/>
      <c r="E1098" s="20">
        <v>44586</v>
      </c>
      <c r="F1098" s="17" t="s">
        <v>94</v>
      </c>
      <c r="G1098" s="21">
        <v>2.4410599999999998</v>
      </c>
      <c r="H1098" s="21">
        <v>5.4</v>
      </c>
      <c r="I1098" s="25">
        <v>0.25515185185185196</v>
      </c>
      <c r="J1098" s="21">
        <v>0.54</v>
      </c>
      <c r="K1098" s="21">
        <v>6.1440000000000002E-2</v>
      </c>
      <c r="L1098" s="21">
        <v>0.64800000000000002</v>
      </c>
      <c r="M1098" s="17" t="s">
        <v>122</v>
      </c>
      <c r="N1098" s="17" t="s">
        <v>117</v>
      </c>
      <c r="O1098" s="21">
        <v>0.27</v>
      </c>
      <c r="P1098" s="21">
        <v>0.77112000000000014</v>
      </c>
    </row>
    <row r="1099" spans="1:16" ht="16.5" x14ac:dyDescent="0.25">
      <c r="A1099" s="2"/>
      <c r="B1099" s="4"/>
      <c r="C1099" s="18"/>
      <c r="E1099" s="20">
        <v>44586</v>
      </c>
      <c r="F1099" s="17" t="s">
        <v>94</v>
      </c>
      <c r="G1099" s="21">
        <v>2.4410599999999998</v>
      </c>
      <c r="H1099" s="21">
        <v>5.2</v>
      </c>
      <c r="I1099" s="25">
        <v>0.23776538461538466</v>
      </c>
      <c r="J1099" s="21">
        <v>0.52</v>
      </c>
      <c r="K1099" s="21">
        <v>6.1440000000000002E-2</v>
      </c>
      <c r="L1099" s="21">
        <v>0.624</v>
      </c>
      <c r="M1099" s="17" t="s">
        <v>121</v>
      </c>
      <c r="N1099" s="17" t="s">
        <v>117</v>
      </c>
      <c r="O1099" s="21">
        <v>0.26</v>
      </c>
      <c r="P1099" s="21">
        <v>0.74256000000000011</v>
      </c>
    </row>
    <row r="1100" spans="1:16" ht="16.5" x14ac:dyDescent="0.25">
      <c r="A1100" s="2"/>
      <c r="B1100" s="4"/>
      <c r="C1100" s="18"/>
      <c r="E1100" s="20">
        <v>44586</v>
      </c>
      <c r="F1100" s="17" t="s">
        <v>94</v>
      </c>
      <c r="G1100" s="21">
        <v>2.4410599999999998</v>
      </c>
      <c r="H1100" s="21">
        <v>5</v>
      </c>
      <c r="I1100" s="25">
        <v>0.21898799999999996</v>
      </c>
      <c r="J1100" s="21">
        <v>0.5</v>
      </c>
      <c r="K1100" s="21">
        <v>6.1440000000000002E-2</v>
      </c>
      <c r="L1100" s="21">
        <v>0.6</v>
      </c>
      <c r="M1100" s="17" t="s">
        <v>120</v>
      </c>
      <c r="N1100" s="17" t="s">
        <v>117</v>
      </c>
      <c r="O1100" s="21">
        <v>0.25</v>
      </c>
      <c r="P1100" s="21">
        <v>0.71400000000000008</v>
      </c>
    </row>
    <row r="1101" spans="1:16" ht="16.5" x14ac:dyDescent="0.25">
      <c r="A1101" s="2"/>
      <c r="B1101" s="4"/>
      <c r="C1101" s="18"/>
      <c r="E1101" s="20">
        <v>44586</v>
      </c>
      <c r="F1101" s="17" t="s">
        <v>94</v>
      </c>
      <c r="G1101" s="21">
        <v>2.4410599999999998</v>
      </c>
      <c r="H1101" s="21">
        <v>4.8</v>
      </c>
      <c r="I1101" s="25">
        <v>0.19864583333333338</v>
      </c>
      <c r="J1101" s="21">
        <v>0.48</v>
      </c>
      <c r="K1101" s="21">
        <v>6.1440000000000002E-2</v>
      </c>
      <c r="L1101" s="21">
        <v>0.57599999999999996</v>
      </c>
      <c r="M1101" s="17" t="s">
        <v>113</v>
      </c>
      <c r="N1101" s="17" t="s">
        <v>117</v>
      </c>
      <c r="O1101" s="21">
        <v>0.24</v>
      </c>
      <c r="P1101" s="21">
        <v>0.68544000000000005</v>
      </c>
    </row>
    <row r="1102" spans="1:16" ht="16.5" x14ac:dyDescent="0.25">
      <c r="A1102" s="2"/>
      <c r="B1102" s="4"/>
      <c r="C1102" s="18"/>
      <c r="E1102" s="20">
        <v>44586</v>
      </c>
      <c r="F1102" s="17" t="s">
        <v>94</v>
      </c>
      <c r="G1102" s="21">
        <v>2.4410599999999998</v>
      </c>
      <c r="H1102" s="21">
        <v>4.8</v>
      </c>
      <c r="I1102" s="25">
        <v>0.28644583333333329</v>
      </c>
      <c r="J1102" s="21">
        <v>0.48</v>
      </c>
      <c r="K1102" s="21">
        <v>6.1440000000000002E-2</v>
      </c>
      <c r="L1102" s="21">
        <v>0.26400000000000001</v>
      </c>
      <c r="M1102" s="17" t="s">
        <v>122</v>
      </c>
      <c r="N1102" s="17" t="s">
        <v>116</v>
      </c>
      <c r="O1102" s="21">
        <v>0.24</v>
      </c>
      <c r="P1102" s="21">
        <v>0.26400000000000001</v>
      </c>
    </row>
    <row r="1103" spans="1:16" ht="16.5" x14ac:dyDescent="0.25">
      <c r="A1103" s="2"/>
      <c r="B1103" s="4"/>
      <c r="C1103" s="18"/>
      <c r="E1103" s="20">
        <v>44586</v>
      </c>
      <c r="F1103" s="17" t="s">
        <v>94</v>
      </c>
      <c r="G1103" s="21">
        <v>2.4410599999999998</v>
      </c>
      <c r="H1103" s="21">
        <v>4.5999999999999996</v>
      </c>
      <c r="I1103" s="25">
        <v>0.26433478260869564</v>
      </c>
      <c r="J1103" s="21">
        <v>0.45999999999999996</v>
      </c>
      <c r="K1103" s="21">
        <v>6.1440000000000002E-2</v>
      </c>
      <c r="L1103" s="21">
        <v>0.253</v>
      </c>
      <c r="M1103" s="17" t="s">
        <v>121</v>
      </c>
      <c r="N1103" s="17" t="s">
        <v>116</v>
      </c>
      <c r="O1103" s="21">
        <v>0.22999999999999998</v>
      </c>
      <c r="P1103" s="21">
        <v>0.253</v>
      </c>
    </row>
    <row r="1104" spans="1:16" ht="16.5" x14ac:dyDescent="0.25">
      <c r="A1104" s="2"/>
      <c r="B1104" s="4"/>
      <c r="C1104" s="18"/>
      <c r="E1104" s="20">
        <v>44586</v>
      </c>
      <c r="F1104" s="17" t="s">
        <v>94</v>
      </c>
      <c r="G1104" s="21">
        <v>2.4410599999999998</v>
      </c>
      <c r="H1104" s="21">
        <v>4.4000000000000004</v>
      </c>
      <c r="I1104" s="25">
        <v>0.24021363636363643</v>
      </c>
      <c r="J1104" s="21">
        <v>0.44000000000000006</v>
      </c>
      <c r="K1104" s="21">
        <v>6.1440000000000002E-2</v>
      </c>
      <c r="L1104" s="21">
        <v>0.24200000000000002</v>
      </c>
      <c r="M1104" s="17" t="s">
        <v>120</v>
      </c>
      <c r="N1104" s="17" t="s">
        <v>116</v>
      </c>
      <c r="O1104" s="21">
        <v>0.22000000000000003</v>
      </c>
      <c r="P1104" s="21">
        <v>0.24200000000000002</v>
      </c>
    </row>
    <row r="1105" spans="1:16" ht="16.5" x14ac:dyDescent="0.25">
      <c r="A1105" s="2"/>
      <c r="B1105" s="4"/>
      <c r="C1105" s="18"/>
      <c r="E1105" s="20">
        <v>44586</v>
      </c>
      <c r="F1105" s="17" t="s">
        <v>94</v>
      </c>
      <c r="G1105" s="21">
        <v>2.4410599999999998</v>
      </c>
      <c r="H1105" s="21">
        <v>4.2</v>
      </c>
      <c r="I1105" s="25">
        <v>0.2137952380952382</v>
      </c>
      <c r="J1105" s="21">
        <v>0.42000000000000004</v>
      </c>
      <c r="K1105" s="21">
        <v>6.1440000000000002E-2</v>
      </c>
      <c r="L1105" s="21">
        <v>0.23100000000000001</v>
      </c>
      <c r="M1105" s="17" t="s">
        <v>113</v>
      </c>
      <c r="N1105" s="17" t="s">
        <v>116</v>
      </c>
      <c r="O1105" s="21">
        <v>0.21000000000000002</v>
      </c>
      <c r="P1105" s="21">
        <v>0.23100000000000001</v>
      </c>
    </row>
    <row r="1106" spans="1:16" ht="16.5" x14ac:dyDescent="0.25">
      <c r="A1106" s="2"/>
      <c r="B1106" s="4"/>
      <c r="C1106" s="18"/>
      <c r="E1106" s="20">
        <v>44586</v>
      </c>
      <c r="F1106" s="17" t="s">
        <v>94</v>
      </c>
      <c r="G1106" s="21">
        <v>2.4410599999999998</v>
      </c>
      <c r="H1106" s="21">
        <v>4.7</v>
      </c>
      <c r="I1106" s="25">
        <v>0.27562553191489375</v>
      </c>
      <c r="J1106" s="21">
        <v>0.47000000000000003</v>
      </c>
      <c r="K1106" s="21">
        <v>6.1440000000000002E-2</v>
      </c>
      <c r="L1106" s="21">
        <v>0.25850000000000001</v>
      </c>
      <c r="M1106" s="17" t="s">
        <v>122</v>
      </c>
      <c r="N1106" s="17" t="s">
        <v>116</v>
      </c>
      <c r="O1106" s="21">
        <v>0.23500000000000001</v>
      </c>
      <c r="P1106" s="21">
        <v>0.25850000000000001</v>
      </c>
    </row>
    <row r="1107" spans="1:16" ht="16.5" x14ac:dyDescent="0.25">
      <c r="A1107" s="2"/>
      <c r="B1107" s="4"/>
      <c r="C1107" s="18"/>
      <c r="E1107" s="20">
        <v>44586</v>
      </c>
      <c r="F1107" s="17" t="s">
        <v>94</v>
      </c>
      <c r="G1107" s="21">
        <v>2.4410599999999998</v>
      </c>
      <c r="H1107" s="21">
        <v>4.5</v>
      </c>
      <c r="I1107" s="25">
        <v>0.25254222222222233</v>
      </c>
      <c r="J1107" s="21">
        <v>0.45</v>
      </c>
      <c r="K1107" s="21">
        <v>6.1440000000000002E-2</v>
      </c>
      <c r="L1107" s="21">
        <v>0.2475</v>
      </c>
      <c r="M1107" s="17" t="s">
        <v>121</v>
      </c>
      <c r="N1107" s="17" t="s">
        <v>116</v>
      </c>
      <c r="O1107" s="21">
        <v>0.22500000000000001</v>
      </c>
      <c r="P1107" s="21">
        <v>0.2475</v>
      </c>
    </row>
    <row r="1108" spans="1:16" ht="16.5" x14ac:dyDescent="0.25">
      <c r="A1108" s="2"/>
      <c r="B1108" s="4"/>
      <c r="C1108" s="18"/>
      <c r="E1108" s="20">
        <v>44586</v>
      </c>
      <c r="F1108" s="17" t="s">
        <v>94</v>
      </c>
      <c r="G1108" s="21">
        <v>2.4410599999999998</v>
      </c>
      <c r="H1108" s="21">
        <v>4.3</v>
      </c>
      <c r="I1108" s="25">
        <v>0.22731162790697668</v>
      </c>
      <c r="J1108" s="21">
        <v>0.43</v>
      </c>
      <c r="K1108" s="21">
        <v>6.1440000000000002E-2</v>
      </c>
      <c r="L1108" s="21">
        <v>0.23649999999999999</v>
      </c>
      <c r="M1108" s="17" t="s">
        <v>120</v>
      </c>
      <c r="N1108" s="17" t="s">
        <v>116</v>
      </c>
      <c r="O1108" s="21">
        <v>0.215</v>
      </c>
      <c r="P1108" s="21">
        <v>0.23649999999999999</v>
      </c>
    </row>
    <row r="1109" spans="1:16" ht="16.5" x14ac:dyDescent="0.25">
      <c r="A1109" s="2"/>
      <c r="B1109" s="4"/>
      <c r="C1109" s="18"/>
      <c r="E1109" s="20">
        <v>44586</v>
      </c>
      <c r="F1109" s="17" t="s">
        <v>94</v>
      </c>
      <c r="G1109" s="21">
        <v>2.4410599999999998</v>
      </c>
      <c r="H1109" s="21">
        <v>4.0999999999999996</v>
      </c>
      <c r="I1109" s="25">
        <v>0.19961951219512197</v>
      </c>
      <c r="J1109" s="21">
        <v>0.41</v>
      </c>
      <c r="K1109" s="21">
        <v>6.1440000000000002E-2</v>
      </c>
      <c r="L1109" s="21">
        <v>0.22549999999999998</v>
      </c>
      <c r="M1109" s="17" t="s">
        <v>113</v>
      </c>
      <c r="N1109" s="17" t="s">
        <v>116</v>
      </c>
      <c r="O1109" s="21">
        <v>0.20499999999999999</v>
      </c>
      <c r="P1109" s="21">
        <v>0.22549999999999998</v>
      </c>
    </row>
    <row r="1110" spans="1:16" ht="16.5" x14ac:dyDescent="0.25">
      <c r="A1110" s="2"/>
      <c r="B1110" s="4"/>
      <c r="C1110" s="18"/>
      <c r="E1110" s="20">
        <v>44586</v>
      </c>
      <c r="F1110" s="17" t="s">
        <v>94</v>
      </c>
      <c r="G1110" s="21">
        <v>2.5024999999999999</v>
      </c>
      <c r="H1110" s="21">
        <v>4.5</v>
      </c>
      <c r="I1110" s="25">
        <v>0.29388888888888887</v>
      </c>
      <c r="J1110" s="21">
        <v>0.45</v>
      </c>
      <c r="K1110" s="21">
        <v>6.1440000000000002E-2</v>
      </c>
      <c r="L1110" s="21">
        <v>0</v>
      </c>
      <c r="M1110" s="17" t="s">
        <v>122</v>
      </c>
      <c r="N1110" s="17" t="s">
        <v>115</v>
      </c>
      <c r="O1110" s="21">
        <v>0.22500000000000001</v>
      </c>
      <c r="P1110" s="21">
        <v>0</v>
      </c>
    </row>
    <row r="1111" spans="1:16" ht="16.5" x14ac:dyDescent="0.25">
      <c r="A1111" s="2"/>
      <c r="B1111" s="4"/>
      <c r="C1111" s="18"/>
      <c r="E1111" s="20">
        <v>44586</v>
      </c>
      <c r="F1111" s="17" t="s">
        <v>94</v>
      </c>
      <c r="G1111" s="21">
        <v>2.5024999999999999</v>
      </c>
      <c r="H1111" s="21">
        <v>4.3</v>
      </c>
      <c r="I1111" s="25">
        <v>0.26802325581395348</v>
      </c>
      <c r="J1111" s="21">
        <v>0.43</v>
      </c>
      <c r="K1111" s="21">
        <v>6.1440000000000002E-2</v>
      </c>
      <c r="L1111" s="21">
        <v>0</v>
      </c>
      <c r="M1111" s="17" t="s">
        <v>121</v>
      </c>
      <c r="N1111" s="17" t="s">
        <v>115</v>
      </c>
      <c r="O1111" s="21">
        <v>0.215</v>
      </c>
      <c r="P1111" s="21">
        <v>0</v>
      </c>
    </row>
    <row r="1112" spans="1:16" ht="16.5" x14ac:dyDescent="0.25">
      <c r="A1112" s="2"/>
      <c r="B1112" s="4"/>
      <c r="C1112" s="18"/>
      <c r="E1112" s="20">
        <v>44586</v>
      </c>
      <c r="F1112" s="17" t="s">
        <v>94</v>
      </c>
      <c r="G1112" s="21">
        <v>2.5024999999999999</v>
      </c>
      <c r="H1112" s="21">
        <v>4.0999999999999996</v>
      </c>
      <c r="I1112" s="25">
        <v>0.23963414634146338</v>
      </c>
      <c r="J1112" s="21">
        <v>0.41</v>
      </c>
      <c r="K1112" s="21">
        <v>6.1440000000000002E-2</v>
      </c>
      <c r="L1112" s="21">
        <v>0</v>
      </c>
      <c r="M1112" s="17" t="s">
        <v>120</v>
      </c>
      <c r="N1112" s="17" t="s">
        <v>115</v>
      </c>
      <c r="O1112" s="21">
        <v>0.20499999999999999</v>
      </c>
      <c r="P1112" s="21">
        <v>0</v>
      </c>
    </row>
    <row r="1113" spans="1:16" ht="16.5" x14ac:dyDescent="0.25">
      <c r="A1113" s="2"/>
      <c r="B1113" s="4"/>
      <c r="C1113" s="18"/>
      <c r="E1113" s="20">
        <v>44586</v>
      </c>
      <c r="F1113" s="17" t="s">
        <v>94</v>
      </c>
      <c r="G1113" s="21">
        <v>2.5024999999999999</v>
      </c>
      <c r="H1113" s="21">
        <v>3.9</v>
      </c>
      <c r="I1113" s="25">
        <v>0.20833333333333331</v>
      </c>
      <c r="J1113" s="21">
        <v>0.39</v>
      </c>
      <c r="K1113" s="21">
        <v>6.1440000000000002E-2</v>
      </c>
      <c r="L1113" s="21">
        <v>0</v>
      </c>
      <c r="M1113" s="17" t="s">
        <v>113</v>
      </c>
      <c r="N1113" s="17" t="s">
        <v>115</v>
      </c>
      <c r="O1113" s="21">
        <v>0.19500000000000001</v>
      </c>
      <c r="P1113" s="21">
        <v>0</v>
      </c>
    </row>
    <row r="1114" spans="1:16" ht="16.5" x14ac:dyDescent="0.25">
      <c r="A1114" s="2"/>
      <c r="B1114" s="4"/>
      <c r="C1114" s="18"/>
      <c r="E1114" s="20">
        <v>44582</v>
      </c>
      <c r="F1114" s="17" t="s">
        <v>136</v>
      </c>
      <c r="G1114" s="21">
        <v>10.41</v>
      </c>
      <c r="H1114" s="21">
        <v>15.5</v>
      </c>
      <c r="I1114" s="25">
        <v>0.17838709677419354</v>
      </c>
      <c r="J1114" s="21">
        <v>1.55</v>
      </c>
      <c r="K1114" s="21">
        <v>1.2</v>
      </c>
      <c r="L1114" s="21">
        <v>0</v>
      </c>
      <c r="M1114" s="17" t="s">
        <v>122</v>
      </c>
      <c r="N1114" s="17" t="s">
        <v>115</v>
      </c>
      <c r="O1114" s="21">
        <v>0.77500000000000002</v>
      </c>
      <c r="P1114" s="21">
        <v>0</v>
      </c>
    </row>
    <row r="1115" spans="1:16" ht="16.5" x14ac:dyDescent="0.25">
      <c r="A1115" s="2"/>
      <c r="B1115" s="4"/>
      <c r="C1115" s="18"/>
      <c r="E1115" s="20">
        <v>44582</v>
      </c>
      <c r="F1115" s="17" t="s">
        <v>136</v>
      </c>
      <c r="G1115" s="21">
        <v>10.41</v>
      </c>
      <c r="H1115" s="21">
        <v>15</v>
      </c>
      <c r="I1115" s="25">
        <v>0.156</v>
      </c>
      <c r="J1115" s="21">
        <v>1.5</v>
      </c>
      <c r="K1115" s="21">
        <v>1.2</v>
      </c>
      <c r="L1115" s="21">
        <v>0</v>
      </c>
      <c r="M1115" s="17" t="s">
        <v>121</v>
      </c>
      <c r="N1115" s="17" t="s">
        <v>115</v>
      </c>
      <c r="O1115" s="21">
        <v>0.75</v>
      </c>
      <c r="P1115" s="21">
        <v>0</v>
      </c>
    </row>
    <row r="1116" spans="1:16" ht="16.5" x14ac:dyDescent="0.25">
      <c r="A1116" s="2"/>
      <c r="B1116" s="4"/>
      <c r="C1116" s="18"/>
      <c r="E1116" s="20">
        <v>44582</v>
      </c>
      <c r="F1116" s="17" t="s">
        <v>136</v>
      </c>
      <c r="G1116" s="21">
        <v>10.41</v>
      </c>
      <c r="H1116" s="21">
        <v>14.5</v>
      </c>
      <c r="I1116" s="25">
        <v>0.13206896551724134</v>
      </c>
      <c r="J1116" s="21">
        <v>1.4500000000000002</v>
      </c>
      <c r="K1116" s="21">
        <v>1.2</v>
      </c>
      <c r="L1116" s="21">
        <v>0</v>
      </c>
      <c r="M1116" s="17" t="s">
        <v>120</v>
      </c>
      <c r="N1116" s="17" t="s">
        <v>115</v>
      </c>
      <c r="O1116" s="21">
        <v>0.72500000000000009</v>
      </c>
      <c r="P1116" s="21">
        <v>0</v>
      </c>
    </row>
    <row r="1117" spans="1:16" ht="16.5" x14ac:dyDescent="0.25">
      <c r="A1117" s="2"/>
      <c r="B1117" s="4"/>
      <c r="C1117" s="18"/>
      <c r="E1117" s="20">
        <v>44582</v>
      </c>
      <c r="F1117" s="17" t="s">
        <v>136</v>
      </c>
      <c r="G1117" s="21">
        <v>10.41</v>
      </c>
      <c r="H1117" s="21">
        <v>14</v>
      </c>
      <c r="I1117" s="25">
        <v>0.1064285714285714</v>
      </c>
      <c r="J1117" s="21">
        <v>1.4000000000000001</v>
      </c>
      <c r="K1117" s="21">
        <v>1.2</v>
      </c>
      <c r="L1117" s="21">
        <v>0</v>
      </c>
      <c r="M1117" s="17" t="s">
        <v>113</v>
      </c>
      <c r="N1117" s="17" t="s">
        <v>115</v>
      </c>
      <c r="O1117" s="21">
        <v>0.70000000000000007</v>
      </c>
      <c r="P1117" s="21">
        <v>0</v>
      </c>
    </row>
    <row r="1118" spans="1:16" ht="16.5" x14ac:dyDescent="0.25">
      <c r="A1118" s="2"/>
      <c r="B1118" s="4"/>
      <c r="C1118" s="18"/>
      <c r="E1118" s="20">
        <v>44582</v>
      </c>
      <c r="F1118" s="17" t="s">
        <v>137</v>
      </c>
      <c r="G1118" s="21">
        <v>6.91</v>
      </c>
      <c r="H1118" s="21">
        <v>11</v>
      </c>
      <c r="I1118" s="25">
        <v>0.2218181818181818</v>
      </c>
      <c r="J1118" s="21">
        <v>1.1000000000000001</v>
      </c>
      <c r="K1118" s="21">
        <v>0.78</v>
      </c>
      <c r="L1118" s="21">
        <v>0</v>
      </c>
      <c r="M1118" s="17" t="s">
        <v>122</v>
      </c>
      <c r="N1118" s="17" t="s">
        <v>115</v>
      </c>
      <c r="O1118" s="21">
        <v>0.55000000000000004</v>
      </c>
      <c r="P1118" s="21">
        <v>0</v>
      </c>
    </row>
    <row r="1119" spans="1:16" ht="16.5" x14ac:dyDescent="0.25">
      <c r="A1119" s="2"/>
      <c r="B1119" s="4"/>
      <c r="C1119" s="18"/>
      <c r="E1119" s="20">
        <v>44582</v>
      </c>
      <c r="F1119" s="17" t="s">
        <v>137</v>
      </c>
      <c r="G1119" s="21">
        <v>6.91</v>
      </c>
      <c r="H1119" s="21">
        <v>11</v>
      </c>
      <c r="I1119" s="25">
        <v>0.2218181818181818</v>
      </c>
      <c r="J1119" s="21">
        <v>1.1000000000000001</v>
      </c>
      <c r="K1119" s="21">
        <v>0.78</v>
      </c>
      <c r="L1119" s="21">
        <v>0</v>
      </c>
      <c r="M1119" s="17" t="s">
        <v>122</v>
      </c>
      <c r="N1119" s="17" t="s">
        <v>115</v>
      </c>
      <c r="O1119" s="21">
        <v>0.55000000000000004</v>
      </c>
      <c r="P1119" s="21">
        <v>0</v>
      </c>
    </row>
    <row r="1120" spans="1:16" ht="16.5" x14ac:dyDescent="0.25">
      <c r="A1120" s="2"/>
      <c r="B1120" s="4"/>
      <c r="C1120" s="18"/>
      <c r="E1120" s="20">
        <v>44582</v>
      </c>
      <c r="F1120" s="17" t="s">
        <v>137</v>
      </c>
      <c r="G1120" s="21">
        <v>6.91</v>
      </c>
      <c r="H1120" s="21">
        <v>10.5</v>
      </c>
      <c r="I1120" s="25">
        <v>0.19190476190476188</v>
      </c>
      <c r="J1120" s="21">
        <v>1.05</v>
      </c>
      <c r="K1120" s="21">
        <v>0.78</v>
      </c>
      <c r="L1120" s="21">
        <v>0</v>
      </c>
      <c r="M1120" s="17" t="s">
        <v>121</v>
      </c>
      <c r="N1120" s="17" t="s">
        <v>115</v>
      </c>
      <c r="O1120" s="21">
        <v>0.52500000000000002</v>
      </c>
      <c r="P1120" s="21">
        <v>0</v>
      </c>
    </row>
    <row r="1121" spans="1:16" ht="16.5" x14ac:dyDescent="0.25">
      <c r="A1121" s="2"/>
      <c r="B1121" s="4"/>
      <c r="C1121" s="18"/>
      <c r="E1121" s="20">
        <v>44582</v>
      </c>
      <c r="F1121" s="17" t="s">
        <v>137</v>
      </c>
      <c r="G1121" s="21">
        <v>6.91</v>
      </c>
      <c r="H1121" s="21">
        <v>10</v>
      </c>
      <c r="I1121" s="25">
        <v>0.15899999999999997</v>
      </c>
      <c r="J1121" s="21">
        <v>1</v>
      </c>
      <c r="K1121" s="21">
        <v>0.78</v>
      </c>
      <c r="L1121" s="21">
        <v>0</v>
      </c>
      <c r="M1121" s="17" t="s">
        <v>120</v>
      </c>
      <c r="N1121" s="17" t="s">
        <v>115</v>
      </c>
      <c r="O1121" s="21">
        <v>0.5</v>
      </c>
      <c r="P1121" s="21">
        <v>0</v>
      </c>
    </row>
    <row r="1122" spans="1:16" ht="16.5" x14ac:dyDescent="0.25">
      <c r="A1122" s="2"/>
      <c r="B1122" s="4"/>
      <c r="C1122" s="18"/>
      <c r="E1122" s="20">
        <v>44582</v>
      </c>
      <c r="F1122" s="17" t="s">
        <v>137</v>
      </c>
      <c r="G1122" s="21">
        <v>6.91</v>
      </c>
      <c r="H1122" s="21">
        <v>9.5</v>
      </c>
      <c r="I1122" s="25">
        <v>0.12263157894736838</v>
      </c>
      <c r="J1122" s="21">
        <v>0.95000000000000007</v>
      </c>
      <c r="K1122" s="21">
        <v>0.78</v>
      </c>
      <c r="L1122" s="21">
        <v>0</v>
      </c>
      <c r="M1122" s="17" t="s">
        <v>113</v>
      </c>
      <c r="N1122" s="17" t="s">
        <v>115</v>
      </c>
      <c r="O1122" s="21">
        <v>0.47500000000000003</v>
      </c>
      <c r="P1122" s="21">
        <v>0</v>
      </c>
    </row>
    <row r="1123" spans="1:16" ht="16.5" x14ac:dyDescent="0.25">
      <c r="A1123" s="2"/>
      <c r="B1123" s="4"/>
      <c r="C1123" s="18"/>
      <c r="E1123" s="20">
        <v>44582</v>
      </c>
      <c r="F1123" s="17" t="s">
        <v>137</v>
      </c>
      <c r="G1123" s="21">
        <v>6.13</v>
      </c>
      <c r="H1123" s="21">
        <v>12</v>
      </c>
      <c r="I1123" s="25">
        <v>0.19636666666666669</v>
      </c>
      <c r="J1123" s="21">
        <v>1.2000000000000002</v>
      </c>
      <c r="K1123" s="21">
        <v>0.78</v>
      </c>
      <c r="L1123" s="21">
        <v>1.44</v>
      </c>
      <c r="M1123" s="17" t="s">
        <v>122</v>
      </c>
      <c r="N1123" s="17" t="s">
        <v>117</v>
      </c>
      <c r="O1123" s="21">
        <v>0.60000000000000009</v>
      </c>
      <c r="P1123" s="21">
        <v>1.7136</v>
      </c>
    </row>
    <row r="1124" spans="1:16" ht="16.5" x14ac:dyDescent="0.25">
      <c r="A1124" s="2"/>
      <c r="B1124" s="4"/>
      <c r="C1124" s="18"/>
      <c r="E1124" s="20">
        <v>44582</v>
      </c>
      <c r="F1124" s="17" t="s">
        <v>137</v>
      </c>
      <c r="G1124" s="21">
        <v>6.13</v>
      </c>
      <c r="H1124" s="21">
        <v>11.5</v>
      </c>
      <c r="I1124" s="25">
        <v>0.17415652173913032</v>
      </c>
      <c r="J1124" s="21">
        <v>1.1500000000000001</v>
      </c>
      <c r="K1124" s="21">
        <v>0.78</v>
      </c>
      <c r="L1124" s="21">
        <v>1.38</v>
      </c>
      <c r="M1124" s="17" t="s">
        <v>121</v>
      </c>
      <c r="N1124" s="17" t="s">
        <v>117</v>
      </c>
      <c r="O1124" s="21">
        <v>0.57500000000000007</v>
      </c>
      <c r="P1124" s="21">
        <v>1.6422000000000001</v>
      </c>
    </row>
    <row r="1125" spans="1:16" ht="16.5" x14ac:dyDescent="0.25">
      <c r="A1125" s="2"/>
      <c r="B1125" s="4"/>
      <c r="C1125" s="18"/>
      <c r="E1125" s="20">
        <v>44582</v>
      </c>
      <c r="F1125" s="17" t="s">
        <v>137</v>
      </c>
      <c r="G1125" s="21">
        <v>6.13</v>
      </c>
      <c r="H1125" s="21">
        <v>11</v>
      </c>
      <c r="I1125" s="25">
        <v>0.14992727272727271</v>
      </c>
      <c r="J1125" s="21">
        <v>1.1000000000000001</v>
      </c>
      <c r="K1125" s="21">
        <v>0.78</v>
      </c>
      <c r="L1125" s="21">
        <v>1.3199999999999998</v>
      </c>
      <c r="M1125" s="17" t="s">
        <v>120</v>
      </c>
      <c r="N1125" s="17" t="s">
        <v>117</v>
      </c>
      <c r="O1125" s="21">
        <v>0.55000000000000004</v>
      </c>
      <c r="P1125" s="21">
        <v>1.5708000000000002</v>
      </c>
    </row>
    <row r="1126" spans="1:16" ht="16.5" x14ac:dyDescent="0.25">
      <c r="A1126" s="2"/>
      <c r="B1126" s="4"/>
      <c r="C1126" s="18"/>
      <c r="E1126" s="20">
        <v>44582</v>
      </c>
      <c r="F1126" s="17" t="s">
        <v>137</v>
      </c>
      <c r="G1126" s="21">
        <v>6.13</v>
      </c>
      <c r="H1126" s="21">
        <v>10.5</v>
      </c>
      <c r="I1126" s="25">
        <v>0.12339047619047624</v>
      </c>
      <c r="J1126" s="21">
        <v>1.05</v>
      </c>
      <c r="K1126" s="21">
        <v>0.78</v>
      </c>
      <c r="L1126" s="21">
        <v>1.26</v>
      </c>
      <c r="M1126" s="17" t="s">
        <v>113</v>
      </c>
      <c r="N1126" s="17" t="s">
        <v>117</v>
      </c>
      <c r="O1126" s="21">
        <v>0.52500000000000002</v>
      </c>
      <c r="P1126" s="21">
        <v>1.4994000000000001</v>
      </c>
    </row>
    <row r="1127" spans="1:16" ht="16.5" x14ac:dyDescent="0.25">
      <c r="A1127" s="2"/>
      <c r="B1127" s="4"/>
      <c r="C1127" s="18"/>
      <c r="E1127" s="20">
        <v>44579</v>
      </c>
      <c r="F1127" s="17" t="s">
        <v>94</v>
      </c>
      <c r="G1127" s="21">
        <v>2.4410599999999998</v>
      </c>
      <c r="H1127" s="21">
        <v>5.3</v>
      </c>
      <c r="I1127" s="25">
        <v>0.33442264150943396</v>
      </c>
      <c r="J1127" s="21">
        <v>0.53</v>
      </c>
      <c r="K1127" s="21">
        <v>6.1440000000000002E-2</v>
      </c>
      <c r="L1127" s="21">
        <v>0.29149999999999998</v>
      </c>
      <c r="M1127" s="17" t="s">
        <v>122</v>
      </c>
      <c r="N1127" s="17" t="s">
        <v>116</v>
      </c>
      <c r="O1127" s="21">
        <v>0.26500000000000001</v>
      </c>
      <c r="P1127" s="21">
        <v>0.29149999999999998</v>
      </c>
    </row>
    <row r="1128" spans="1:16" ht="16.5" x14ac:dyDescent="0.25">
      <c r="A1128" s="2"/>
      <c r="B1128" s="4"/>
      <c r="C1128" s="18"/>
      <c r="E1128" s="20">
        <v>44579</v>
      </c>
      <c r="F1128" s="17" t="s">
        <v>94</v>
      </c>
      <c r="G1128" s="21">
        <v>2.4410599999999998</v>
      </c>
      <c r="H1128" s="21">
        <v>5</v>
      </c>
      <c r="I1128" s="25">
        <v>0.30678799999999995</v>
      </c>
      <c r="J1128" s="21">
        <v>0.5</v>
      </c>
      <c r="K1128" s="21">
        <v>6.1440000000000002E-2</v>
      </c>
      <c r="L1128" s="21">
        <v>0.27500000000000002</v>
      </c>
      <c r="M1128" s="17" t="s">
        <v>121</v>
      </c>
      <c r="N1128" s="17" t="s">
        <v>116</v>
      </c>
      <c r="O1128" s="21">
        <v>0.25</v>
      </c>
      <c r="P1128" s="21">
        <v>0.27500000000000002</v>
      </c>
    </row>
    <row r="1129" spans="1:16" ht="16.5" x14ac:dyDescent="0.25">
      <c r="A1129" s="2"/>
      <c r="B1129" s="4"/>
      <c r="C1129" s="18"/>
      <c r="E1129" s="20">
        <v>44579</v>
      </c>
      <c r="F1129" s="17" t="s">
        <v>94</v>
      </c>
      <c r="G1129" s="21">
        <v>2.4410599999999998</v>
      </c>
      <c r="H1129" s="21">
        <v>4.8</v>
      </c>
      <c r="I1129" s="25">
        <v>0.28644583333333329</v>
      </c>
      <c r="J1129" s="21">
        <v>0.48</v>
      </c>
      <c r="K1129" s="21">
        <v>6.1440000000000002E-2</v>
      </c>
      <c r="L1129" s="21">
        <v>0.26400000000000001</v>
      </c>
      <c r="M1129" s="17" t="s">
        <v>120</v>
      </c>
      <c r="N1129" s="17" t="s">
        <v>116</v>
      </c>
      <c r="O1129" s="21">
        <v>0.24</v>
      </c>
      <c r="P1129" s="21">
        <v>0.26400000000000001</v>
      </c>
    </row>
    <row r="1130" spans="1:16" ht="16.5" x14ac:dyDescent="0.25">
      <c r="A1130" s="2"/>
      <c r="B1130" s="4"/>
      <c r="C1130" s="18"/>
      <c r="E1130" s="20">
        <v>44579</v>
      </c>
      <c r="F1130" s="17" t="s">
        <v>94</v>
      </c>
      <c r="G1130" s="21">
        <v>2.4410599999999998</v>
      </c>
      <c r="H1130" s="21">
        <v>4.5</v>
      </c>
      <c r="I1130" s="25">
        <v>0.25254222222222233</v>
      </c>
      <c r="J1130" s="21">
        <v>0.45</v>
      </c>
      <c r="K1130" s="21">
        <v>6.1440000000000002E-2</v>
      </c>
      <c r="L1130" s="21">
        <v>0.2475</v>
      </c>
      <c r="M1130" s="17" t="s">
        <v>113</v>
      </c>
      <c r="N1130" s="17" t="s">
        <v>116</v>
      </c>
      <c r="O1130" s="21">
        <v>0.22500000000000001</v>
      </c>
      <c r="P1130" s="21">
        <v>0.2475</v>
      </c>
    </row>
    <row r="1131" spans="1:16" ht="16.5" x14ac:dyDescent="0.25">
      <c r="A1131" s="2"/>
      <c r="B1131" s="4"/>
      <c r="C1131" s="18"/>
      <c r="E1131" s="20">
        <v>44579</v>
      </c>
      <c r="F1131" s="17" t="s">
        <v>94</v>
      </c>
      <c r="G1131" s="21">
        <v>2.4410599999999998</v>
      </c>
      <c r="H1131" s="21">
        <v>5.5</v>
      </c>
      <c r="I1131" s="25">
        <v>0.2633709090909091</v>
      </c>
      <c r="J1131" s="21">
        <v>0.55000000000000004</v>
      </c>
      <c r="K1131" s="21">
        <v>6.1440000000000002E-2</v>
      </c>
      <c r="L1131" s="21">
        <v>0.65999999999999992</v>
      </c>
      <c r="M1131" s="17" t="s">
        <v>122</v>
      </c>
      <c r="N1131" s="17" t="s">
        <v>117</v>
      </c>
      <c r="O1131" s="21">
        <v>0.27500000000000002</v>
      </c>
      <c r="P1131" s="21">
        <v>0.7854000000000001</v>
      </c>
    </row>
    <row r="1132" spans="1:16" ht="16.5" x14ac:dyDescent="0.25">
      <c r="A1132" s="2"/>
      <c r="B1132" s="4"/>
      <c r="C1132" s="18"/>
      <c r="E1132" s="20">
        <v>44579</v>
      </c>
      <c r="F1132" s="17" t="s">
        <v>94</v>
      </c>
      <c r="G1132" s="21">
        <v>2.4410599999999998</v>
      </c>
      <c r="H1132" s="21">
        <v>5.3</v>
      </c>
      <c r="I1132" s="25">
        <v>0.24662264150943386</v>
      </c>
      <c r="J1132" s="21">
        <v>0.53</v>
      </c>
      <c r="K1132" s="21">
        <v>6.1440000000000002E-2</v>
      </c>
      <c r="L1132" s="21">
        <v>0.63600000000000001</v>
      </c>
      <c r="M1132" s="17" t="s">
        <v>121</v>
      </c>
      <c r="N1132" s="17" t="s">
        <v>117</v>
      </c>
      <c r="O1132" s="21">
        <v>0.26500000000000001</v>
      </c>
      <c r="P1132" s="21">
        <v>0.75684000000000007</v>
      </c>
    </row>
    <row r="1133" spans="1:16" ht="16.5" x14ac:dyDescent="0.25">
      <c r="A1133" s="2"/>
      <c r="B1133" s="4"/>
      <c r="C1133" s="18"/>
      <c r="E1133" s="20">
        <v>44579</v>
      </c>
      <c r="F1133" s="17" t="s">
        <v>94</v>
      </c>
      <c r="G1133" s="21">
        <v>2.4410599999999998</v>
      </c>
      <c r="H1133" s="21">
        <v>5</v>
      </c>
      <c r="I1133" s="25">
        <v>0.21898799999999996</v>
      </c>
      <c r="J1133" s="21">
        <v>0.5</v>
      </c>
      <c r="K1133" s="21">
        <v>6.1440000000000002E-2</v>
      </c>
      <c r="L1133" s="21">
        <v>0.6</v>
      </c>
      <c r="M1133" s="17" t="s">
        <v>120</v>
      </c>
      <c r="N1133" s="17" t="s">
        <v>117</v>
      </c>
      <c r="O1133" s="21">
        <v>0.25</v>
      </c>
      <c r="P1133" s="21">
        <v>0.71400000000000008</v>
      </c>
    </row>
    <row r="1134" spans="1:16" ht="16.5" x14ac:dyDescent="0.25">
      <c r="A1134" s="2"/>
      <c r="B1134" s="4"/>
      <c r="C1134" s="18"/>
      <c r="E1134" s="20">
        <v>44579</v>
      </c>
      <c r="F1134" s="17" t="s">
        <v>94</v>
      </c>
      <c r="G1134" s="21">
        <v>2.4410599999999998</v>
      </c>
      <c r="H1134" s="21">
        <v>4.8</v>
      </c>
      <c r="I1134" s="25">
        <v>0.19864583333333338</v>
      </c>
      <c r="J1134" s="21">
        <v>0.48</v>
      </c>
      <c r="K1134" s="21">
        <v>6.1440000000000002E-2</v>
      </c>
      <c r="L1134" s="21">
        <v>0.57599999999999996</v>
      </c>
      <c r="M1134" s="17" t="s">
        <v>113</v>
      </c>
      <c r="N1134" s="17" t="s">
        <v>117</v>
      </c>
      <c r="O1134" s="21">
        <v>0.24</v>
      </c>
      <c r="P1134" s="21">
        <v>0.68544000000000005</v>
      </c>
    </row>
    <row r="1135" spans="1:16" ht="16.5" x14ac:dyDescent="0.25">
      <c r="A1135" s="2"/>
      <c r="B1135" s="4"/>
      <c r="C1135" s="18"/>
      <c r="E1135" s="20">
        <v>44579</v>
      </c>
      <c r="F1135" s="17" t="s">
        <v>94</v>
      </c>
      <c r="G1135" s="21">
        <v>2.4410599999999998</v>
      </c>
      <c r="H1135" s="21">
        <v>4.8</v>
      </c>
      <c r="I1135" s="25">
        <v>0.19864583333333338</v>
      </c>
      <c r="J1135" s="21">
        <v>0.48</v>
      </c>
      <c r="K1135" s="21">
        <v>6.1440000000000002E-2</v>
      </c>
      <c r="L1135" s="21">
        <v>0.57599999999999996</v>
      </c>
      <c r="M1135" s="17" t="s">
        <v>113</v>
      </c>
      <c r="N1135" s="17" t="s">
        <v>117</v>
      </c>
      <c r="O1135" s="21">
        <v>0.24</v>
      </c>
      <c r="P1135" s="21">
        <v>0.68544000000000005</v>
      </c>
    </row>
    <row r="1136" spans="1:16" ht="16.5" x14ac:dyDescent="0.25">
      <c r="A1136" s="2"/>
      <c r="B1136" s="4"/>
      <c r="C1136" s="18"/>
      <c r="E1136" s="20">
        <v>44579</v>
      </c>
      <c r="F1136" s="17" t="s">
        <v>94</v>
      </c>
      <c r="G1136" s="21">
        <v>2.5024999999999999</v>
      </c>
      <c r="H1136" s="21">
        <v>5</v>
      </c>
      <c r="I1136" s="25">
        <v>0.34950000000000003</v>
      </c>
      <c r="J1136" s="21">
        <v>0.5</v>
      </c>
      <c r="K1136" s="21">
        <v>6.1440000000000002E-2</v>
      </c>
      <c r="L1136" s="21">
        <v>0</v>
      </c>
      <c r="M1136" s="17" t="s">
        <v>122</v>
      </c>
      <c r="N1136" s="17" t="s">
        <v>115</v>
      </c>
      <c r="O1136" s="21">
        <v>0.25</v>
      </c>
      <c r="P1136" s="21">
        <v>0</v>
      </c>
    </row>
    <row r="1137" spans="1:16" ht="16.5" x14ac:dyDescent="0.25">
      <c r="A1137" s="2"/>
      <c r="B1137" s="4"/>
      <c r="C1137" s="18"/>
      <c r="E1137" s="20">
        <v>44579</v>
      </c>
      <c r="F1137" s="17" t="s">
        <v>94</v>
      </c>
      <c r="G1137" s="21">
        <v>2.5024999999999999</v>
      </c>
      <c r="H1137" s="21">
        <v>4.5999999999999996</v>
      </c>
      <c r="I1137" s="25">
        <v>0.3059782608695652</v>
      </c>
      <c r="J1137" s="21">
        <v>0.45999999999999996</v>
      </c>
      <c r="K1137" s="21">
        <v>6.1440000000000002E-2</v>
      </c>
      <c r="L1137" s="21">
        <v>0</v>
      </c>
      <c r="M1137" s="17" t="s">
        <v>121</v>
      </c>
      <c r="N1137" s="17" t="s">
        <v>115</v>
      </c>
      <c r="O1137" s="21">
        <v>0.22999999999999998</v>
      </c>
      <c r="P1137" s="21">
        <v>0</v>
      </c>
    </row>
    <row r="1138" spans="1:16" ht="16.5" x14ac:dyDescent="0.25">
      <c r="A1138" s="2"/>
      <c r="B1138" s="4"/>
      <c r="C1138" s="18"/>
      <c r="E1138" s="20">
        <v>44579</v>
      </c>
      <c r="F1138" s="17" t="s">
        <v>94</v>
      </c>
      <c r="G1138" s="21">
        <v>2.5024999999999999</v>
      </c>
      <c r="H1138" s="21">
        <v>4.2</v>
      </c>
      <c r="I1138" s="25">
        <v>0.25416666666666676</v>
      </c>
      <c r="J1138" s="21">
        <v>0.42000000000000004</v>
      </c>
      <c r="K1138" s="21">
        <v>6.1440000000000002E-2</v>
      </c>
      <c r="L1138" s="21">
        <v>0</v>
      </c>
      <c r="M1138" s="17" t="s">
        <v>120</v>
      </c>
      <c r="N1138" s="17" t="s">
        <v>115</v>
      </c>
      <c r="O1138" s="21">
        <v>0.21000000000000002</v>
      </c>
      <c r="P1138" s="21">
        <v>0</v>
      </c>
    </row>
    <row r="1139" spans="1:16" ht="16.5" x14ac:dyDescent="0.25">
      <c r="A1139" s="2"/>
      <c r="B1139" s="4"/>
      <c r="C1139" s="18"/>
      <c r="E1139" s="20">
        <v>44579</v>
      </c>
      <c r="F1139" s="17" t="s">
        <v>94</v>
      </c>
      <c r="G1139" s="21">
        <v>2.5024999999999999</v>
      </c>
      <c r="H1139" s="21">
        <v>3.9</v>
      </c>
      <c r="I1139" s="25">
        <v>0.20833333333333331</v>
      </c>
      <c r="J1139" s="21">
        <v>0.39</v>
      </c>
      <c r="K1139" s="21">
        <v>6.1440000000000002E-2</v>
      </c>
      <c r="L1139" s="21">
        <v>0</v>
      </c>
      <c r="M1139" s="17" t="s">
        <v>113</v>
      </c>
      <c r="N1139" s="17" t="s">
        <v>115</v>
      </c>
      <c r="O1139" s="21">
        <v>0.19500000000000001</v>
      </c>
      <c r="P1139" s="21">
        <v>0</v>
      </c>
    </row>
    <row r="1140" spans="1:16" ht="16.5" x14ac:dyDescent="0.25">
      <c r="A1140" s="2"/>
      <c r="B1140" s="4"/>
      <c r="C1140" s="18"/>
      <c r="E1140" s="20">
        <v>44579</v>
      </c>
      <c r="F1140" s="17" t="s">
        <v>94</v>
      </c>
      <c r="G1140" s="21">
        <v>2.5024999999999999</v>
      </c>
      <c r="H1140" s="21">
        <v>4.8</v>
      </c>
      <c r="I1140" s="25">
        <v>0.32864583333333336</v>
      </c>
      <c r="J1140" s="21">
        <v>0.48</v>
      </c>
      <c r="K1140" s="21">
        <v>6.1440000000000002E-2</v>
      </c>
      <c r="L1140" s="21">
        <v>0</v>
      </c>
      <c r="M1140" s="17" t="s">
        <v>121</v>
      </c>
      <c r="N1140" s="17" t="s">
        <v>115</v>
      </c>
      <c r="O1140" s="21">
        <v>0.24</v>
      </c>
      <c r="P1140" s="21">
        <v>0</v>
      </c>
    </row>
    <row r="1141" spans="1:16" ht="16.5" x14ac:dyDescent="0.25">
      <c r="A1141" s="2"/>
      <c r="B1141" s="4"/>
      <c r="C1141" s="18"/>
      <c r="E1141" s="20">
        <v>44579</v>
      </c>
      <c r="F1141" s="17" t="s">
        <v>94</v>
      </c>
      <c r="G1141" s="21">
        <v>2.5024999999999999</v>
      </c>
      <c r="H1141" s="21">
        <v>4.5</v>
      </c>
      <c r="I1141" s="25">
        <v>0.29388888888888887</v>
      </c>
      <c r="J1141" s="21">
        <v>0.45</v>
      </c>
      <c r="K1141" s="21">
        <v>6.1440000000000002E-2</v>
      </c>
      <c r="L1141" s="21">
        <v>0</v>
      </c>
      <c r="M1141" s="17" t="s">
        <v>121</v>
      </c>
      <c r="N1141" s="17" t="s">
        <v>115</v>
      </c>
      <c r="O1141" s="21">
        <v>0.22500000000000001</v>
      </c>
      <c r="P1141" s="21">
        <v>0</v>
      </c>
    </row>
    <row r="1142" spans="1:16" ht="16.5" x14ac:dyDescent="0.25">
      <c r="A1142" s="2"/>
      <c r="B1142" s="4"/>
      <c r="C1142" s="18"/>
      <c r="E1142" s="20">
        <v>44579</v>
      </c>
      <c r="F1142" s="17" t="s">
        <v>94</v>
      </c>
      <c r="G1142" s="21">
        <v>2.5024999999999999</v>
      </c>
      <c r="H1142" s="21">
        <v>4.2</v>
      </c>
      <c r="I1142" s="25">
        <v>0.25416666666666676</v>
      </c>
      <c r="J1142" s="21">
        <v>0.42000000000000004</v>
      </c>
      <c r="K1142" s="21">
        <v>6.1440000000000002E-2</v>
      </c>
      <c r="L1142" s="21">
        <v>0</v>
      </c>
      <c r="M1142" s="17" t="s">
        <v>120</v>
      </c>
      <c r="N1142" s="17" t="s">
        <v>115</v>
      </c>
      <c r="O1142" s="21">
        <v>0.21000000000000002</v>
      </c>
      <c r="P1142" s="21">
        <v>0</v>
      </c>
    </row>
    <row r="1143" spans="1:16" ht="16.5" x14ac:dyDescent="0.25">
      <c r="A1143" s="2"/>
      <c r="B1143" s="4"/>
      <c r="C1143" s="18"/>
      <c r="E1143" s="20">
        <v>44579</v>
      </c>
      <c r="F1143" s="17" t="s">
        <v>94</v>
      </c>
      <c r="G1143" s="21">
        <v>2.5024999999999999</v>
      </c>
      <c r="H1143" s="21">
        <v>4</v>
      </c>
      <c r="I1143" s="25">
        <v>0.22437500000000002</v>
      </c>
      <c r="J1143" s="21">
        <v>0.4</v>
      </c>
      <c r="K1143" s="21">
        <v>6.1440000000000002E-2</v>
      </c>
      <c r="L1143" s="21">
        <v>0</v>
      </c>
      <c r="M1143" s="17" t="s">
        <v>120</v>
      </c>
      <c r="N1143" s="17" t="s">
        <v>115</v>
      </c>
      <c r="O1143" s="21">
        <v>0.2</v>
      </c>
      <c r="P1143" s="21">
        <v>0</v>
      </c>
    </row>
    <row r="1144" spans="1:16" ht="16.5" x14ac:dyDescent="0.25">
      <c r="A1144" s="2"/>
      <c r="B1144" s="4"/>
      <c r="C1144" s="18"/>
      <c r="E1144" s="20">
        <v>44579</v>
      </c>
      <c r="F1144" s="17" t="s">
        <v>94</v>
      </c>
      <c r="G1144" s="21">
        <v>2.5024999999999999</v>
      </c>
      <c r="H1144" s="21">
        <v>4</v>
      </c>
      <c r="I1144" s="25">
        <v>0.22437500000000002</v>
      </c>
      <c r="J1144" s="21">
        <v>0.4</v>
      </c>
      <c r="K1144" s="21">
        <v>6.1440000000000002E-2</v>
      </c>
      <c r="L1144" s="21">
        <v>0</v>
      </c>
      <c r="M1144" s="17" t="s">
        <v>113</v>
      </c>
      <c r="N1144" s="17" t="s">
        <v>115</v>
      </c>
      <c r="O1144" s="21">
        <v>0.2</v>
      </c>
      <c r="P1144" s="21">
        <v>0</v>
      </c>
    </row>
    <row r="1145" spans="1:16" ht="16.5" x14ac:dyDescent="0.25">
      <c r="A1145" s="2"/>
      <c r="B1145" s="4"/>
      <c r="C1145" s="18"/>
      <c r="E1145" s="20">
        <v>44579</v>
      </c>
      <c r="F1145" s="17" t="s">
        <v>100</v>
      </c>
      <c r="G1145" s="21">
        <v>15.324999999999999</v>
      </c>
      <c r="H1145" s="21">
        <v>32.5</v>
      </c>
      <c r="I1145" s="25">
        <v>0.1991615384615385</v>
      </c>
      <c r="J1145" s="21">
        <v>3.25</v>
      </c>
      <c r="K1145" s="21">
        <v>0.1875</v>
      </c>
      <c r="L1145" s="21">
        <v>3.9</v>
      </c>
      <c r="M1145" s="17" t="s">
        <v>122</v>
      </c>
      <c r="N1145" s="17" t="s">
        <v>117</v>
      </c>
      <c r="O1145" s="21">
        <v>1.625</v>
      </c>
      <c r="P1145" s="21">
        <v>5.8272500000000003</v>
      </c>
    </row>
    <row r="1146" spans="1:16" ht="16.5" x14ac:dyDescent="0.25">
      <c r="A1146" s="2"/>
      <c r="B1146" s="4"/>
      <c r="C1146" s="18"/>
      <c r="E1146" s="20">
        <v>44579</v>
      </c>
      <c r="F1146" s="17" t="s">
        <v>100</v>
      </c>
      <c r="G1146" s="21">
        <v>15.324999999999999</v>
      </c>
      <c r="H1146" s="21">
        <v>31</v>
      </c>
      <c r="I1146" s="25">
        <v>0.17634516129032252</v>
      </c>
      <c r="J1146" s="21">
        <v>3.1</v>
      </c>
      <c r="K1146" s="21">
        <v>0.1875</v>
      </c>
      <c r="L1146" s="21">
        <v>3.7199999999999998</v>
      </c>
      <c r="M1146" s="17" t="s">
        <v>121</v>
      </c>
      <c r="N1146" s="17" t="s">
        <v>117</v>
      </c>
      <c r="O1146" s="21">
        <v>1.55</v>
      </c>
      <c r="P1146" s="21">
        <v>5.5583000000000009</v>
      </c>
    </row>
    <row r="1147" spans="1:16" ht="16.5" x14ac:dyDescent="0.25">
      <c r="A1147" s="2"/>
      <c r="B1147" s="4"/>
      <c r="C1147" s="18"/>
      <c r="E1147" s="20">
        <v>44579</v>
      </c>
      <c r="F1147" s="17" t="s">
        <v>100</v>
      </c>
      <c r="G1147" s="21">
        <v>15.324999999999999</v>
      </c>
      <c r="H1147" s="21">
        <v>29</v>
      </c>
      <c r="I1147" s="25">
        <v>0.14225172413793105</v>
      </c>
      <c r="J1147" s="21">
        <v>2.9000000000000004</v>
      </c>
      <c r="K1147" s="21">
        <v>0.1875</v>
      </c>
      <c r="L1147" s="21">
        <v>3.48</v>
      </c>
      <c r="M1147" s="17" t="s">
        <v>120</v>
      </c>
      <c r="N1147" s="17" t="s">
        <v>117</v>
      </c>
      <c r="O1147" s="21">
        <v>1.4500000000000002</v>
      </c>
      <c r="P1147" s="21">
        <v>5.1997</v>
      </c>
    </row>
    <row r="1148" spans="1:16" ht="16.5" x14ac:dyDescent="0.25">
      <c r="A1148" s="2"/>
      <c r="B1148" s="4"/>
      <c r="C1148" s="18"/>
      <c r="E1148" s="20">
        <v>44579</v>
      </c>
      <c r="F1148" s="17" t="s">
        <v>100</v>
      </c>
      <c r="G1148" s="21">
        <v>15.324999999999999</v>
      </c>
      <c r="H1148" s="21">
        <v>27</v>
      </c>
      <c r="I1148" s="25">
        <v>0.10310740740740741</v>
      </c>
      <c r="J1148" s="21">
        <v>2.7</v>
      </c>
      <c r="K1148" s="21">
        <v>0.1875</v>
      </c>
      <c r="L1148" s="21">
        <v>3.2399999999999998</v>
      </c>
      <c r="M1148" s="17" t="s">
        <v>113</v>
      </c>
      <c r="N1148" s="17" t="s">
        <v>117</v>
      </c>
      <c r="O1148" s="21">
        <v>1.35</v>
      </c>
      <c r="P1148" s="21">
        <v>4.8411000000000008</v>
      </c>
    </row>
    <row r="1149" spans="1:16" ht="16.5" x14ac:dyDescent="0.25">
      <c r="A1149" s="2"/>
      <c r="B1149" s="4"/>
      <c r="C1149" s="18"/>
      <c r="E1149" s="20">
        <v>44579</v>
      </c>
      <c r="F1149" s="17" t="s">
        <v>100</v>
      </c>
      <c r="G1149" s="21">
        <v>15.324999999999999</v>
      </c>
      <c r="H1149" s="21">
        <v>29</v>
      </c>
      <c r="I1149" s="25">
        <v>0.14225172413793105</v>
      </c>
      <c r="J1149" s="21">
        <v>2.9000000000000004</v>
      </c>
      <c r="K1149" s="21">
        <v>0.1875</v>
      </c>
      <c r="L1149" s="21">
        <v>3.48</v>
      </c>
      <c r="M1149" s="17" t="s">
        <v>113</v>
      </c>
      <c r="N1149" s="17" t="s">
        <v>117</v>
      </c>
      <c r="O1149" s="21">
        <v>1.4500000000000002</v>
      </c>
      <c r="P1149" s="21">
        <v>5.1997</v>
      </c>
    </row>
    <row r="1150" spans="1:16" ht="16.5" x14ac:dyDescent="0.25">
      <c r="A1150" s="2"/>
      <c r="B1150" s="4"/>
      <c r="C1150" s="18"/>
      <c r="E1150" s="20">
        <v>44579</v>
      </c>
      <c r="F1150" s="17" t="s">
        <v>100</v>
      </c>
      <c r="G1150" s="21">
        <v>15.324999999999999</v>
      </c>
      <c r="H1150" s="21">
        <v>27</v>
      </c>
      <c r="I1150" s="25">
        <v>0.10310740740740741</v>
      </c>
      <c r="J1150" s="21">
        <v>2.7</v>
      </c>
      <c r="K1150" s="21">
        <v>0.1875</v>
      </c>
      <c r="L1150" s="21">
        <v>3.2399999999999998</v>
      </c>
      <c r="M1150" s="17" t="s">
        <v>113</v>
      </c>
      <c r="N1150" s="17" t="s">
        <v>117</v>
      </c>
      <c r="O1150" s="21">
        <v>1.35</v>
      </c>
      <c r="P1150" s="21">
        <v>4.8411000000000008</v>
      </c>
    </row>
    <row r="1151" spans="1:16" ht="16.5" x14ac:dyDescent="0.25">
      <c r="A1151" s="2"/>
      <c r="B1151" s="4"/>
      <c r="C1151" s="18"/>
      <c r="E1151" s="20">
        <v>44579</v>
      </c>
      <c r="F1151" s="17" t="s">
        <v>100</v>
      </c>
      <c r="G1151" s="21">
        <v>15.324999999999999</v>
      </c>
      <c r="H1151" s="21">
        <v>25.5</v>
      </c>
      <c r="I1151" s="25">
        <v>0.19401960784313724</v>
      </c>
      <c r="J1151" s="21">
        <v>2.5500000000000003</v>
      </c>
      <c r="K1151" s="21">
        <v>0.1875</v>
      </c>
      <c r="L1151" s="21">
        <v>1.4025000000000001</v>
      </c>
      <c r="M1151" s="17" t="s">
        <v>122</v>
      </c>
      <c r="N1151" s="17" t="s">
        <v>116</v>
      </c>
      <c r="O1151" s="21">
        <v>1.2750000000000001</v>
      </c>
      <c r="P1151" s="21">
        <v>1.4025000000000001</v>
      </c>
    </row>
    <row r="1152" spans="1:16" ht="16.5" x14ac:dyDescent="0.25">
      <c r="A1152" s="2"/>
      <c r="B1152" s="4"/>
      <c r="C1152" s="18"/>
      <c r="E1152" s="20">
        <v>44579</v>
      </c>
      <c r="F1152" s="17" t="s">
        <v>100</v>
      </c>
      <c r="G1152" s="21">
        <v>15.324999999999999</v>
      </c>
      <c r="H1152" s="21">
        <v>24.5</v>
      </c>
      <c r="I1152" s="25">
        <v>0.16948979591836738</v>
      </c>
      <c r="J1152" s="21">
        <v>2.4500000000000002</v>
      </c>
      <c r="K1152" s="21">
        <v>0.1875</v>
      </c>
      <c r="L1152" s="21">
        <v>1.3474999999999999</v>
      </c>
      <c r="M1152" s="17" t="s">
        <v>121</v>
      </c>
      <c r="N1152" s="17" t="s">
        <v>116</v>
      </c>
      <c r="O1152" s="21">
        <v>1.2250000000000001</v>
      </c>
      <c r="P1152" s="21">
        <v>1.3474999999999999</v>
      </c>
    </row>
    <row r="1153" spans="1:16" ht="16.5" x14ac:dyDescent="0.25">
      <c r="A1153" s="2"/>
      <c r="B1153" s="4"/>
      <c r="C1153" s="18"/>
      <c r="E1153" s="20">
        <v>44579</v>
      </c>
      <c r="F1153" s="17" t="s">
        <v>100</v>
      </c>
      <c r="G1153" s="21">
        <v>15.324999999999999</v>
      </c>
      <c r="H1153" s="21">
        <v>23.5</v>
      </c>
      <c r="I1153" s="25">
        <v>0.14287234042553193</v>
      </c>
      <c r="J1153" s="21">
        <v>2.35</v>
      </c>
      <c r="K1153" s="21">
        <v>0.1875</v>
      </c>
      <c r="L1153" s="21">
        <v>1.2925</v>
      </c>
      <c r="M1153" s="17" t="s">
        <v>120</v>
      </c>
      <c r="N1153" s="17" t="s">
        <v>116</v>
      </c>
      <c r="O1153" s="21">
        <v>1.175</v>
      </c>
      <c r="P1153" s="21">
        <v>1.2925</v>
      </c>
    </row>
    <row r="1154" spans="1:16" ht="16.5" x14ac:dyDescent="0.25">
      <c r="A1154" s="2"/>
      <c r="B1154" s="4"/>
      <c r="C1154" s="18"/>
      <c r="E1154" s="20">
        <v>44579</v>
      </c>
      <c r="F1154" s="17" t="s">
        <v>100</v>
      </c>
      <c r="G1154" s="21">
        <v>15.324999999999999</v>
      </c>
      <c r="H1154" s="21">
        <v>22.5</v>
      </c>
      <c r="I1154" s="25">
        <v>0.11388888888888889</v>
      </c>
      <c r="J1154" s="21">
        <v>2.25</v>
      </c>
      <c r="K1154" s="21">
        <v>0.1875</v>
      </c>
      <c r="L1154" s="21">
        <v>1.2375</v>
      </c>
      <c r="M1154" s="17" t="s">
        <v>113</v>
      </c>
      <c r="N1154" s="17" t="s">
        <v>116</v>
      </c>
      <c r="O1154" s="21">
        <v>1.125</v>
      </c>
      <c r="P1154" s="21">
        <v>1.2375</v>
      </c>
    </row>
    <row r="1155" spans="1:16" ht="16.5" x14ac:dyDescent="0.25">
      <c r="A1155" s="2"/>
      <c r="B1155" s="4"/>
      <c r="C1155" s="18"/>
      <c r="E1155" s="20">
        <v>44579</v>
      </c>
      <c r="F1155" s="17" t="s">
        <v>100</v>
      </c>
      <c r="G1155" s="21">
        <v>15.512499999999999</v>
      </c>
      <c r="H1155" s="21">
        <v>24</v>
      </c>
      <c r="I1155" s="25">
        <v>0.20364583333333333</v>
      </c>
      <c r="J1155" s="21">
        <v>2.4000000000000004</v>
      </c>
      <c r="K1155" s="21">
        <v>0.1875</v>
      </c>
      <c r="L1155" s="21">
        <v>0</v>
      </c>
      <c r="M1155" s="17" t="s">
        <v>122</v>
      </c>
      <c r="N1155" s="17" t="s">
        <v>115</v>
      </c>
      <c r="O1155" s="21">
        <v>1.2000000000000002</v>
      </c>
      <c r="P1155" s="21">
        <v>0</v>
      </c>
    </row>
    <row r="1156" spans="1:16" ht="16.5" x14ac:dyDescent="0.25">
      <c r="A1156" s="2"/>
      <c r="B1156" s="4"/>
      <c r="C1156" s="18"/>
      <c r="E1156" s="20">
        <v>44579</v>
      </c>
      <c r="F1156" s="17" t="s">
        <v>100</v>
      </c>
      <c r="G1156" s="21">
        <v>15.512499999999999</v>
      </c>
      <c r="H1156" s="21">
        <v>23</v>
      </c>
      <c r="I1156" s="25">
        <v>0.17554347826086955</v>
      </c>
      <c r="J1156" s="21">
        <v>2.3000000000000003</v>
      </c>
      <c r="K1156" s="21">
        <v>0.1875</v>
      </c>
      <c r="L1156" s="21">
        <v>0</v>
      </c>
      <c r="M1156" s="17" t="s">
        <v>121</v>
      </c>
      <c r="N1156" s="17" t="s">
        <v>115</v>
      </c>
      <c r="O1156" s="21">
        <v>1.1500000000000001</v>
      </c>
      <c r="P1156" s="21">
        <v>0</v>
      </c>
    </row>
    <row r="1157" spans="1:16" ht="16.5" x14ac:dyDescent="0.25">
      <c r="A1157" s="2"/>
      <c r="B1157" s="4"/>
      <c r="C1157" s="18"/>
      <c r="E1157" s="20">
        <v>44579</v>
      </c>
      <c r="F1157" s="17" t="s">
        <v>100</v>
      </c>
      <c r="G1157" s="21">
        <v>15.512499999999999</v>
      </c>
      <c r="H1157" s="21">
        <v>22</v>
      </c>
      <c r="I1157" s="25">
        <v>0.14488636363636367</v>
      </c>
      <c r="J1157" s="21">
        <v>2.2000000000000002</v>
      </c>
      <c r="K1157" s="21">
        <v>0.1875</v>
      </c>
      <c r="L1157" s="21">
        <v>0</v>
      </c>
      <c r="M1157" s="17" t="s">
        <v>120</v>
      </c>
      <c r="N1157" s="17" t="s">
        <v>115</v>
      </c>
      <c r="O1157" s="21">
        <v>1.1000000000000001</v>
      </c>
      <c r="P1157" s="21">
        <v>0</v>
      </c>
    </row>
    <row r="1158" spans="1:16" ht="16.5" x14ac:dyDescent="0.25">
      <c r="A1158" s="2"/>
      <c r="B1158" s="4"/>
      <c r="C1158" s="18"/>
      <c r="E1158" s="20">
        <v>44579</v>
      </c>
      <c r="F1158" s="17" t="s">
        <v>100</v>
      </c>
      <c r="G1158" s="21">
        <v>15.512499999999999</v>
      </c>
      <c r="H1158" s="21">
        <v>21</v>
      </c>
      <c r="I1158" s="25">
        <v>0.11130952380952384</v>
      </c>
      <c r="J1158" s="21">
        <v>2.1</v>
      </c>
      <c r="K1158" s="21">
        <v>0.1875</v>
      </c>
      <c r="L1158" s="21">
        <v>0</v>
      </c>
      <c r="M1158" s="17" t="s">
        <v>113</v>
      </c>
      <c r="N1158" s="17" t="s">
        <v>115</v>
      </c>
      <c r="O1158" s="21">
        <v>1.05</v>
      </c>
      <c r="P1158" s="21">
        <v>0</v>
      </c>
    </row>
    <row r="1159" spans="1:16" ht="16.5" x14ac:dyDescent="0.25">
      <c r="A1159" s="2"/>
      <c r="B1159" s="4"/>
      <c r="C1159" s="18"/>
      <c r="E1159" s="20">
        <v>44579</v>
      </c>
      <c r="F1159" s="17" t="s">
        <v>99</v>
      </c>
      <c r="G1159" s="21">
        <v>10.387499999999999</v>
      </c>
      <c r="H1159" s="21">
        <v>17.5</v>
      </c>
      <c r="I1159" s="25">
        <v>0.20142857142857154</v>
      </c>
      <c r="J1159" s="21">
        <v>1.75</v>
      </c>
      <c r="K1159" s="21">
        <v>0.125</v>
      </c>
      <c r="L1159" s="21">
        <v>0.96250000000000002</v>
      </c>
      <c r="M1159" s="17" t="s">
        <v>122</v>
      </c>
      <c r="N1159" s="17" t="s">
        <v>116</v>
      </c>
      <c r="O1159" s="21">
        <v>0.875</v>
      </c>
      <c r="P1159" s="21">
        <v>0.96250000000000002</v>
      </c>
    </row>
    <row r="1160" spans="1:16" ht="16.5" x14ac:dyDescent="0.25">
      <c r="A1160" s="2"/>
      <c r="B1160" s="4"/>
      <c r="C1160" s="18"/>
      <c r="E1160" s="20">
        <v>44579</v>
      </c>
      <c r="F1160" s="17" t="s">
        <v>99</v>
      </c>
      <c r="G1160" s="21">
        <v>10.387499999999999</v>
      </c>
      <c r="H1160" s="21">
        <v>17</v>
      </c>
      <c r="I1160" s="25">
        <v>0.18397058823529425</v>
      </c>
      <c r="J1160" s="21">
        <v>1.7000000000000002</v>
      </c>
      <c r="K1160" s="21">
        <v>0.125</v>
      </c>
      <c r="L1160" s="21">
        <v>0.93500000000000005</v>
      </c>
      <c r="M1160" s="17" t="s">
        <v>121</v>
      </c>
      <c r="N1160" s="17" t="s">
        <v>116</v>
      </c>
      <c r="O1160" s="21">
        <v>0.85000000000000009</v>
      </c>
      <c r="P1160" s="21">
        <v>0.93500000000000005</v>
      </c>
    </row>
    <row r="1161" spans="1:16" ht="16.5" x14ac:dyDescent="0.25">
      <c r="A1161" s="2"/>
      <c r="B1161" s="4"/>
      <c r="C1161" s="18"/>
      <c r="E1161" s="20">
        <v>44579</v>
      </c>
      <c r="F1161" s="17" t="s">
        <v>99</v>
      </c>
      <c r="G1161" s="21">
        <v>10.387499999999999</v>
      </c>
      <c r="H1161" s="21">
        <v>16.5</v>
      </c>
      <c r="I1161" s="25">
        <v>0.16545454545454544</v>
      </c>
      <c r="J1161" s="21">
        <v>1.6500000000000001</v>
      </c>
      <c r="K1161" s="21">
        <v>0.125</v>
      </c>
      <c r="L1161" s="21">
        <v>0.90749999999999997</v>
      </c>
      <c r="M1161" s="17" t="s">
        <v>120</v>
      </c>
      <c r="N1161" s="17" t="s">
        <v>116</v>
      </c>
      <c r="O1161" s="21">
        <v>0.82500000000000007</v>
      </c>
      <c r="P1161" s="21">
        <v>0.90749999999999997</v>
      </c>
    </row>
    <row r="1162" spans="1:16" ht="16.5" x14ac:dyDescent="0.25">
      <c r="A1162" s="2"/>
      <c r="B1162" s="4"/>
      <c r="C1162" s="18"/>
      <c r="E1162" s="20">
        <v>44579</v>
      </c>
      <c r="F1162" s="17" t="s">
        <v>99</v>
      </c>
      <c r="G1162" s="21">
        <v>10.387499999999999</v>
      </c>
      <c r="H1162" s="21">
        <v>15.5</v>
      </c>
      <c r="I1162" s="25">
        <v>0.12483870967741946</v>
      </c>
      <c r="J1162" s="21">
        <v>1.55</v>
      </c>
      <c r="K1162" s="21">
        <v>0.125</v>
      </c>
      <c r="L1162" s="21">
        <v>0.85250000000000004</v>
      </c>
      <c r="M1162" s="17" t="s">
        <v>113</v>
      </c>
      <c r="N1162" s="17" t="s">
        <v>116</v>
      </c>
      <c r="O1162" s="21">
        <v>0.77500000000000002</v>
      </c>
      <c r="P1162" s="21">
        <v>0.85250000000000004</v>
      </c>
    </row>
    <row r="1163" spans="1:16" ht="16.5" x14ac:dyDescent="0.25">
      <c r="A1163" s="2"/>
      <c r="B1163" s="4"/>
      <c r="C1163" s="18"/>
      <c r="E1163" s="20">
        <v>44579</v>
      </c>
      <c r="F1163" s="17" t="s">
        <v>99</v>
      </c>
      <c r="G1163" s="21">
        <v>10.387499999999999</v>
      </c>
      <c r="H1163" s="21">
        <v>21.5</v>
      </c>
      <c r="I1163" s="25">
        <v>0.18756046511627902</v>
      </c>
      <c r="J1163" s="21">
        <v>2.15</v>
      </c>
      <c r="K1163" s="21">
        <v>0.125</v>
      </c>
      <c r="L1163" s="21">
        <v>2.58</v>
      </c>
      <c r="M1163" s="17" t="s">
        <v>122</v>
      </c>
      <c r="N1163" s="17" t="s">
        <v>117</v>
      </c>
      <c r="O1163" s="21">
        <v>1.075</v>
      </c>
      <c r="P1163" s="21">
        <v>3.8549500000000005</v>
      </c>
    </row>
    <row r="1164" spans="1:16" ht="16.5" x14ac:dyDescent="0.25">
      <c r="A1164" s="2"/>
      <c r="B1164" s="4"/>
      <c r="C1164" s="18"/>
      <c r="E1164" s="20">
        <v>44579</v>
      </c>
      <c r="F1164" s="17" t="s">
        <v>99</v>
      </c>
      <c r="G1164" s="21">
        <v>10.387499999999999</v>
      </c>
      <c r="H1164" s="21">
        <v>20.5</v>
      </c>
      <c r="I1164" s="25">
        <v>0.16399268292682923</v>
      </c>
      <c r="J1164" s="21">
        <v>2.0500000000000003</v>
      </c>
      <c r="K1164" s="21">
        <v>0.125</v>
      </c>
      <c r="L1164" s="21">
        <v>2.46</v>
      </c>
      <c r="M1164" s="17" t="s">
        <v>121</v>
      </c>
      <c r="N1164" s="17" t="s">
        <v>117</v>
      </c>
      <c r="O1164" s="21">
        <v>1.0250000000000001</v>
      </c>
      <c r="P1164" s="21">
        <v>3.6756500000000001</v>
      </c>
    </row>
    <row r="1165" spans="1:16" ht="16.5" x14ac:dyDescent="0.25">
      <c r="A1165" s="2"/>
      <c r="B1165" s="4"/>
      <c r="C1165" s="18"/>
      <c r="E1165" s="20">
        <v>44579</v>
      </c>
      <c r="F1165" s="17" t="s">
        <v>99</v>
      </c>
      <c r="G1165" s="21">
        <v>10.387499999999999</v>
      </c>
      <c r="H1165" s="21">
        <v>19.5</v>
      </c>
      <c r="I1165" s="25">
        <v>0.13800769230769236</v>
      </c>
      <c r="J1165" s="21">
        <v>1.9500000000000002</v>
      </c>
      <c r="K1165" s="21">
        <v>0.125</v>
      </c>
      <c r="L1165" s="21">
        <v>2.34</v>
      </c>
      <c r="M1165" s="17" t="s">
        <v>120</v>
      </c>
      <c r="N1165" s="17" t="s">
        <v>117</v>
      </c>
      <c r="O1165" s="21">
        <v>0.97500000000000009</v>
      </c>
      <c r="P1165" s="21">
        <v>3.4963500000000005</v>
      </c>
    </row>
    <row r="1166" spans="1:16" ht="16.5" x14ac:dyDescent="0.25">
      <c r="A1166" s="2"/>
      <c r="B1166" s="4"/>
      <c r="C1166" s="18"/>
      <c r="E1166" s="20">
        <v>44579</v>
      </c>
      <c r="F1166" s="17" t="s">
        <v>99</v>
      </c>
      <c r="G1166" s="21">
        <v>10.387499999999999</v>
      </c>
      <c r="H1166" s="21">
        <v>19</v>
      </c>
      <c r="I1166" s="25">
        <v>0.1239894736842105</v>
      </c>
      <c r="J1166" s="21">
        <v>1.9000000000000001</v>
      </c>
      <c r="K1166" s="21">
        <v>0.125</v>
      </c>
      <c r="L1166" s="21">
        <v>2.2799999999999998</v>
      </c>
      <c r="M1166" s="17" t="s">
        <v>120</v>
      </c>
      <c r="N1166" s="17" t="s">
        <v>117</v>
      </c>
      <c r="O1166" s="21">
        <v>0.95000000000000007</v>
      </c>
      <c r="P1166" s="21">
        <v>3.4067000000000003</v>
      </c>
    </row>
    <row r="1167" spans="1:16" ht="16.5" x14ac:dyDescent="0.25">
      <c r="A1167" s="2"/>
      <c r="B1167" s="4"/>
      <c r="C1167" s="18"/>
      <c r="E1167" s="20">
        <v>44579</v>
      </c>
      <c r="F1167" s="17" t="s">
        <v>99</v>
      </c>
      <c r="G1167" s="21">
        <v>10.387499999999999</v>
      </c>
      <c r="H1167" s="21">
        <v>18.5</v>
      </c>
      <c r="I1167" s="25">
        <v>0.10921351351351355</v>
      </c>
      <c r="J1167" s="21">
        <v>1.85</v>
      </c>
      <c r="K1167" s="21">
        <v>0.125</v>
      </c>
      <c r="L1167" s="21">
        <v>2.2199999999999998</v>
      </c>
      <c r="M1167" s="17" t="s">
        <v>113</v>
      </c>
      <c r="N1167" s="17" t="s">
        <v>117</v>
      </c>
      <c r="O1167" s="21">
        <v>0.92500000000000004</v>
      </c>
      <c r="P1167" s="21">
        <v>3.3170500000000001</v>
      </c>
    </row>
    <row r="1168" spans="1:16" ht="16.5" x14ac:dyDescent="0.25">
      <c r="A1168" s="2"/>
      <c r="B1168" s="4"/>
      <c r="C1168" s="18"/>
      <c r="E1168" s="20">
        <v>44579</v>
      </c>
      <c r="F1168" s="17" t="s">
        <v>99</v>
      </c>
      <c r="G1168" s="21">
        <v>10.387499999999999</v>
      </c>
      <c r="H1168" s="21">
        <v>18.5</v>
      </c>
      <c r="I1168" s="25">
        <v>0.10921351351351355</v>
      </c>
      <c r="J1168" s="21">
        <v>1.85</v>
      </c>
      <c r="K1168" s="21">
        <v>0.125</v>
      </c>
      <c r="L1168" s="21">
        <v>2.2199999999999998</v>
      </c>
      <c r="M1168" s="17" t="s">
        <v>121</v>
      </c>
      <c r="N1168" s="17" t="s">
        <v>117</v>
      </c>
      <c r="O1168" s="21">
        <v>0.92500000000000004</v>
      </c>
      <c r="P1168" s="21">
        <v>3.3170500000000001</v>
      </c>
    </row>
    <row r="1169" spans="1:16" ht="16.5" x14ac:dyDescent="0.25">
      <c r="A1169" s="2"/>
      <c r="B1169" s="4"/>
      <c r="C1169" s="18"/>
      <c r="E1169" s="20">
        <v>44579</v>
      </c>
      <c r="F1169" s="17" t="s">
        <v>99</v>
      </c>
      <c r="G1169" s="21">
        <v>10.512499999999999</v>
      </c>
      <c r="H1169" s="21">
        <v>15.5</v>
      </c>
      <c r="I1169" s="25">
        <v>0.17177419354838713</v>
      </c>
      <c r="J1169" s="21">
        <v>1.55</v>
      </c>
      <c r="K1169" s="21">
        <v>0.125</v>
      </c>
      <c r="L1169" s="21">
        <v>0</v>
      </c>
      <c r="M1169" s="17" t="s">
        <v>121</v>
      </c>
      <c r="N1169" s="17" t="s">
        <v>115</v>
      </c>
      <c r="O1169" s="21">
        <v>0.77500000000000002</v>
      </c>
      <c r="P1169" s="21">
        <v>0</v>
      </c>
    </row>
    <row r="1170" spans="1:16" ht="16.5" x14ac:dyDescent="0.25">
      <c r="A1170" s="2"/>
      <c r="B1170" s="4"/>
      <c r="C1170" s="18"/>
      <c r="E1170" s="20">
        <v>44579</v>
      </c>
      <c r="F1170" s="17" t="s">
        <v>99</v>
      </c>
      <c r="G1170" s="21">
        <v>10.512499999999999</v>
      </c>
      <c r="H1170" s="21">
        <v>16</v>
      </c>
      <c r="I1170" s="25">
        <v>0.19296875000000005</v>
      </c>
      <c r="J1170" s="21">
        <v>1.6</v>
      </c>
      <c r="K1170" s="21">
        <v>0.125</v>
      </c>
      <c r="L1170" s="21">
        <v>0</v>
      </c>
      <c r="M1170" s="17" t="s">
        <v>122</v>
      </c>
      <c r="N1170" s="17" t="s">
        <v>115</v>
      </c>
      <c r="O1170" s="21">
        <v>0.8</v>
      </c>
      <c r="P1170" s="21">
        <v>0</v>
      </c>
    </row>
    <row r="1171" spans="1:16" ht="16.5" x14ac:dyDescent="0.25">
      <c r="A1171" s="2"/>
      <c r="B1171" s="4"/>
      <c r="C1171" s="18"/>
      <c r="E1171" s="20">
        <v>44579</v>
      </c>
      <c r="F1171" s="17" t="s">
        <v>99</v>
      </c>
      <c r="G1171" s="21">
        <v>10.512499999999999</v>
      </c>
      <c r="H1171" s="21">
        <v>16</v>
      </c>
      <c r="I1171" s="25">
        <v>0.19296875000000005</v>
      </c>
      <c r="J1171" s="21">
        <v>1.6</v>
      </c>
      <c r="K1171" s="21">
        <v>0.125</v>
      </c>
      <c r="L1171" s="21">
        <v>0</v>
      </c>
      <c r="M1171" s="17" t="s">
        <v>121</v>
      </c>
      <c r="N1171" s="17" t="s">
        <v>115</v>
      </c>
      <c r="O1171" s="21">
        <v>0.8</v>
      </c>
      <c r="P1171" s="21">
        <v>0</v>
      </c>
    </row>
    <row r="1172" spans="1:16" ht="16.5" x14ac:dyDescent="0.25">
      <c r="A1172" s="2"/>
      <c r="B1172" s="4"/>
      <c r="C1172" s="18"/>
      <c r="E1172" s="20">
        <v>44579</v>
      </c>
      <c r="F1172" s="17" t="s">
        <v>99</v>
      </c>
      <c r="G1172" s="21">
        <v>10.512499999999999</v>
      </c>
      <c r="H1172" s="21">
        <v>15.5</v>
      </c>
      <c r="I1172" s="25">
        <v>0.17177419354838713</v>
      </c>
      <c r="J1172" s="21">
        <v>1.55</v>
      </c>
      <c r="K1172" s="21">
        <v>0.125</v>
      </c>
      <c r="L1172" s="21">
        <v>0</v>
      </c>
      <c r="M1172" s="17" t="s">
        <v>121</v>
      </c>
      <c r="N1172" s="17" t="s">
        <v>115</v>
      </c>
      <c r="O1172" s="21">
        <v>0.77500000000000002</v>
      </c>
      <c r="P1172" s="21">
        <v>0</v>
      </c>
    </row>
    <row r="1173" spans="1:16" ht="16.5" x14ac:dyDescent="0.25">
      <c r="A1173" s="2"/>
      <c r="B1173" s="4"/>
      <c r="C1173" s="18"/>
      <c r="E1173" s="20">
        <v>44579</v>
      </c>
      <c r="F1173" s="17" t="s">
        <v>99</v>
      </c>
      <c r="G1173" s="21">
        <v>10.512499999999999</v>
      </c>
      <c r="H1173" s="21">
        <v>14.5</v>
      </c>
      <c r="I1173" s="25">
        <v>0.12500000000000003</v>
      </c>
      <c r="J1173" s="21">
        <v>1.4500000000000002</v>
      </c>
      <c r="K1173" s="21">
        <v>0.125</v>
      </c>
      <c r="L1173" s="21">
        <v>0</v>
      </c>
      <c r="M1173" s="17" t="s">
        <v>113</v>
      </c>
      <c r="N1173" s="17" t="s">
        <v>115</v>
      </c>
      <c r="O1173" s="21">
        <v>0.72500000000000009</v>
      </c>
      <c r="P1173" s="21">
        <v>0</v>
      </c>
    </row>
    <row r="1174" spans="1:16" ht="16.5" x14ac:dyDescent="0.25">
      <c r="A1174" s="2"/>
      <c r="B1174" s="4"/>
      <c r="C1174" s="18"/>
      <c r="E1174" s="20">
        <v>44579</v>
      </c>
      <c r="F1174" s="17" t="s">
        <v>99</v>
      </c>
      <c r="G1174" s="21">
        <v>10.512499999999999</v>
      </c>
      <c r="H1174" s="21">
        <v>14.5</v>
      </c>
      <c r="I1174" s="25">
        <v>0.12500000000000003</v>
      </c>
      <c r="J1174" s="21">
        <v>1.4500000000000002</v>
      </c>
      <c r="K1174" s="21">
        <v>0.125</v>
      </c>
      <c r="L1174" s="21">
        <v>0</v>
      </c>
      <c r="M1174" s="17" t="s">
        <v>122</v>
      </c>
      <c r="N1174" s="17" t="s">
        <v>115</v>
      </c>
      <c r="O1174" s="21">
        <v>0.72500000000000009</v>
      </c>
      <c r="P1174" s="21">
        <v>0</v>
      </c>
    </row>
    <row r="1175" spans="1:16" ht="16.5" x14ac:dyDescent="0.25">
      <c r="A1175" s="2"/>
      <c r="B1175" s="4"/>
      <c r="C1175" s="18"/>
      <c r="E1175" s="20">
        <v>44579</v>
      </c>
      <c r="F1175" s="17" t="s">
        <v>99</v>
      </c>
      <c r="G1175" s="21">
        <v>10.512499999999999</v>
      </c>
      <c r="H1175" s="21">
        <v>12.5</v>
      </c>
      <c r="I1175" s="25">
        <v>0.15900000000000006</v>
      </c>
      <c r="J1175" s="21">
        <v>0</v>
      </c>
      <c r="K1175" s="21">
        <v>0.125</v>
      </c>
      <c r="L1175" s="21">
        <v>0</v>
      </c>
      <c r="M1175" s="17" t="s">
        <v>122</v>
      </c>
      <c r="N1175" s="17" t="s">
        <v>115</v>
      </c>
      <c r="O1175" s="21">
        <v>0</v>
      </c>
      <c r="P1175" s="21">
        <v>0</v>
      </c>
    </row>
    <row r="1176" spans="1:16" ht="16.5" x14ac:dyDescent="0.25">
      <c r="A1176" s="2"/>
      <c r="B1176" s="4"/>
      <c r="C1176" s="18"/>
      <c r="E1176" s="20">
        <v>44579</v>
      </c>
      <c r="F1176" s="17" t="s">
        <v>87</v>
      </c>
      <c r="G1176" s="21">
        <v>4.0496718333333321</v>
      </c>
      <c r="H1176" s="21">
        <v>8.5</v>
      </c>
      <c r="I1176" s="25">
        <v>0.24426801960784328</v>
      </c>
      <c r="J1176" s="21">
        <v>0.85000000000000009</v>
      </c>
      <c r="K1176" s="21">
        <v>0.35962916666666672</v>
      </c>
      <c r="L1176" s="21">
        <v>0.59500000000000008</v>
      </c>
      <c r="M1176" s="17" t="s">
        <v>122</v>
      </c>
      <c r="N1176" s="17" t="s">
        <v>117</v>
      </c>
      <c r="O1176" s="21">
        <v>0.42500000000000004</v>
      </c>
      <c r="P1176" s="21">
        <v>1.0990500000000001</v>
      </c>
    </row>
    <row r="1177" spans="1:16" ht="16.5" x14ac:dyDescent="0.25">
      <c r="A1177" s="2"/>
      <c r="B1177" s="4"/>
      <c r="C1177" s="18"/>
      <c r="E1177" s="20">
        <v>44579</v>
      </c>
      <c r="F1177" s="17" t="s">
        <v>87</v>
      </c>
      <c r="G1177" s="21">
        <v>4.0496718333333321</v>
      </c>
      <c r="H1177" s="21">
        <v>8</v>
      </c>
      <c r="I1177" s="25">
        <v>0.21449102083333352</v>
      </c>
      <c r="J1177" s="21">
        <v>0.8</v>
      </c>
      <c r="K1177" s="21">
        <v>0.35962916666666672</v>
      </c>
      <c r="L1177" s="21">
        <v>0.56000000000000005</v>
      </c>
      <c r="M1177" s="17" t="s">
        <v>121</v>
      </c>
      <c r="N1177" s="17" t="s">
        <v>117</v>
      </c>
      <c r="O1177" s="21">
        <v>0.4</v>
      </c>
      <c r="P1177" s="21">
        <v>1.0344</v>
      </c>
    </row>
    <row r="1178" spans="1:16" ht="16.5" x14ac:dyDescent="0.25">
      <c r="A1178" s="2"/>
      <c r="B1178" s="4"/>
      <c r="C1178" s="18"/>
      <c r="E1178" s="20">
        <v>44579</v>
      </c>
      <c r="F1178" s="17" t="s">
        <v>87</v>
      </c>
      <c r="G1178" s="21">
        <v>4.0496718333333321</v>
      </c>
      <c r="H1178" s="21">
        <v>7.5</v>
      </c>
      <c r="I1178" s="25">
        <v>0.18074375555555566</v>
      </c>
      <c r="J1178" s="21">
        <v>0.75</v>
      </c>
      <c r="K1178" s="21">
        <v>0.35962916666666672</v>
      </c>
      <c r="L1178" s="21">
        <v>0.52500000000000002</v>
      </c>
      <c r="M1178" s="17" t="s">
        <v>120</v>
      </c>
      <c r="N1178" s="17" t="s">
        <v>117</v>
      </c>
      <c r="O1178" s="21">
        <v>0.375</v>
      </c>
      <c r="P1178" s="21">
        <v>0.96975</v>
      </c>
    </row>
    <row r="1179" spans="1:16" ht="16.5" x14ac:dyDescent="0.25">
      <c r="A1179" s="2"/>
      <c r="B1179" s="4"/>
      <c r="C1179" s="18"/>
      <c r="E1179" s="20">
        <v>44579</v>
      </c>
      <c r="F1179" s="17" t="s">
        <v>87</v>
      </c>
      <c r="G1179" s="21">
        <v>4.0496718333333321</v>
      </c>
      <c r="H1179" s="21">
        <v>7</v>
      </c>
      <c r="I1179" s="25">
        <v>0.14217545238095253</v>
      </c>
      <c r="J1179" s="21">
        <v>0.70000000000000007</v>
      </c>
      <c r="K1179" s="21">
        <v>0.35962916666666672</v>
      </c>
      <c r="L1179" s="21">
        <v>0.49000000000000005</v>
      </c>
      <c r="M1179" s="17" t="s">
        <v>113</v>
      </c>
      <c r="N1179" s="17" t="s">
        <v>117</v>
      </c>
      <c r="O1179" s="21">
        <v>0.35000000000000003</v>
      </c>
      <c r="P1179" s="21">
        <v>0.90510000000000002</v>
      </c>
    </row>
    <row r="1180" spans="1:16" ht="16.5" x14ac:dyDescent="0.25">
      <c r="A1180" s="2"/>
      <c r="B1180" s="4"/>
      <c r="C1180" s="18"/>
      <c r="E1180" s="20">
        <v>44579</v>
      </c>
      <c r="F1180" s="17" t="s">
        <v>87</v>
      </c>
      <c r="G1180" s="21">
        <v>4.4093009999999992</v>
      </c>
      <c r="H1180" s="21">
        <v>7.5</v>
      </c>
      <c r="I1180" s="25">
        <v>0.26209320000000008</v>
      </c>
      <c r="J1180" s="21">
        <v>0.75</v>
      </c>
      <c r="K1180" s="21">
        <v>0.35962916666666672</v>
      </c>
      <c r="L1180" s="21">
        <v>0</v>
      </c>
      <c r="M1180" s="17" t="s">
        <v>122</v>
      </c>
      <c r="N1180" s="17" t="s">
        <v>115</v>
      </c>
      <c r="O1180" s="21">
        <v>0.375</v>
      </c>
      <c r="P1180" s="21">
        <v>0</v>
      </c>
    </row>
    <row r="1181" spans="1:16" ht="16.5" x14ac:dyDescent="0.25">
      <c r="A1181" s="2"/>
      <c r="B1181" s="4"/>
      <c r="C1181" s="18"/>
      <c r="E1181" s="20">
        <v>44579</v>
      </c>
      <c r="F1181" s="17" t="s">
        <v>87</v>
      </c>
      <c r="G1181" s="21">
        <v>4.4093009999999992</v>
      </c>
      <c r="H1181" s="21">
        <v>7</v>
      </c>
      <c r="I1181" s="25">
        <v>0.22009985714285721</v>
      </c>
      <c r="J1181" s="21">
        <v>0.70000000000000007</v>
      </c>
      <c r="K1181" s="21">
        <v>0.35962916666666672</v>
      </c>
      <c r="L1181" s="21">
        <v>0</v>
      </c>
      <c r="M1181" s="17" t="s">
        <v>121</v>
      </c>
      <c r="N1181" s="17" t="s">
        <v>115</v>
      </c>
      <c r="O1181" s="21">
        <v>0.35000000000000003</v>
      </c>
      <c r="P1181" s="21">
        <v>0</v>
      </c>
    </row>
    <row r="1182" spans="1:16" ht="16.5" x14ac:dyDescent="0.25">
      <c r="A1182" s="2"/>
      <c r="B1182" s="4"/>
      <c r="C1182" s="18"/>
      <c r="E1182" s="20">
        <v>44579</v>
      </c>
      <c r="F1182" s="17" t="s">
        <v>87</v>
      </c>
      <c r="G1182" s="21">
        <v>4.4093009999999992</v>
      </c>
      <c r="H1182" s="21">
        <v>6.5</v>
      </c>
      <c r="I1182" s="25">
        <v>0.1716460000000001</v>
      </c>
      <c r="J1182" s="21">
        <v>0.65</v>
      </c>
      <c r="K1182" s="21">
        <v>0.35962916666666672</v>
      </c>
      <c r="L1182" s="21">
        <v>0</v>
      </c>
      <c r="M1182" s="17" t="s">
        <v>120</v>
      </c>
      <c r="N1182" s="17" t="s">
        <v>115</v>
      </c>
      <c r="O1182" s="21">
        <v>0.32500000000000001</v>
      </c>
      <c r="P1182" s="21">
        <v>0</v>
      </c>
    </row>
    <row r="1183" spans="1:16" ht="16.5" x14ac:dyDescent="0.25">
      <c r="A1183" s="2"/>
      <c r="B1183" s="4"/>
      <c r="C1183" s="18"/>
      <c r="E1183" s="20">
        <v>44579</v>
      </c>
      <c r="F1183" s="17" t="s">
        <v>87</v>
      </c>
      <c r="G1183" s="21">
        <v>4.4093009999999992</v>
      </c>
      <c r="H1183" s="21">
        <v>6</v>
      </c>
      <c r="I1183" s="25">
        <v>0.11511650000000011</v>
      </c>
      <c r="J1183" s="21">
        <v>0.60000000000000009</v>
      </c>
      <c r="K1183" s="21">
        <v>0.35962916666666672</v>
      </c>
      <c r="L1183" s="21">
        <v>0</v>
      </c>
      <c r="M1183" s="17" t="s">
        <v>113</v>
      </c>
      <c r="N1183" s="17" t="s">
        <v>115</v>
      </c>
      <c r="O1183" s="21">
        <v>0.30000000000000004</v>
      </c>
      <c r="P1183" s="21">
        <v>0</v>
      </c>
    </row>
    <row r="1184" spans="1:16" ht="16.5" x14ac:dyDescent="0.25">
      <c r="A1184" s="2"/>
      <c r="B1184" s="4"/>
      <c r="C1184" s="18"/>
      <c r="E1184" s="20">
        <v>44579</v>
      </c>
      <c r="F1184" s="17" t="s">
        <v>88</v>
      </c>
      <c r="G1184" s="21">
        <v>6.600230166666667</v>
      </c>
      <c r="H1184" s="21">
        <v>13</v>
      </c>
      <c r="I1184" s="25">
        <v>0.21298998717948719</v>
      </c>
      <c r="J1184" s="21">
        <v>1.3</v>
      </c>
      <c r="K1184" s="21">
        <v>0.47969583333333338</v>
      </c>
      <c r="L1184" s="21">
        <v>0.91000000000000014</v>
      </c>
      <c r="M1184" s="17" t="s">
        <v>122</v>
      </c>
      <c r="N1184" s="17" t="s">
        <v>117</v>
      </c>
      <c r="O1184" s="21">
        <v>0.65</v>
      </c>
      <c r="P1184" s="21">
        <v>1.6809000000000001</v>
      </c>
    </row>
    <row r="1185" spans="1:16" ht="16.5" x14ac:dyDescent="0.25">
      <c r="A1185" s="2"/>
      <c r="B1185" s="4"/>
      <c r="C1185" s="18"/>
      <c r="E1185" s="20">
        <v>44579</v>
      </c>
      <c r="F1185" s="17" t="s">
        <v>88</v>
      </c>
      <c r="G1185" s="21">
        <v>6.600230166666667</v>
      </c>
      <c r="H1185" s="21">
        <v>12.5</v>
      </c>
      <c r="I1185" s="25">
        <v>0.19268158666666657</v>
      </c>
      <c r="J1185" s="21">
        <v>1.25</v>
      </c>
      <c r="K1185" s="21">
        <v>0.47969583333333338</v>
      </c>
      <c r="L1185" s="21">
        <v>0.87500000000000011</v>
      </c>
      <c r="M1185" s="17" t="s">
        <v>121</v>
      </c>
      <c r="N1185" s="17" t="s">
        <v>117</v>
      </c>
      <c r="O1185" s="21">
        <v>0.625</v>
      </c>
      <c r="P1185" s="21">
        <v>1.61625</v>
      </c>
    </row>
    <row r="1186" spans="1:16" ht="16.5" x14ac:dyDescent="0.25">
      <c r="A1186" s="2"/>
      <c r="B1186" s="4"/>
      <c r="C1186" s="18"/>
      <c r="E1186" s="20">
        <v>44579</v>
      </c>
      <c r="F1186" s="17" t="s">
        <v>88</v>
      </c>
      <c r="G1186" s="21">
        <v>6.600230166666667</v>
      </c>
      <c r="H1186" s="21">
        <v>12</v>
      </c>
      <c r="I1186" s="25">
        <v>0.17068081944444435</v>
      </c>
      <c r="J1186" s="21">
        <v>1.2000000000000002</v>
      </c>
      <c r="K1186" s="21">
        <v>0.47969583333333338</v>
      </c>
      <c r="L1186" s="21">
        <v>0.84000000000000008</v>
      </c>
      <c r="M1186" s="17" t="s">
        <v>120</v>
      </c>
      <c r="N1186" s="17" t="s">
        <v>117</v>
      </c>
      <c r="O1186" s="21">
        <v>0.60000000000000009</v>
      </c>
      <c r="P1186" s="21">
        <v>1.5516000000000001</v>
      </c>
    </row>
    <row r="1187" spans="1:16" ht="16.5" x14ac:dyDescent="0.25">
      <c r="A1187" s="2"/>
      <c r="B1187" s="4"/>
      <c r="C1187" s="18"/>
      <c r="E1187" s="20">
        <v>44579</v>
      </c>
      <c r="F1187" s="17" t="s">
        <v>88</v>
      </c>
      <c r="G1187" s="21">
        <v>6.600230166666667</v>
      </c>
      <c r="H1187" s="21">
        <v>11.5</v>
      </c>
      <c r="I1187" s="25">
        <v>0.14676694202898544</v>
      </c>
      <c r="J1187" s="21">
        <v>1.1500000000000001</v>
      </c>
      <c r="K1187" s="21">
        <v>0.47969583333333338</v>
      </c>
      <c r="L1187" s="21">
        <v>0.80500000000000005</v>
      </c>
      <c r="M1187" s="17" t="s">
        <v>113</v>
      </c>
      <c r="N1187" s="17" t="s">
        <v>117</v>
      </c>
      <c r="O1187" s="21">
        <v>0.57500000000000007</v>
      </c>
      <c r="P1187" s="21">
        <v>1.48695</v>
      </c>
    </row>
    <row r="1188" spans="1:16" ht="16.5" x14ac:dyDescent="0.25">
      <c r="A1188" s="2"/>
      <c r="B1188" s="4"/>
      <c r="C1188" s="18"/>
      <c r="E1188" s="20">
        <v>44579</v>
      </c>
      <c r="F1188" s="17" t="s">
        <v>88</v>
      </c>
      <c r="G1188" s="21">
        <v>7.0799260000000004</v>
      </c>
      <c r="H1188" s="21">
        <v>11.5</v>
      </c>
      <c r="I1188" s="25">
        <v>0.23435426086956515</v>
      </c>
      <c r="J1188" s="21">
        <v>1.1500000000000001</v>
      </c>
      <c r="K1188" s="21">
        <v>0.47969583333333338</v>
      </c>
      <c r="L1188" s="21">
        <v>0</v>
      </c>
      <c r="M1188" s="17" t="s">
        <v>122</v>
      </c>
      <c r="N1188" s="17" t="s">
        <v>115</v>
      </c>
      <c r="O1188" s="21">
        <v>0.57500000000000007</v>
      </c>
      <c r="P1188" s="21">
        <v>0</v>
      </c>
    </row>
    <row r="1189" spans="1:16" ht="16.5" x14ac:dyDescent="0.25">
      <c r="A1189" s="2"/>
      <c r="B1189" s="4"/>
      <c r="C1189" s="18"/>
      <c r="E1189" s="20">
        <v>44579</v>
      </c>
      <c r="F1189" s="17" t="s">
        <v>88</v>
      </c>
      <c r="G1189" s="21">
        <v>7.0799260000000004</v>
      </c>
      <c r="H1189" s="21">
        <v>10.9</v>
      </c>
      <c r="I1189" s="25">
        <v>0.20046550458715598</v>
      </c>
      <c r="J1189" s="21">
        <v>1.0900000000000001</v>
      </c>
      <c r="K1189" s="21">
        <v>0.47969583333333338</v>
      </c>
      <c r="L1189" s="21">
        <v>0</v>
      </c>
      <c r="M1189" s="17" t="s">
        <v>121</v>
      </c>
      <c r="N1189" s="17" t="s">
        <v>115</v>
      </c>
      <c r="O1189" s="21">
        <v>0.54500000000000004</v>
      </c>
      <c r="P1189" s="21">
        <v>0</v>
      </c>
    </row>
    <row r="1190" spans="1:16" ht="16.5" x14ac:dyDescent="0.25">
      <c r="A1190" s="2"/>
      <c r="B1190" s="4"/>
      <c r="C1190" s="18"/>
      <c r="E1190" s="20">
        <v>44579</v>
      </c>
      <c r="F1190" s="17" t="s">
        <v>88</v>
      </c>
      <c r="G1190" s="21">
        <v>7.0799260000000004</v>
      </c>
      <c r="H1190" s="21">
        <v>10.5</v>
      </c>
      <c r="I1190" s="25">
        <v>0.17572133333333331</v>
      </c>
      <c r="J1190" s="21">
        <v>1.05</v>
      </c>
      <c r="K1190" s="21">
        <v>0.47969583333333338</v>
      </c>
      <c r="L1190" s="21">
        <v>0</v>
      </c>
      <c r="M1190" s="17" t="s">
        <v>120</v>
      </c>
      <c r="N1190" s="17" t="s">
        <v>115</v>
      </c>
      <c r="O1190" s="21">
        <v>0.52500000000000002</v>
      </c>
      <c r="P1190" s="21">
        <v>0</v>
      </c>
    </row>
    <row r="1191" spans="1:16" ht="16.5" x14ac:dyDescent="0.25">
      <c r="A1191" s="2"/>
      <c r="B1191" s="4"/>
      <c r="C1191" s="18"/>
      <c r="E1191" s="20">
        <v>44579</v>
      </c>
      <c r="F1191" s="17" t="s">
        <v>88</v>
      </c>
      <c r="G1191" s="21">
        <v>7.0799260000000004</v>
      </c>
      <c r="H1191" s="21">
        <v>9.5</v>
      </c>
      <c r="I1191" s="25">
        <v>0.10474463157894731</v>
      </c>
      <c r="J1191" s="21">
        <v>0.95000000000000007</v>
      </c>
      <c r="K1191" s="21">
        <v>0.47969583333333338</v>
      </c>
      <c r="L1191" s="21">
        <v>0</v>
      </c>
      <c r="M1191" s="17" t="s">
        <v>113</v>
      </c>
      <c r="N1191" s="17" t="s">
        <v>115</v>
      </c>
      <c r="O1191" s="21">
        <v>0.47500000000000003</v>
      </c>
      <c r="P1191" s="21">
        <v>0</v>
      </c>
    </row>
    <row r="1192" spans="1:16" ht="16.5" x14ac:dyDescent="0.25">
      <c r="A1192" s="2"/>
      <c r="B1192" s="4"/>
      <c r="C1192" s="18"/>
      <c r="E1192" s="20">
        <v>44579</v>
      </c>
      <c r="F1192" s="17" t="s">
        <v>88</v>
      </c>
      <c r="G1192" s="21">
        <v>7.0799260000000004</v>
      </c>
      <c r="H1192" s="21">
        <v>11.5</v>
      </c>
      <c r="I1192" s="25">
        <v>0.23435426086956515</v>
      </c>
      <c r="J1192" s="21">
        <v>1.1500000000000001</v>
      </c>
      <c r="K1192" s="21">
        <v>0.47969583333333338</v>
      </c>
      <c r="L1192" s="21">
        <v>0</v>
      </c>
      <c r="M1192" s="17" t="s">
        <v>113</v>
      </c>
      <c r="N1192" s="17" t="s">
        <v>115</v>
      </c>
      <c r="O1192" s="21">
        <v>0.57500000000000007</v>
      </c>
      <c r="P1192" s="21">
        <v>0</v>
      </c>
    </row>
    <row r="1193" spans="1:16" ht="16.5" x14ac:dyDescent="0.25">
      <c r="A1193" s="2"/>
      <c r="B1193" s="4"/>
      <c r="C1193" s="18"/>
      <c r="E1193" s="20">
        <v>44579</v>
      </c>
      <c r="F1193" s="17" t="s">
        <v>88</v>
      </c>
      <c r="G1193" s="21">
        <v>7.0799260000000004</v>
      </c>
      <c r="H1193" s="21">
        <v>11</v>
      </c>
      <c r="I1193" s="25">
        <v>0.2063703636363636</v>
      </c>
      <c r="J1193" s="21">
        <v>1.1000000000000001</v>
      </c>
      <c r="K1193" s="21">
        <v>0.47969583333333338</v>
      </c>
      <c r="L1193" s="21">
        <v>0</v>
      </c>
      <c r="M1193" s="17" t="s">
        <v>122</v>
      </c>
      <c r="N1193" s="17" t="s">
        <v>115</v>
      </c>
      <c r="O1193" s="21">
        <v>0.55000000000000004</v>
      </c>
      <c r="P1193" s="21">
        <v>0</v>
      </c>
    </row>
    <row r="1194" spans="1:16" ht="16.5" x14ac:dyDescent="0.25">
      <c r="A1194" s="2"/>
      <c r="B1194" s="4"/>
      <c r="C1194" s="18"/>
      <c r="E1194" s="20">
        <v>44579</v>
      </c>
      <c r="F1194" s="17" t="s">
        <v>88</v>
      </c>
      <c r="G1194" s="21">
        <v>7.0799260000000004</v>
      </c>
      <c r="H1194" s="21">
        <v>10.5</v>
      </c>
      <c r="I1194" s="25">
        <v>0.17572133333333331</v>
      </c>
      <c r="J1194" s="21">
        <v>1.05</v>
      </c>
      <c r="K1194" s="21">
        <v>0.47969583333333338</v>
      </c>
      <c r="L1194" s="21">
        <v>0</v>
      </c>
      <c r="M1194" s="17" t="s">
        <v>121</v>
      </c>
      <c r="N1194" s="17" t="s">
        <v>115</v>
      </c>
      <c r="O1194" s="21">
        <v>0.52500000000000002</v>
      </c>
      <c r="P1194" s="21">
        <v>0</v>
      </c>
    </row>
    <row r="1195" spans="1:16" ht="16.5" x14ac:dyDescent="0.25">
      <c r="A1195" s="2"/>
      <c r="B1195" s="4"/>
      <c r="C1195" s="18"/>
      <c r="E1195" s="20">
        <v>44579</v>
      </c>
      <c r="F1195" s="17" t="s">
        <v>88</v>
      </c>
      <c r="G1195" s="21">
        <v>7.0799260000000004</v>
      </c>
      <c r="H1195" s="21">
        <v>10</v>
      </c>
      <c r="I1195" s="25">
        <v>0.14200739999999995</v>
      </c>
      <c r="J1195" s="21">
        <v>1</v>
      </c>
      <c r="K1195" s="21">
        <v>0.47969583333333338</v>
      </c>
      <c r="L1195" s="21">
        <v>0</v>
      </c>
      <c r="M1195" s="17" t="s">
        <v>120</v>
      </c>
      <c r="N1195" s="17" t="s">
        <v>115</v>
      </c>
      <c r="O1195" s="21">
        <v>0.5</v>
      </c>
      <c r="P1195" s="21">
        <v>0</v>
      </c>
    </row>
    <row r="1196" spans="1:16" ht="16.5" x14ac:dyDescent="0.25">
      <c r="A1196" s="2"/>
      <c r="B1196" s="4"/>
      <c r="C1196" s="18"/>
      <c r="E1196" s="20">
        <v>44579</v>
      </c>
      <c r="F1196" s="17" t="s">
        <v>88</v>
      </c>
      <c r="G1196" s="21">
        <v>7.0799260000000004</v>
      </c>
      <c r="H1196" s="21">
        <v>9.5</v>
      </c>
      <c r="I1196" s="25">
        <v>0.10474463157894731</v>
      </c>
      <c r="J1196" s="21">
        <v>0.95000000000000007</v>
      </c>
      <c r="K1196" s="21">
        <v>0.47969583333333338</v>
      </c>
      <c r="L1196" s="21">
        <v>0</v>
      </c>
      <c r="M1196" s="17" t="s">
        <v>113</v>
      </c>
      <c r="N1196" s="17" t="s">
        <v>115</v>
      </c>
      <c r="O1196" s="21">
        <v>0.47500000000000003</v>
      </c>
      <c r="P1196" s="21">
        <v>0</v>
      </c>
    </row>
    <row r="1197" spans="1:16" ht="16.5" x14ac:dyDescent="0.25">
      <c r="A1197" s="2"/>
      <c r="B1197" s="4"/>
      <c r="C1197" s="18"/>
      <c r="E1197" s="20">
        <v>44579</v>
      </c>
      <c r="F1197" s="17" t="s">
        <v>86</v>
      </c>
      <c r="G1197" s="21">
        <v>7.3669176666666667</v>
      </c>
      <c r="H1197" s="21">
        <v>14</v>
      </c>
      <c r="I1197" s="25">
        <v>0.1944915952380952</v>
      </c>
      <c r="J1197" s="21">
        <v>1.4000000000000001</v>
      </c>
      <c r="K1197" s="21">
        <v>0.71925833333333344</v>
      </c>
      <c r="L1197" s="21">
        <v>0.98000000000000009</v>
      </c>
      <c r="M1197" s="17" t="s">
        <v>122</v>
      </c>
      <c r="N1197" s="17" t="s">
        <v>117</v>
      </c>
      <c r="O1197" s="21">
        <v>0.70000000000000007</v>
      </c>
      <c r="P1197" s="21">
        <v>1.8102</v>
      </c>
    </row>
    <row r="1198" spans="1:16" ht="16.5" x14ac:dyDescent="0.25">
      <c r="A1198" s="2"/>
      <c r="B1198" s="4"/>
      <c r="C1198" s="18"/>
      <c r="E1198" s="20">
        <v>44579</v>
      </c>
      <c r="F1198" s="17" t="s">
        <v>86</v>
      </c>
      <c r="G1198" s="21">
        <v>7.3669176666666667</v>
      </c>
      <c r="H1198" s="21">
        <v>13.5</v>
      </c>
      <c r="I1198" s="25">
        <v>0.17500239506172843</v>
      </c>
      <c r="J1198" s="21">
        <v>1.35</v>
      </c>
      <c r="K1198" s="21">
        <v>0.71925833333333344</v>
      </c>
      <c r="L1198" s="21">
        <v>0.94500000000000006</v>
      </c>
      <c r="M1198" s="17" t="s">
        <v>121</v>
      </c>
      <c r="N1198" s="17" t="s">
        <v>117</v>
      </c>
      <c r="O1198" s="21">
        <v>0.67500000000000004</v>
      </c>
      <c r="P1198" s="21">
        <v>1.7455499999999999</v>
      </c>
    </row>
    <row r="1199" spans="1:16" ht="16.5" x14ac:dyDescent="0.25">
      <c r="A1199" s="2"/>
      <c r="B1199" s="4"/>
      <c r="C1199" s="18"/>
      <c r="E1199" s="20">
        <v>44579</v>
      </c>
      <c r="F1199" s="17" t="s">
        <v>86</v>
      </c>
      <c r="G1199" s="21">
        <v>7.3669176666666667</v>
      </c>
      <c r="H1199" s="21">
        <v>13</v>
      </c>
      <c r="I1199" s="25">
        <v>0.15401402564102568</v>
      </c>
      <c r="J1199" s="21">
        <v>1.3</v>
      </c>
      <c r="K1199" s="21">
        <v>0.71925833333333344</v>
      </c>
      <c r="L1199" s="21">
        <v>0.91000000000000014</v>
      </c>
      <c r="M1199" s="17" t="s">
        <v>120</v>
      </c>
      <c r="N1199" s="17" t="s">
        <v>117</v>
      </c>
      <c r="O1199" s="21">
        <v>0.65</v>
      </c>
      <c r="P1199" s="21">
        <v>1.6809000000000001</v>
      </c>
    </row>
    <row r="1200" spans="1:16" ht="16.5" x14ac:dyDescent="0.25">
      <c r="A1200" s="2"/>
      <c r="B1200" s="4"/>
      <c r="C1200" s="18"/>
      <c r="E1200" s="20">
        <v>44579</v>
      </c>
      <c r="F1200" s="17" t="s">
        <v>86</v>
      </c>
      <c r="G1200" s="21">
        <v>7.3669176666666667</v>
      </c>
      <c r="H1200" s="21">
        <v>12.5</v>
      </c>
      <c r="I1200" s="25">
        <v>0.1313465866666666</v>
      </c>
      <c r="J1200" s="21">
        <v>1.25</v>
      </c>
      <c r="K1200" s="21">
        <v>0.71925833333333344</v>
      </c>
      <c r="L1200" s="21">
        <v>0.87500000000000011</v>
      </c>
      <c r="M1200" s="17" t="s">
        <v>113</v>
      </c>
      <c r="N1200" s="17" t="s">
        <v>117</v>
      </c>
      <c r="O1200" s="21">
        <v>0.625</v>
      </c>
      <c r="P1200" s="21">
        <v>1.61625</v>
      </c>
    </row>
    <row r="1201" spans="1:16" ht="16.5" x14ac:dyDescent="0.25">
      <c r="A1201" s="2"/>
      <c r="B1201" s="4"/>
      <c r="C1201" s="18"/>
      <c r="E1201" s="20">
        <v>44579</v>
      </c>
      <c r="F1201" s="17" t="s">
        <v>86</v>
      </c>
      <c r="G1201" s="21">
        <v>8.086176</v>
      </c>
      <c r="H1201" s="21">
        <v>12.5</v>
      </c>
      <c r="I1201" s="25">
        <v>0.20310592</v>
      </c>
      <c r="J1201" s="21">
        <v>1.25</v>
      </c>
      <c r="K1201" s="21">
        <v>0.71925833333333344</v>
      </c>
      <c r="L1201" s="21">
        <v>0</v>
      </c>
      <c r="M1201" s="17" t="s">
        <v>122</v>
      </c>
      <c r="N1201" s="17" t="s">
        <v>115</v>
      </c>
      <c r="O1201" s="21">
        <v>0.625</v>
      </c>
      <c r="P1201" s="21">
        <v>0</v>
      </c>
    </row>
    <row r="1202" spans="1:16" ht="16.5" x14ac:dyDescent="0.25">
      <c r="A1202" s="2"/>
      <c r="B1202" s="4"/>
      <c r="C1202" s="18"/>
      <c r="E1202" s="20">
        <v>44579</v>
      </c>
      <c r="F1202" s="17" t="s">
        <v>86</v>
      </c>
      <c r="G1202" s="21">
        <v>8.086176</v>
      </c>
      <c r="H1202" s="21">
        <v>11.9</v>
      </c>
      <c r="I1202" s="25">
        <v>0.17048941176470589</v>
      </c>
      <c r="J1202" s="21">
        <v>1.1900000000000002</v>
      </c>
      <c r="K1202" s="21">
        <v>0.71925833333333344</v>
      </c>
      <c r="L1202" s="21">
        <v>0</v>
      </c>
      <c r="M1202" s="17" t="s">
        <v>121</v>
      </c>
      <c r="N1202" s="17" t="s">
        <v>115</v>
      </c>
      <c r="O1202" s="21">
        <v>0.59500000000000008</v>
      </c>
      <c r="P1202" s="21">
        <v>0</v>
      </c>
    </row>
    <row r="1203" spans="1:16" ht="16.5" x14ac:dyDescent="0.25">
      <c r="A1203" s="2"/>
      <c r="B1203" s="4"/>
      <c r="C1203" s="18"/>
      <c r="E1203" s="20">
        <v>44579</v>
      </c>
      <c r="F1203" s="17" t="s">
        <v>86</v>
      </c>
      <c r="G1203" s="21">
        <v>8.086176</v>
      </c>
      <c r="H1203" s="21">
        <v>11.5</v>
      </c>
      <c r="I1203" s="25">
        <v>0.14685426086956518</v>
      </c>
      <c r="J1203" s="21">
        <v>1.1500000000000001</v>
      </c>
      <c r="K1203" s="21">
        <v>0.71925833333333344</v>
      </c>
      <c r="L1203" s="21">
        <v>0</v>
      </c>
      <c r="M1203" s="17" t="s">
        <v>120</v>
      </c>
      <c r="N1203" s="17" t="s">
        <v>115</v>
      </c>
      <c r="O1203" s="21">
        <v>0.57500000000000007</v>
      </c>
      <c r="P1203" s="21">
        <v>0</v>
      </c>
    </row>
    <row r="1204" spans="1:16" ht="16.5" x14ac:dyDescent="0.25">
      <c r="A1204" s="2"/>
      <c r="B1204" s="4"/>
      <c r="C1204" s="18"/>
      <c r="E1204" s="20">
        <v>44579</v>
      </c>
      <c r="F1204" s="17" t="s">
        <v>86</v>
      </c>
      <c r="G1204" s="21">
        <v>8.086176</v>
      </c>
      <c r="H1204" s="21">
        <v>10.5</v>
      </c>
      <c r="I1204" s="25">
        <v>7.9888000000000001E-2</v>
      </c>
      <c r="J1204" s="21">
        <v>1.05</v>
      </c>
      <c r="K1204" s="21">
        <v>0.71925833333333344</v>
      </c>
      <c r="L1204" s="21">
        <v>0</v>
      </c>
      <c r="M1204" s="17" t="s">
        <v>113</v>
      </c>
      <c r="N1204" s="17" t="s">
        <v>115</v>
      </c>
      <c r="O1204" s="21">
        <v>0.52500000000000002</v>
      </c>
      <c r="P1204" s="21">
        <v>0</v>
      </c>
    </row>
    <row r="1205" spans="1:16" ht="16.5" x14ac:dyDescent="0.25">
      <c r="A1205" s="2"/>
      <c r="B1205" s="4"/>
      <c r="C1205" s="18"/>
      <c r="E1205" s="20">
        <v>44579</v>
      </c>
      <c r="F1205" s="17" t="s">
        <v>86</v>
      </c>
      <c r="G1205" s="21">
        <v>8.086176</v>
      </c>
      <c r="H1205" s="21">
        <v>9.5</v>
      </c>
      <c r="I1205" s="25">
        <v>0.14882357894736842</v>
      </c>
      <c r="J1205" s="21">
        <v>0</v>
      </c>
      <c r="K1205" s="21">
        <v>0.71925833333333344</v>
      </c>
      <c r="L1205" s="21">
        <v>0</v>
      </c>
      <c r="M1205" s="17" t="s">
        <v>113</v>
      </c>
      <c r="N1205" s="17" t="s">
        <v>115</v>
      </c>
      <c r="O1205" s="21">
        <v>0</v>
      </c>
      <c r="P1205" s="21">
        <v>0</v>
      </c>
    </row>
    <row r="1206" spans="1:16" ht="16.5" x14ac:dyDescent="0.25">
      <c r="A1206" s="2"/>
      <c r="B1206" s="4"/>
      <c r="C1206" s="18"/>
      <c r="E1206" s="20">
        <v>44579</v>
      </c>
      <c r="F1206" s="17" t="s">
        <v>100</v>
      </c>
      <c r="G1206" s="21">
        <v>15.324999999999999</v>
      </c>
      <c r="H1206" s="21">
        <v>25.8</v>
      </c>
      <c r="I1206" s="25">
        <v>0.20100775193798454</v>
      </c>
      <c r="J1206" s="21">
        <v>2.58</v>
      </c>
      <c r="K1206" s="21">
        <v>0.1875</v>
      </c>
      <c r="L1206" s="21">
        <v>1.419</v>
      </c>
      <c r="M1206" s="17" t="s">
        <v>122</v>
      </c>
      <c r="N1206" s="17" t="s">
        <v>116</v>
      </c>
      <c r="O1206" s="21">
        <v>1.29</v>
      </c>
      <c r="P1206" s="21">
        <v>1.419</v>
      </c>
    </row>
    <row r="1207" spans="1:16" ht="16.5" x14ac:dyDescent="0.25">
      <c r="A1207" s="2"/>
      <c r="B1207" s="4"/>
      <c r="C1207" s="18"/>
      <c r="E1207" s="20">
        <v>44579</v>
      </c>
      <c r="F1207" s="17" t="s">
        <v>100</v>
      </c>
      <c r="G1207" s="21">
        <v>15.324999999999999</v>
      </c>
      <c r="H1207" s="21">
        <v>24.9</v>
      </c>
      <c r="I1207" s="25">
        <v>0.17953815261044179</v>
      </c>
      <c r="J1207" s="21">
        <v>2.4900000000000002</v>
      </c>
      <c r="K1207" s="21">
        <v>0.1875</v>
      </c>
      <c r="L1207" s="21">
        <v>1.3694999999999999</v>
      </c>
      <c r="M1207" s="17" t="s">
        <v>121</v>
      </c>
      <c r="N1207" s="17" t="s">
        <v>116</v>
      </c>
      <c r="O1207" s="21">
        <v>1.2450000000000001</v>
      </c>
      <c r="P1207" s="21">
        <v>1.3694999999999999</v>
      </c>
    </row>
    <row r="1208" spans="1:16" ht="16.5" x14ac:dyDescent="0.25">
      <c r="A1208" s="2"/>
      <c r="B1208" s="4"/>
      <c r="C1208" s="18"/>
      <c r="E1208" s="20">
        <v>44579</v>
      </c>
      <c r="F1208" s="17" t="s">
        <v>100</v>
      </c>
      <c r="G1208" s="21">
        <v>15.324999999999999</v>
      </c>
      <c r="H1208" s="21">
        <v>23.8</v>
      </c>
      <c r="I1208" s="25">
        <v>0.15109243697478988</v>
      </c>
      <c r="J1208" s="21">
        <v>2.3800000000000003</v>
      </c>
      <c r="K1208" s="21">
        <v>0.1875</v>
      </c>
      <c r="L1208" s="21">
        <v>1.3089999999999999</v>
      </c>
      <c r="M1208" s="17" t="s">
        <v>120</v>
      </c>
      <c r="N1208" s="17" t="s">
        <v>116</v>
      </c>
      <c r="O1208" s="21">
        <v>1.1900000000000002</v>
      </c>
      <c r="P1208" s="21">
        <v>1.3089999999999999</v>
      </c>
    </row>
    <row r="1209" spans="1:16" ht="16.5" x14ac:dyDescent="0.25">
      <c r="A1209" s="2"/>
      <c r="B1209" s="4"/>
      <c r="C1209" s="18"/>
      <c r="E1209" s="20">
        <v>44579</v>
      </c>
      <c r="F1209" s="17" t="s">
        <v>100</v>
      </c>
      <c r="G1209" s="21">
        <v>15.324999999999999</v>
      </c>
      <c r="H1209" s="21">
        <v>22.1</v>
      </c>
      <c r="I1209" s="25">
        <v>0.1015610859728508</v>
      </c>
      <c r="J1209" s="21">
        <v>2.2100000000000004</v>
      </c>
      <c r="K1209" s="21">
        <v>0.1875</v>
      </c>
      <c r="L1209" s="21">
        <v>1.2155</v>
      </c>
      <c r="M1209" s="17" t="s">
        <v>113</v>
      </c>
      <c r="N1209" s="17" t="s">
        <v>116</v>
      </c>
      <c r="O1209" s="21">
        <v>1.1050000000000002</v>
      </c>
      <c r="P1209" s="21">
        <v>1.2155</v>
      </c>
    </row>
    <row r="1210" spans="1:16" ht="16.5" x14ac:dyDescent="0.25">
      <c r="A1210" s="2"/>
      <c r="B1210" s="4"/>
      <c r="C1210" s="18"/>
      <c r="E1210" s="20">
        <v>44579</v>
      </c>
      <c r="F1210" s="17" t="s">
        <v>100</v>
      </c>
      <c r="G1210" s="21">
        <v>15.324999999999999</v>
      </c>
      <c r="H1210" s="21">
        <v>32.6</v>
      </c>
      <c r="I1210" s="25">
        <v>0.20060797546012277</v>
      </c>
      <c r="J1210" s="21">
        <v>3.2600000000000002</v>
      </c>
      <c r="K1210" s="21">
        <v>0.1875</v>
      </c>
      <c r="L1210" s="21">
        <v>3.9119999999999999</v>
      </c>
      <c r="M1210" s="17" t="s">
        <v>122</v>
      </c>
      <c r="N1210" s="17" t="s">
        <v>117</v>
      </c>
      <c r="O1210" s="21">
        <v>1.6300000000000001</v>
      </c>
      <c r="P1210" s="21">
        <v>5.8451800000000009</v>
      </c>
    </row>
    <row r="1211" spans="1:16" ht="16.5" x14ac:dyDescent="0.25">
      <c r="A1211" s="2"/>
      <c r="B1211" s="4"/>
      <c r="C1211" s="18"/>
      <c r="E1211" s="20">
        <v>44579</v>
      </c>
      <c r="F1211" s="17" t="s">
        <v>100</v>
      </c>
      <c r="G1211" s="21">
        <v>15.324999999999999</v>
      </c>
      <c r="H1211" s="21">
        <v>31.2</v>
      </c>
      <c r="I1211" s="25">
        <v>0.17951410256410258</v>
      </c>
      <c r="J1211" s="21">
        <v>3.12</v>
      </c>
      <c r="K1211" s="21">
        <v>0.1875</v>
      </c>
      <c r="L1211" s="21">
        <v>3.7439999999999998</v>
      </c>
      <c r="M1211" s="17" t="s">
        <v>121</v>
      </c>
      <c r="N1211" s="17" t="s">
        <v>117</v>
      </c>
      <c r="O1211" s="21">
        <v>1.56</v>
      </c>
      <c r="P1211" s="21">
        <v>5.5941600000000005</v>
      </c>
    </row>
    <row r="1212" spans="1:16" ht="16.5" x14ac:dyDescent="0.25">
      <c r="A1212" s="2"/>
      <c r="B1212" s="4"/>
      <c r="C1212" s="18"/>
      <c r="E1212" s="20">
        <v>44579</v>
      </c>
      <c r="F1212" s="17" t="s">
        <v>100</v>
      </c>
      <c r="G1212" s="21">
        <v>15.324999999999999</v>
      </c>
      <c r="H1212" s="21">
        <v>29.4</v>
      </c>
      <c r="I1212" s="25">
        <v>0.14944149659863945</v>
      </c>
      <c r="J1212" s="21">
        <v>2.94</v>
      </c>
      <c r="K1212" s="21">
        <v>0.1875</v>
      </c>
      <c r="L1212" s="21">
        <v>3.5279999999999996</v>
      </c>
      <c r="M1212" s="17" t="s">
        <v>120</v>
      </c>
      <c r="N1212" s="17" t="s">
        <v>117</v>
      </c>
      <c r="O1212" s="21">
        <v>1.47</v>
      </c>
      <c r="P1212" s="21">
        <v>5.27142</v>
      </c>
    </row>
    <row r="1213" spans="1:16" ht="16.5" x14ac:dyDescent="0.25">
      <c r="A1213" s="2"/>
      <c r="B1213" s="4"/>
      <c r="C1213" s="18"/>
      <c r="E1213" s="20">
        <v>44579</v>
      </c>
      <c r="F1213" s="17" t="s">
        <v>100</v>
      </c>
      <c r="G1213" s="21">
        <v>15.324999999999999</v>
      </c>
      <c r="H1213" s="21">
        <v>26.9</v>
      </c>
      <c r="I1213" s="25">
        <v>0.10099739776951668</v>
      </c>
      <c r="J1213" s="21">
        <v>2.69</v>
      </c>
      <c r="K1213" s="21">
        <v>0.1875</v>
      </c>
      <c r="L1213" s="21">
        <v>3.2279999999999998</v>
      </c>
      <c r="M1213" s="17" t="s">
        <v>113</v>
      </c>
      <c r="N1213" s="17" t="s">
        <v>117</v>
      </c>
      <c r="O1213" s="21">
        <v>1.345</v>
      </c>
      <c r="P1213" s="21">
        <v>4.8231700000000002</v>
      </c>
    </row>
    <row r="1214" spans="1:16" ht="16.5" x14ac:dyDescent="0.25">
      <c r="A1214" s="2"/>
      <c r="B1214" s="4"/>
      <c r="C1214" s="18"/>
      <c r="E1214" s="20">
        <v>44579</v>
      </c>
      <c r="F1214" s="17" t="s">
        <v>100</v>
      </c>
      <c r="G1214" s="21">
        <v>15.512499999999999</v>
      </c>
      <c r="H1214" s="21">
        <v>23.9</v>
      </c>
      <c r="I1214" s="25">
        <v>0.20094142259414222</v>
      </c>
      <c r="J1214" s="21">
        <v>2.39</v>
      </c>
      <c r="K1214" s="21">
        <v>0.1875</v>
      </c>
      <c r="L1214" s="21">
        <v>0</v>
      </c>
      <c r="M1214" s="17" t="s">
        <v>122</v>
      </c>
      <c r="N1214" s="17" t="s">
        <v>115</v>
      </c>
      <c r="O1214" s="21">
        <v>1.1950000000000001</v>
      </c>
      <c r="P1214" s="21">
        <v>0</v>
      </c>
    </row>
    <row r="1215" spans="1:16" ht="16.5" x14ac:dyDescent="0.25">
      <c r="A1215" s="2"/>
      <c r="B1215" s="4"/>
      <c r="C1215" s="18"/>
      <c r="E1215" s="20">
        <v>44579</v>
      </c>
      <c r="F1215" s="17" t="s">
        <v>100</v>
      </c>
      <c r="G1215" s="21">
        <v>15.512499999999999</v>
      </c>
      <c r="H1215" s="21">
        <v>23.2</v>
      </c>
      <c r="I1215" s="25">
        <v>0.18135775862068965</v>
      </c>
      <c r="J1215" s="21">
        <v>2.3199999999999998</v>
      </c>
      <c r="K1215" s="21">
        <v>0.1875</v>
      </c>
      <c r="L1215" s="21">
        <v>0</v>
      </c>
      <c r="M1215" s="17" t="s">
        <v>121</v>
      </c>
      <c r="N1215" s="17" t="s">
        <v>115</v>
      </c>
      <c r="O1215" s="21">
        <v>1.1599999999999999</v>
      </c>
      <c r="P1215" s="21">
        <v>0</v>
      </c>
    </row>
    <row r="1216" spans="1:16" ht="16.5" x14ac:dyDescent="0.25">
      <c r="A1216" s="2"/>
      <c r="B1216" s="4"/>
      <c r="C1216" s="18"/>
      <c r="E1216" s="20">
        <v>44579</v>
      </c>
      <c r="F1216" s="17" t="s">
        <v>100</v>
      </c>
      <c r="G1216" s="21">
        <v>15.512499999999999</v>
      </c>
      <c r="H1216" s="21">
        <v>22.2</v>
      </c>
      <c r="I1216" s="25">
        <v>0.15123873873873872</v>
      </c>
      <c r="J1216" s="21">
        <v>2.2200000000000002</v>
      </c>
      <c r="K1216" s="21">
        <v>0.1875</v>
      </c>
      <c r="L1216" s="21">
        <v>0</v>
      </c>
      <c r="M1216" s="17" t="s">
        <v>120</v>
      </c>
      <c r="N1216" s="17" t="s">
        <v>115</v>
      </c>
      <c r="O1216" s="21">
        <v>1.1100000000000001</v>
      </c>
      <c r="P1216" s="21">
        <v>0</v>
      </c>
    </row>
    <row r="1217" spans="1:16" ht="16.5" x14ac:dyDescent="0.25">
      <c r="A1217" s="2"/>
      <c r="B1217" s="4"/>
      <c r="C1217" s="18"/>
      <c r="E1217" s="20">
        <v>44579</v>
      </c>
      <c r="F1217" s="17" t="s">
        <v>100</v>
      </c>
      <c r="G1217" s="21">
        <v>15.512499999999999</v>
      </c>
      <c r="H1217" s="21">
        <v>20.7</v>
      </c>
      <c r="I1217" s="25">
        <v>0.10060386473429953</v>
      </c>
      <c r="J1217" s="21">
        <v>2.0699999999999998</v>
      </c>
      <c r="K1217" s="21">
        <v>0.1875</v>
      </c>
      <c r="L1217" s="21">
        <v>0</v>
      </c>
      <c r="M1217" s="17" t="s">
        <v>113</v>
      </c>
      <c r="N1217" s="17" t="s">
        <v>115</v>
      </c>
      <c r="O1217" s="21">
        <v>1.0349999999999999</v>
      </c>
      <c r="P1217" s="21">
        <v>0</v>
      </c>
    </row>
    <row r="1218" spans="1:16" ht="16.5" x14ac:dyDescent="0.25">
      <c r="A1218" s="2"/>
      <c r="B1218" s="4"/>
      <c r="C1218" s="18"/>
      <c r="E1218" s="20">
        <v>44579</v>
      </c>
      <c r="F1218" s="17" t="s">
        <v>99</v>
      </c>
      <c r="G1218" s="21">
        <v>10.387499999999999</v>
      </c>
      <c r="H1218" s="21">
        <v>17.5</v>
      </c>
      <c r="I1218" s="25">
        <v>0.20142857142857154</v>
      </c>
      <c r="J1218" s="21">
        <v>1.75</v>
      </c>
      <c r="K1218" s="21">
        <v>0.125</v>
      </c>
      <c r="L1218" s="21">
        <v>0.96250000000000002</v>
      </c>
      <c r="M1218" s="17" t="s">
        <v>122</v>
      </c>
      <c r="N1218" s="17" t="s">
        <v>116</v>
      </c>
      <c r="O1218" s="21">
        <v>0.875</v>
      </c>
      <c r="P1218" s="21">
        <v>0.96250000000000002</v>
      </c>
    </row>
    <row r="1219" spans="1:16" ht="16.5" x14ac:dyDescent="0.25">
      <c r="A1219" s="2"/>
      <c r="B1219" s="4"/>
      <c r="C1219" s="18"/>
      <c r="E1219" s="20">
        <v>44579</v>
      </c>
      <c r="F1219" s="17" t="s">
        <v>99</v>
      </c>
      <c r="G1219" s="21">
        <v>10.387499999999999</v>
      </c>
      <c r="H1219" s="21">
        <v>16.899999999999999</v>
      </c>
      <c r="I1219" s="25">
        <v>0.18035502958579885</v>
      </c>
      <c r="J1219" s="21">
        <v>1.69</v>
      </c>
      <c r="K1219" s="21">
        <v>0.125</v>
      </c>
      <c r="L1219" s="21">
        <v>0.92949999999999988</v>
      </c>
      <c r="M1219" s="17" t="s">
        <v>121</v>
      </c>
      <c r="N1219" s="17" t="s">
        <v>116</v>
      </c>
      <c r="O1219" s="21">
        <v>0.84499999999999997</v>
      </c>
      <c r="P1219" s="21">
        <v>0.92949999999999988</v>
      </c>
    </row>
    <row r="1220" spans="1:16" ht="16.5" x14ac:dyDescent="0.25">
      <c r="A1220" s="2"/>
      <c r="B1220" s="4"/>
      <c r="C1220" s="18"/>
      <c r="E1220" s="20">
        <v>44579</v>
      </c>
      <c r="F1220" s="17" t="s">
        <v>99</v>
      </c>
      <c r="G1220" s="21">
        <v>10.387499999999999</v>
      </c>
      <c r="H1220" s="21">
        <v>16.100000000000001</v>
      </c>
      <c r="I1220" s="25">
        <v>0.14981366459627338</v>
      </c>
      <c r="J1220" s="21">
        <v>1.6100000000000003</v>
      </c>
      <c r="K1220" s="21">
        <v>0.125</v>
      </c>
      <c r="L1220" s="21">
        <v>0.88550000000000006</v>
      </c>
      <c r="M1220" s="17" t="s">
        <v>120</v>
      </c>
      <c r="N1220" s="17" t="s">
        <v>116</v>
      </c>
      <c r="O1220" s="21">
        <v>0.80500000000000016</v>
      </c>
      <c r="P1220" s="21">
        <v>0.88550000000000006</v>
      </c>
    </row>
    <row r="1221" spans="1:16" ht="16.5" x14ac:dyDescent="0.25">
      <c r="A1221" s="2"/>
      <c r="B1221" s="4"/>
      <c r="C1221" s="18"/>
      <c r="E1221" s="20">
        <v>44579</v>
      </c>
      <c r="F1221" s="17" t="s">
        <v>99</v>
      </c>
      <c r="G1221" s="21">
        <v>10.387499999999999</v>
      </c>
      <c r="H1221" s="21">
        <v>14.9</v>
      </c>
      <c r="I1221" s="25">
        <v>9.7852348993288665E-2</v>
      </c>
      <c r="J1221" s="21">
        <v>1.4900000000000002</v>
      </c>
      <c r="K1221" s="21">
        <v>0.125</v>
      </c>
      <c r="L1221" s="21">
        <v>0.81950000000000001</v>
      </c>
      <c r="M1221" s="17" t="s">
        <v>113</v>
      </c>
      <c r="N1221" s="17" t="s">
        <v>116</v>
      </c>
      <c r="O1221" s="21">
        <v>0.74500000000000011</v>
      </c>
      <c r="P1221" s="21">
        <v>0.81950000000000001</v>
      </c>
    </row>
    <row r="1222" spans="1:16" ht="16.5" x14ac:dyDescent="0.25">
      <c r="A1222" s="2"/>
      <c r="B1222" s="4"/>
      <c r="C1222" s="18"/>
      <c r="E1222" s="20">
        <v>44579</v>
      </c>
      <c r="F1222" s="17" t="s">
        <v>99</v>
      </c>
      <c r="G1222" s="21">
        <v>10.387499999999999</v>
      </c>
      <c r="H1222" s="21">
        <v>22.1</v>
      </c>
      <c r="I1222" s="25">
        <v>0.20067737556561083</v>
      </c>
      <c r="J1222" s="21">
        <v>2.2100000000000004</v>
      </c>
      <c r="K1222" s="21">
        <v>0.125</v>
      </c>
      <c r="L1222" s="21">
        <v>2.6520000000000001</v>
      </c>
      <c r="M1222" s="17" t="s">
        <v>122</v>
      </c>
      <c r="N1222" s="17" t="s">
        <v>117</v>
      </c>
      <c r="O1222" s="21">
        <v>1.1050000000000002</v>
      </c>
      <c r="P1222" s="21">
        <v>3.9625300000000006</v>
      </c>
    </row>
    <row r="1223" spans="1:16" ht="16.5" x14ac:dyDescent="0.25">
      <c r="A1223" s="2"/>
      <c r="B1223" s="4"/>
      <c r="C1223" s="18"/>
      <c r="E1223" s="20">
        <v>44579</v>
      </c>
      <c r="F1223" s="17" t="s">
        <v>99</v>
      </c>
      <c r="G1223" s="21">
        <v>10.387499999999999</v>
      </c>
      <c r="H1223" s="21">
        <v>21.2</v>
      </c>
      <c r="I1223" s="25">
        <v>0.18072358490566037</v>
      </c>
      <c r="J1223" s="21">
        <v>2.12</v>
      </c>
      <c r="K1223" s="21">
        <v>0.125</v>
      </c>
      <c r="L1223" s="21">
        <v>2.544</v>
      </c>
      <c r="M1223" s="17" t="s">
        <v>121</v>
      </c>
      <c r="N1223" s="17" t="s">
        <v>117</v>
      </c>
      <c r="O1223" s="21">
        <v>1.06</v>
      </c>
      <c r="P1223" s="21">
        <v>3.8011600000000003</v>
      </c>
    </row>
    <row r="1224" spans="1:16" ht="16.5" x14ac:dyDescent="0.25">
      <c r="A1224" s="2"/>
      <c r="B1224" s="4"/>
      <c r="C1224" s="18"/>
      <c r="E1224" s="20">
        <v>44579</v>
      </c>
      <c r="F1224" s="17" t="s">
        <v>99</v>
      </c>
      <c r="G1224" s="21">
        <v>10.387499999999999</v>
      </c>
      <c r="H1224" s="21">
        <v>19.899999999999999</v>
      </c>
      <c r="I1224" s="25">
        <v>0.14871507537688444</v>
      </c>
      <c r="J1224" s="21">
        <v>1.99</v>
      </c>
      <c r="K1224" s="21">
        <v>0.125</v>
      </c>
      <c r="L1224" s="21">
        <v>2.3879999999999999</v>
      </c>
      <c r="M1224" s="17" t="s">
        <v>120</v>
      </c>
      <c r="N1224" s="17" t="s">
        <v>117</v>
      </c>
      <c r="O1224" s="21">
        <v>0.995</v>
      </c>
      <c r="P1224" s="21">
        <v>3.5680700000000001</v>
      </c>
    </row>
    <row r="1225" spans="1:16" ht="16.5" x14ac:dyDescent="0.25">
      <c r="A1225" s="2"/>
      <c r="B1225" s="4"/>
      <c r="C1225" s="18"/>
      <c r="E1225" s="20">
        <v>44579</v>
      </c>
      <c r="F1225" s="17" t="s">
        <v>99</v>
      </c>
      <c r="G1225" s="21">
        <v>10.387499999999999</v>
      </c>
      <c r="H1225" s="21">
        <v>18.2</v>
      </c>
      <c r="I1225" s="25">
        <v>9.9958241758241709E-2</v>
      </c>
      <c r="J1225" s="21">
        <v>1.82</v>
      </c>
      <c r="K1225" s="21">
        <v>0.125</v>
      </c>
      <c r="L1225" s="21">
        <v>2.1839999999999997</v>
      </c>
      <c r="M1225" s="17" t="s">
        <v>113</v>
      </c>
      <c r="N1225" s="17" t="s">
        <v>117</v>
      </c>
      <c r="O1225" s="21">
        <v>0.91</v>
      </c>
      <c r="P1225" s="21">
        <v>3.2632600000000003</v>
      </c>
    </row>
    <row r="1226" spans="1:16" ht="16.5" x14ac:dyDescent="0.25">
      <c r="A1226" s="2"/>
      <c r="B1226" s="4"/>
      <c r="C1226" s="18"/>
      <c r="E1226" s="20">
        <v>44579</v>
      </c>
      <c r="F1226" s="17" t="s">
        <v>99</v>
      </c>
      <c r="G1226" s="21">
        <v>10.512499999999999</v>
      </c>
      <c r="H1226" s="21">
        <v>16.2</v>
      </c>
      <c r="I1226" s="25">
        <v>0.20108024691358023</v>
      </c>
      <c r="J1226" s="21">
        <v>1.62</v>
      </c>
      <c r="K1226" s="21">
        <v>0.125</v>
      </c>
      <c r="L1226" s="21">
        <v>0</v>
      </c>
      <c r="M1226" s="17" t="s">
        <v>122</v>
      </c>
      <c r="N1226" s="17" t="s">
        <v>115</v>
      </c>
      <c r="O1226" s="21">
        <v>0.81</v>
      </c>
      <c r="P1226" s="21">
        <v>0</v>
      </c>
    </row>
    <row r="1227" spans="1:16" ht="16.5" x14ac:dyDescent="0.25">
      <c r="A1227" s="2"/>
      <c r="B1227" s="4"/>
      <c r="C1227" s="18"/>
      <c r="E1227" s="20">
        <v>44579</v>
      </c>
      <c r="F1227" s="17" t="s">
        <v>99</v>
      </c>
      <c r="G1227" s="21">
        <v>10.512499999999999</v>
      </c>
      <c r="H1227" s="21">
        <v>15.7</v>
      </c>
      <c r="I1227" s="25">
        <v>0.18041401273885349</v>
      </c>
      <c r="J1227" s="21">
        <v>1.57</v>
      </c>
      <c r="K1227" s="21">
        <v>0.125</v>
      </c>
      <c r="L1227" s="21">
        <v>0</v>
      </c>
      <c r="M1227" s="17" t="s">
        <v>121</v>
      </c>
      <c r="N1227" s="17" t="s">
        <v>115</v>
      </c>
      <c r="O1227" s="21">
        <v>0.78500000000000003</v>
      </c>
      <c r="P1227" s="21">
        <v>0</v>
      </c>
    </row>
    <row r="1228" spans="1:16" ht="16.5" x14ac:dyDescent="0.25">
      <c r="A1228" s="2"/>
      <c r="B1228" s="4"/>
      <c r="C1228" s="18"/>
      <c r="E1228" s="20">
        <v>44579</v>
      </c>
      <c r="F1228" s="17" t="s">
        <v>99</v>
      </c>
      <c r="G1228" s="21">
        <v>10.512499999999999</v>
      </c>
      <c r="H1228" s="21">
        <v>15</v>
      </c>
      <c r="I1228" s="25">
        <v>0.14916666666666673</v>
      </c>
      <c r="J1228" s="21">
        <v>1.5</v>
      </c>
      <c r="K1228" s="21">
        <v>0.125</v>
      </c>
      <c r="L1228" s="21">
        <v>0</v>
      </c>
      <c r="M1228" s="17" t="s">
        <v>120</v>
      </c>
      <c r="N1228" s="17" t="s">
        <v>115</v>
      </c>
      <c r="O1228" s="21">
        <v>0.75</v>
      </c>
      <c r="P1228" s="21">
        <v>0</v>
      </c>
    </row>
    <row r="1229" spans="1:16" ht="16.5" x14ac:dyDescent="0.25">
      <c r="A1229" s="2"/>
      <c r="B1229" s="4"/>
      <c r="C1229" s="18"/>
      <c r="E1229" s="20">
        <v>44579</v>
      </c>
      <c r="F1229" s="17" t="s">
        <v>99</v>
      </c>
      <c r="G1229" s="21">
        <v>10.512499999999999</v>
      </c>
      <c r="H1229" s="21">
        <v>14</v>
      </c>
      <c r="I1229" s="25">
        <v>9.910714285714288E-2</v>
      </c>
      <c r="J1229" s="21">
        <v>1.4000000000000001</v>
      </c>
      <c r="K1229" s="21">
        <v>0.125</v>
      </c>
      <c r="L1229" s="21">
        <v>0</v>
      </c>
      <c r="M1229" s="17" t="s">
        <v>113</v>
      </c>
      <c r="N1229" s="17" t="s">
        <v>115</v>
      </c>
      <c r="O1229" s="21">
        <v>0.70000000000000007</v>
      </c>
      <c r="P1229" s="21">
        <v>0</v>
      </c>
    </row>
    <row r="1230" spans="1:16" ht="16.5" x14ac:dyDescent="0.25">
      <c r="A1230" s="2"/>
      <c r="B1230" s="4"/>
      <c r="C1230" s="18"/>
      <c r="E1230" s="20">
        <v>44575</v>
      </c>
      <c r="F1230" s="17" t="s">
        <v>144</v>
      </c>
      <c r="G1230" s="21">
        <v>5.8262499999999999</v>
      </c>
      <c r="H1230" s="21">
        <v>9.8000000000000007</v>
      </c>
      <c r="I1230" s="25">
        <v>0.20048469387755111</v>
      </c>
      <c r="J1230" s="21">
        <v>0.98000000000000009</v>
      </c>
      <c r="K1230" s="21">
        <v>7.375000000000001E-2</v>
      </c>
      <c r="L1230" s="21">
        <v>0.53900000000000003</v>
      </c>
      <c r="M1230" s="17" t="s">
        <v>122</v>
      </c>
      <c r="N1230" s="17" t="s">
        <v>116</v>
      </c>
      <c r="O1230" s="21">
        <v>0.49000000000000005</v>
      </c>
      <c r="P1230" s="21">
        <v>0.53900000000000003</v>
      </c>
    </row>
    <row r="1231" spans="1:16" ht="16.5" x14ac:dyDescent="0.25">
      <c r="A1231" s="2"/>
      <c r="B1231" s="4"/>
      <c r="C1231" s="18"/>
      <c r="E1231" s="20">
        <v>44575</v>
      </c>
      <c r="F1231" s="17" t="s">
        <v>144</v>
      </c>
      <c r="G1231" s="21">
        <v>5.8262499999999999</v>
      </c>
      <c r="H1231" s="21">
        <v>9.5</v>
      </c>
      <c r="I1231" s="25">
        <v>0.18171052631578935</v>
      </c>
      <c r="J1231" s="21">
        <v>0.95000000000000007</v>
      </c>
      <c r="K1231" s="21">
        <v>7.375000000000001E-2</v>
      </c>
      <c r="L1231" s="21">
        <v>0.52249999999999996</v>
      </c>
      <c r="M1231" s="17" t="s">
        <v>121</v>
      </c>
      <c r="N1231" s="17" t="s">
        <v>116</v>
      </c>
      <c r="O1231" s="21">
        <v>0.47500000000000003</v>
      </c>
      <c r="P1231" s="21">
        <v>0.52249999999999996</v>
      </c>
    </row>
    <row r="1232" spans="1:16" ht="16.5" x14ac:dyDescent="0.25">
      <c r="A1232" s="2"/>
      <c r="B1232" s="4"/>
      <c r="C1232" s="18"/>
      <c r="E1232" s="20">
        <v>44575</v>
      </c>
      <c r="F1232" s="17" t="s">
        <v>144</v>
      </c>
      <c r="G1232" s="21">
        <v>5.8262499999999999</v>
      </c>
      <c r="H1232" s="21">
        <v>9</v>
      </c>
      <c r="I1232" s="25">
        <v>0.14763888888888899</v>
      </c>
      <c r="J1232" s="21">
        <v>0.9</v>
      </c>
      <c r="K1232" s="21">
        <v>7.375000000000001E-2</v>
      </c>
      <c r="L1232" s="21">
        <v>0.495</v>
      </c>
      <c r="M1232" s="17" t="s">
        <v>120</v>
      </c>
      <c r="N1232" s="17" t="s">
        <v>116</v>
      </c>
      <c r="O1232" s="21">
        <v>0.45</v>
      </c>
      <c r="P1232" s="21">
        <v>0.495</v>
      </c>
    </row>
    <row r="1233" spans="1:16" ht="16.5" x14ac:dyDescent="0.25">
      <c r="A1233" s="2"/>
      <c r="B1233" s="4"/>
      <c r="C1233" s="18"/>
      <c r="E1233" s="20">
        <v>44575</v>
      </c>
      <c r="F1233" s="17" t="s">
        <v>144</v>
      </c>
      <c r="G1233" s="21">
        <v>5.8262499999999999</v>
      </c>
      <c r="H1233" s="21">
        <v>8.4</v>
      </c>
      <c r="I1233" s="25">
        <v>0.1013988095238096</v>
      </c>
      <c r="J1233" s="21">
        <v>0.84000000000000008</v>
      </c>
      <c r="K1233" s="21">
        <v>7.375000000000001E-2</v>
      </c>
      <c r="L1233" s="21">
        <v>0.46200000000000002</v>
      </c>
      <c r="M1233" s="17" t="s">
        <v>113</v>
      </c>
      <c r="N1233" s="17" t="s">
        <v>116</v>
      </c>
      <c r="O1233" s="21">
        <v>0.42000000000000004</v>
      </c>
      <c r="P1233" s="21">
        <v>0.46200000000000002</v>
      </c>
    </row>
    <row r="1234" spans="1:16" ht="16.5" x14ac:dyDescent="0.25">
      <c r="A1234" s="2"/>
      <c r="B1234" s="4"/>
      <c r="C1234" s="18"/>
      <c r="E1234" s="20">
        <v>44575</v>
      </c>
      <c r="F1234" s="17" t="s">
        <v>144</v>
      </c>
      <c r="G1234" s="21">
        <v>5.8262499999999999</v>
      </c>
      <c r="H1234" s="21">
        <v>11.5</v>
      </c>
      <c r="I1234" s="25">
        <v>0.20056956521739119</v>
      </c>
      <c r="J1234" s="21">
        <v>1.1500000000000001</v>
      </c>
      <c r="K1234" s="21">
        <v>7.375000000000001E-2</v>
      </c>
      <c r="L1234" s="21">
        <v>1.38</v>
      </c>
      <c r="M1234" s="17" t="s">
        <v>122</v>
      </c>
      <c r="N1234" s="17" t="s">
        <v>117</v>
      </c>
      <c r="O1234" s="21">
        <v>0.57500000000000007</v>
      </c>
      <c r="P1234" s="21">
        <v>1.6422000000000001</v>
      </c>
    </row>
    <row r="1235" spans="1:16" ht="16.5" x14ac:dyDescent="0.25">
      <c r="A1235" s="2"/>
      <c r="B1235" s="4"/>
      <c r="C1235" s="18"/>
      <c r="E1235" s="20">
        <v>44575</v>
      </c>
      <c r="F1235" s="17" t="s">
        <v>144</v>
      </c>
      <c r="G1235" s="21">
        <v>5.8262499999999999</v>
      </c>
      <c r="H1235" s="21">
        <v>11.1</v>
      </c>
      <c r="I1235" s="25">
        <v>0.18231261261261261</v>
      </c>
      <c r="J1235" s="21">
        <v>1.1100000000000001</v>
      </c>
      <c r="K1235" s="21">
        <v>7.375000000000001E-2</v>
      </c>
      <c r="L1235" s="21">
        <v>1.3319999999999999</v>
      </c>
      <c r="M1235" s="17" t="s">
        <v>121</v>
      </c>
      <c r="N1235" s="17" t="s">
        <v>117</v>
      </c>
      <c r="O1235" s="21">
        <v>0.55500000000000005</v>
      </c>
      <c r="P1235" s="21">
        <v>1.58508</v>
      </c>
    </row>
    <row r="1236" spans="1:16" ht="16.5" x14ac:dyDescent="0.25">
      <c r="A1236" s="2"/>
      <c r="B1236" s="4"/>
      <c r="C1236" s="18"/>
      <c r="E1236" s="20">
        <v>44575</v>
      </c>
      <c r="F1236" s="17" t="s">
        <v>144</v>
      </c>
      <c r="G1236" s="21">
        <v>5.8262499999999999</v>
      </c>
      <c r="H1236" s="21">
        <v>10.5</v>
      </c>
      <c r="I1236" s="25">
        <v>0.15231904761904766</v>
      </c>
      <c r="J1236" s="21">
        <v>1.05</v>
      </c>
      <c r="K1236" s="21">
        <v>7.375000000000001E-2</v>
      </c>
      <c r="L1236" s="21">
        <v>1.26</v>
      </c>
      <c r="M1236" s="17" t="s">
        <v>120</v>
      </c>
      <c r="N1236" s="17" t="s">
        <v>117</v>
      </c>
      <c r="O1236" s="21">
        <v>0.52500000000000002</v>
      </c>
      <c r="P1236" s="21">
        <v>1.4994000000000001</v>
      </c>
    </row>
    <row r="1237" spans="1:16" ht="16.5" x14ac:dyDescent="0.25">
      <c r="A1237" s="2"/>
      <c r="B1237" s="4"/>
      <c r="C1237" s="18"/>
      <c r="E1237" s="20">
        <v>44575</v>
      </c>
      <c r="F1237" s="17" t="s">
        <v>144</v>
      </c>
      <c r="G1237" s="21">
        <v>5.8262499999999999</v>
      </c>
      <c r="H1237" s="21">
        <v>9.6</v>
      </c>
      <c r="I1237" s="25">
        <v>0.10029895833333335</v>
      </c>
      <c r="J1237" s="21">
        <v>0.96</v>
      </c>
      <c r="K1237" s="21">
        <v>7.375000000000001E-2</v>
      </c>
      <c r="L1237" s="21">
        <v>1.1519999999999999</v>
      </c>
      <c r="M1237" s="17" t="s">
        <v>113</v>
      </c>
      <c r="N1237" s="17" t="s">
        <v>117</v>
      </c>
      <c r="O1237" s="21">
        <v>0.48</v>
      </c>
      <c r="P1237" s="21">
        <v>1.3708800000000001</v>
      </c>
    </row>
    <row r="1238" spans="1:16" ht="16.5" x14ac:dyDescent="0.25">
      <c r="A1238" s="2"/>
      <c r="B1238" s="4"/>
      <c r="C1238" s="18"/>
      <c r="E1238" s="20">
        <v>44575</v>
      </c>
      <c r="F1238" s="17" t="s">
        <v>144</v>
      </c>
      <c r="G1238" s="21">
        <v>5.9</v>
      </c>
      <c r="H1238" s="21">
        <v>9.1</v>
      </c>
      <c r="I1238" s="25">
        <v>0.20164835164835154</v>
      </c>
      <c r="J1238" s="21">
        <v>0.91</v>
      </c>
      <c r="K1238" s="21">
        <v>7.375000000000001E-2</v>
      </c>
      <c r="L1238" s="21">
        <v>0</v>
      </c>
      <c r="M1238" s="17" t="s">
        <v>122</v>
      </c>
      <c r="N1238" s="17" t="s">
        <v>115</v>
      </c>
      <c r="O1238" s="21">
        <v>0.45500000000000002</v>
      </c>
      <c r="P1238" s="21">
        <v>0</v>
      </c>
    </row>
    <row r="1239" spans="1:16" ht="16.5" x14ac:dyDescent="0.25">
      <c r="A1239" s="2"/>
      <c r="B1239" s="4"/>
      <c r="C1239" s="18"/>
      <c r="E1239" s="20">
        <v>44575</v>
      </c>
      <c r="F1239" s="17" t="s">
        <v>144</v>
      </c>
      <c r="G1239" s="21">
        <v>5.9</v>
      </c>
      <c r="H1239" s="21">
        <v>8.8000000000000007</v>
      </c>
      <c r="I1239" s="25">
        <v>0.17954545454545456</v>
      </c>
      <c r="J1239" s="21">
        <v>0.88000000000000012</v>
      </c>
      <c r="K1239" s="21">
        <v>7.375000000000001E-2</v>
      </c>
      <c r="L1239" s="21">
        <v>0</v>
      </c>
      <c r="M1239" s="17" t="s">
        <v>121</v>
      </c>
      <c r="N1239" s="17" t="s">
        <v>115</v>
      </c>
      <c r="O1239" s="21">
        <v>0.44000000000000006</v>
      </c>
      <c r="P1239" s="21">
        <v>0</v>
      </c>
    </row>
    <row r="1240" spans="1:16" ht="16.5" x14ac:dyDescent="0.25">
      <c r="A1240" s="2"/>
      <c r="B1240" s="4"/>
      <c r="C1240" s="18"/>
      <c r="E1240" s="20">
        <v>44575</v>
      </c>
      <c r="F1240" s="17" t="s">
        <v>144</v>
      </c>
      <c r="G1240" s="21">
        <v>5.9</v>
      </c>
      <c r="H1240" s="21">
        <v>8.4</v>
      </c>
      <c r="I1240" s="25">
        <v>0.14761904761904762</v>
      </c>
      <c r="J1240" s="21">
        <v>0.84000000000000008</v>
      </c>
      <c r="K1240" s="21">
        <v>7.375000000000001E-2</v>
      </c>
      <c r="L1240" s="21">
        <v>0</v>
      </c>
      <c r="M1240" s="17" t="s">
        <v>120</v>
      </c>
      <c r="N1240" s="17" t="s">
        <v>115</v>
      </c>
      <c r="O1240" s="21">
        <v>0.42000000000000004</v>
      </c>
      <c r="P1240" s="21">
        <v>0</v>
      </c>
    </row>
    <row r="1241" spans="1:16" ht="16.5" x14ac:dyDescent="0.25">
      <c r="A1241" s="2"/>
      <c r="B1241" s="4"/>
      <c r="C1241" s="18"/>
      <c r="E1241" s="20">
        <v>44575</v>
      </c>
      <c r="F1241" s="17" t="s">
        <v>144</v>
      </c>
      <c r="G1241" s="21">
        <v>5.9</v>
      </c>
      <c r="H1241" s="21">
        <v>7.9</v>
      </c>
      <c r="I1241" s="25">
        <v>0.10316455696202531</v>
      </c>
      <c r="J1241" s="21">
        <v>0.79</v>
      </c>
      <c r="K1241" s="21">
        <v>7.375000000000001E-2</v>
      </c>
      <c r="L1241" s="21">
        <v>0</v>
      </c>
      <c r="M1241" s="17" t="s">
        <v>113</v>
      </c>
      <c r="N1241" s="17" t="s">
        <v>115</v>
      </c>
      <c r="O1241" s="21">
        <v>0.39500000000000002</v>
      </c>
      <c r="P1241" s="21">
        <v>0</v>
      </c>
    </row>
    <row r="1242" spans="1:16" ht="16.5" x14ac:dyDescent="0.25">
      <c r="A1242" s="2"/>
      <c r="B1242" s="4"/>
      <c r="C1242" s="18"/>
      <c r="E1242" s="20">
        <v>44575</v>
      </c>
      <c r="F1242" s="17" t="s">
        <v>145</v>
      </c>
      <c r="G1242" s="21">
        <v>4.1475</v>
      </c>
      <c r="H1242" s="21">
        <v>7</v>
      </c>
      <c r="I1242" s="25">
        <v>0.20249999999999999</v>
      </c>
      <c r="J1242" s="21">
        <v>0.70000000000000007</v>
      </c>
      <c r="K1242" s="21">
        <v>5.2500000000000005E-2</v>
      </c>
      <c r="L1242" s="21">
        <v>0.38500000000000001</v>
      </c>
      <c r="M1242" s="17" t="s">
        <v>122</v>
      </c>
      <c r="N1242" s="17" t="s">
        <v>116</v>
      </c>
      <c r="O1242" s="21">
        <v>0.35000000000000003</v>
      </c>
      <c r="P1242" s="21">
        <v>0.38500000000000001</v>
      </c>
    </row>
    <row r="1243" spans="1:16" ht="16.5" x14ac:dyDescent="0.25">
      <c r="A1243" s="2"/>
      <c r="B1243" s="4"/>
      <c r="C1243" s="18"/>
      <c r="E1243" s="20">
        <v>44575</v>
      </c>
      <c r="F1243" s="17" t="s">
        <v>145</v>
      </c>
      <c r="G1243" s="21">
        <v>4.1475</v>
      </c>
      <c r="H1243" s="21">
        <v>6.7</v>
      </c>
      <c r="I1243" s="25">
        <v>0.17597014925373139</v>
      </c>
      <c r="J1243" s="21">
        <v>0.67</v>
      </c>
      <c r="K1243" s="21">
        <v>5.2500000000000005E-2</v>
      </c>
      <c r="L1243" s="21">
        <v>0.36849999999999999</v>
      </c>
      <c r="M1243" s="17" t="s">
        <v>121</v>
      </c>
      <c r="N1243" s="17" t="s">
        <v>116</v>
      </c>
      <c r="O1243" s="21">
        <v>0.33500000000000002</v>
      </c>
      <c r="P1243" s="21">
        <v>0.36849999999999999</v>
      </c>
    </row>
    <row r="1244" spans="1:16" ht="16.5" x14ac:dyDescent="0.25">
      <c r="A1244" s="2"/>
      <c r="B1244" s="4"/>
      <c r="C1244" s="18"/>
      <c r="E1244" s="20">
        <v>44575</v>
      </c>
      <c r="F1244" s="17" t="s">
        <v>145</v>
      </c>
      <c r="G1244" s="21">
        <v>4.1475</v>
      </c>
      <c r="H1244" s="21">
        <v>6.4</v>
      </c>
      <c r="I1244" s="25">
        <v>0.14695312499999996</v>
      </c>
      <c r="J1244" s="21">
        <v>0.64000000000000012</v>
      </c>
      <c r="K1244" s="21">
        <v>5.2500000000000005E-2</v>
      </c>
      <c r="L1244" s="21">
        <v>0.35200000000000004</v>
      </c>
      <c r="M1244" s="17" t="s">
        <v>120</v>
      </c>
      <c r="N1244" s="17" t="s">
        <v>116</v>
      </c>
      <c r="O1244" s="21">
        <v>0.32000000000000006</v>
      </c>
      <c r="P1244" s="21">
        <v>0.35200000000000004</v>
      </c>
    </row>
    <row r="1245" spans="1:16" ht="16.5" x14ac:dyDescent="0.25">
      <c r="A1245" s="2"/>
      <c r="B1245" s="4"/>
      <c r="C1245" s="18"/>
      <c r="E1245" s="20">
        <v>44575</v>
      </c>
      <c r="F1245" s="17" t="s">
        <v>145</v>
      </c>
      <c r="G1245" s="21">
        <v>4.1475</v>
      </c>
      <c r="H1245" s="21">
        <v>6</v>
      </c>
      <c r="I1245" s="25">
        <v>0.10374999999999997</v>
      </c>
      <c r="J1245" s="21">
        <v>0.60000000000000009</v>
      </c>
      <c r="K1245" s="21">
        <v>5.2500000000000005E-2</v>
      </c>
      <c r="L1245" s="21">
        <v>0.33</v>
      </c>
      <c r="M1245" s="17" t="s">
        <v>113</v>
      </c>
      <c r="N1245" s="17" t="s">
        <v>116</v>
      </c>
      <c r="O1245" s="21">
        <v>0.30000000000000004</v>
      </c>
      <c r="P1245" s="21">
        <v>0.33</v>
      </c>
    </row>
    <row r="1246" spans="1:16" ht="16.5" x14ac:dyDescent="0.25">
      <c r="A1246" s="2"/>
      <c r="B1246" s="4"/>
      <c r="C1246" s="18"/>
      <c r="E1246" s="20">
        <v>44575</v>
      </c>
      <c r="F1246" s="17" t="s">
        <v>145</v>
      </c>
      <c r="G1246" s="21">
        <v>4.1475</v>
      </c>
      <c r="H1246" s="21">
        <v>8.1999999999999993</v>
      </c>
      <c r="I1246" s="25">
        <v>0.20140731707317067</v>
      </c>
      <c r="J1246" s="21">
        <v>0.82</v>
      </c>
      <c r="K1246" s="21">
        <v>5.2500000000000005E-2</v>
      </c>
      <c r="L1246" s="21">
        <v>0.98399999999999987</v>
      </c>
      <c r="M1246" s="17" t="s">
        <v>122</v>
      </c>
      <c r="N1246" s="17" t="s">
        <v>117</v>
      </c>
      <c r="O1246" s="21">
        <v>0.41</v>
      </c>
      <c r="P1246" s="21">
        <v>1.17096</v>
      </c>
    </row>
    <row r="1247" spans="1:16" ht="16.5" x14ac:dyDescent="0.25">
      <c r="A1247" s="2"/>
      <c r="B1247" s="4"/>
      <c r="C1247" s="18"/>
      <c r="E1247" s="20">
        <v>44575</v>
      </c>
      <c r="F1247" s="17" t="s">
        <v>145</v>
      </c>
      <c r="G1247" s="21">
        <v>4.1475</v>
      </c>
      <c r="H1247" s="21">
        <v>7.9</v>
      </c>
      <c r="I1247" s="25">
        <v>0.18220000000000003</v>
      </c>
      <c r="J1247" s="21">
        <v>0.79</v>
      </c>
      <c r="K1247" s="21">
        <v>5.2500000000000005E-2</v>
      </c>
      <c r="L1247" s="21">
        <v>0.94799999999999995</v>
      </c>
      <c r="M1247" s="17" t="s">
        <v>121</v>
      </c>
      <c r="N1247" s="17" t="s">
        <v>117</v>
      </c>
      <c r="O1247" s="21">
        <v>0.39500000000000002</v>
      </c>
      <c r="P1247" s="21">
        <v>1.1281200000000002</v>
      </c>
    </row>
    <row r="1248" spans="1:16" ht="16.5" x14ac:dyDescent="0.25">
      <c r="A1248" s="2"/>
      <c r="B1248" s="4"/>
      <c r="C1248" s="18"/>
      <c r="E1248" s="20">
        <v>44575</v>
      </c>
      <c r="F1248" s="17" t="s">
        <v>145</v>
      </c>
      <c r="G1248" s="21">
        <v>4.1475</v>
      </c>
      <c r="H1248" s="21">
        <v>7.4</v>
      </c>
      <c r="I1248" s="25">
        <v>0.14672702702702697</v>
      </c>
      <c r="J1248" s="21">
        <v>0.7400000000000001</v>
      </c>
      <c r="K1248" s="21">
        <v>5.2500000000000005E-2</v>
      </c>
      <c r="L1248" s="21">
        <v>0.88800000000000001</v>
      </c>
      <c r="M1248" s="17" t="s">
        <v>120</v>
      </c>
      <c r="N1248" s="17" t="s">
        <v>117</v>
      </c>
      <c r="O1248" s="21">
        <v>0.37000000000000005</v>
      </c>
      <c r="P1248" s="21">
        <v>1.0567200000000001</v>
      </c>
    </row>
    <row r="1249" spans="1:16" ht="16.5" x14ac:dyDescent="0.25">
      <c r="A1249" s="2"/>
      <c r="B1249" s="4"/>
      <c r="C1249" s="18"/>
      <c r="E1249" s="20">
        <v>44575</v>
      </c>
      <c r="F1249" s="17" t="s">
        <v>145</v>
      </c>
      <c r="G1249" s="21">
        <v>4.1475</v>
      </c>
      <c r="H1249" s="21">
        <v>6.8</v>
      </c>
      <c r="I1249" s="25">
        <v>9.727352941176462E-2</v>
      </c>
      <c r="J1249" s="21">
        <v>0.68</v>
      </c>
      <c r="K1249" s="21">
        <v>5.2500000000000005E-2</v>
      </c>
      <c r="L1249" s="21">
        <v>0.81599999999999995</v>
      </c>
      <c r="M1249" s="17" t="s">
        <v>113</v>
      </c>
      <c r="N1249" s="17" t="s">
        <v>117</v>
      </c>
      <c r="O1249" s="21">
        <v>0.34</v>
      </c>
      <c r="P1249" s="21">
        <v>0.97104000000000001</v>
      </c>
    </row>
    <row r="1250" spans="1:16" ht="16.5" x14ac:dyDescent="0.25">
      <c r="A1250" s="2"/>
      <c r="B1250" s="4"/>
      <c r="C1250" s="18"/>
      <c r="E1250" s="20">
        <v>44575</v>
      </c>
      <c r="F1250" s="17" t="s">
        <v>145</v>
      </c>
      <c r="G1250" s="21">
        <v>4.2</v>
      </c>
      <c r="H1250" s="21">
        <v>6.5</v>
      </c>
      <c r="I1250" s="25">
        <v>0.20384615384615382</v>
      </c>
      <c r="J1250" s="21">
        <v>0.65</v>
      </c>
      <c r="K1250" s="21">
        <v>5.2500000000000005E-2</v>
      </c>
      <c r="L1250" s="21">
        <v>0</v>
      </c>
      <c r="M1250" s="17" t="s">
        <v>122</v>
      </c>
      <c r="N1250" s="17" t="s">
        <v>115</v>
      </c>
      <c r="O1250" s="21">
        <v>0.32500000000000001</v>
      </c>
      <c r="P1250" s="21">
        <v>0</v>
      </c>
    </row>
    <row r="1251" spans="1:16" ht="16.5" x14ac:dyDescent="0.25">
      <c r="A1251" s="2"/>
      <c r="B1251" s="4"/>
      <c r="C1251" s="18"/>
      <c r="E1251" s="20">
        <v>44575</v>
      </c>
      <c r="F1251" s="17" t="s">
        <v>145</v>
      </c>
      <c r="G1251" s="21">
        <v>4.2</v>
      </c>
      <c r="H1251" s="21">
        <v>6.3</v>
      </c>
      <c r="I1251" s="25">
        <v>0.18333333333333332</v>
      </c>
      <c r="J1251" s="21">
        <v>0.63</v>
      </c>
      <c r="K1251" s="21">
        <v>5.2500000000000005E-2</v>
      </c>
      <c r="L1251" s="21">
        <v>0</v>
      </c>
      <c r="M1251" s="17" t="s">
        <v>121</v>
      </c>
      <c r="N1251" s="17" t="s">
        <v>115</v>
      </c>
      <c r="O1251" s="21">
        <v>0.315</v>
      </c>
      <c r="P1251" s="21">
        <v>0</v>
      </c>
    </row>
    <row r="1252" spans="1:16" ht="16.5" x14ac:dyDescent="0.25">
      <c r="A1252" s="2"/>
      <c r="B1252" s="4"/>
      <c r="C1252" s="18"/>
      <c r="E1252" s="20">
        <v>44575</v>
      </c>
      <c r="F1252" s="17" t="s">
        <v>145</v>
      </c>
      <c r="G1252" s="21">
        <v>4.2</v>
      </c>
      <c r="H1252" s="21">
        <v>6</v>
      </c>
      <c r="I1252" s="25">
        <v>0.14999999999999994</v>
      </c>
      <c r="J1252" s="21">
        <v>0.60000000000000009</v>
      </c>
      <c r="K1252" s="21">
        <v>5.2500000000000005E-2</v>
      </c>
      <c r="L1252" s="21">
        <v>0</v>
      </c>
      <c r="M1252" s="17" t="s">
        <v>120</v>
      </c>
      <c r="N1252" s="17" t="s">
        <v>115</v>
      </c>
      <c r="O1252" s="21">
        <v>0.30000000000000004</v>
      </c>
      <c r="P1252" s="21">
        <v>0</v>
      </c>
    </row>
    <row r="1253" spans="1:16" ht="16.5" x14ac:dyDescent="0.25">
      <c r="A1253" s="2"/>
      <c r="B1253" s="4"/>
      <c r="C1253" s="18"/>
      <c r="E1253" s="20">
        <v>44575</v>
      </c>
      <c r="F1253" s="17" t="s">
        <v>145</v>
      </c>
      <c r="G1253" s="21">
        <v>4.2</v>
      </c>
      <c r="H1253" s="21">
        <v>5.6</v>
      </c>
      <c r="I1253" s="25">
        <v>9.9999999999999922E-2</v>
      </c>
      <c r="J1253" s="21">
        <v>0.55999999999999994</v>
      </c>
      <c r="K1253" s="21">
        <v>5.2500000000000005E-2</v>
      </c>
      <c r="L1253" s="21">
        <v>0</v>
      </c>
      <c r="M1253" s="17" t="s">
        <v>113</v>
      </c>
      <c r="N1253" s="17" t="s">
        <v>115</v>
      </c>
      <c r="O1253" s="21">
        <v>0.27999999999999997</v>
      </c>
      <c r="P1253" s="21">
        <v>0</v>
      </c>
    </row>
    <row r="1254" spans="1:16" ht="16.5" x14ac:dyDescent="0.25">
      <c r="A1254" s="2"/>
      <c r="B1254" s="4"/>
      <c r="C1254" s="18"/>
      <c r="E1254" s="20">
        <v>44574</v>
      </c>
      <c r="F1254" s="17" t="s">
        <v>91</v>
      </c>
      <c r="G1254" s="21">
        <v>25.262500000000003</v>
      </c>
      <c r="H1254" s="21">
        <v>49</v>
      </c>
      <c r="I1254" s="25">
        <v>0.15513877551020405</v>
      </c>
      <c r="J1254" s="21">
        <v>4.9000000000000004</v>
      </c>
      <c r="K1254" s="21">
        <v>0.30625000000000002</v>
      </c>
      <c r="L1254" s="21">
        <v>5.88</v>
      </c>
      <c r="M1254" s="17" t="s">
        <v>122</v>
      </c>
      <c r="N1254" s="17" t="s">
        <v>117</v>
      </c>
      <c r="O1254" s="21">
        <v>2.4500000000000002</v>
      </c>
      <c r="P1254" s="21">
        <v>8.7857000000000003</v>
      </c>
    </row>
    <row r="1255" spans="1:16" ht="16.5" x14ac:dyDescent="0.25">
      <c r="A1255" s="2"/>
      <c r="B1255" s="4"/>
      <c r="C1255" s="18"/>
      <c r="E1255" s="20">
        <v>44574</v>
      </c>
      <c r="F1255" s="17" t="s">
        <v>91</v>
      </c>
      <c r="G1255" s="21">
        <v>25.262500000000003</v>
      </c>
      <c r="H1255" s="21">
        <v>48</v>
      </c>
      <c r="I1255" s="25">
        <v>0.14439791666666657</v>
      </c>
      <c r="J1255" s="21">
        <v>4.8000000000000007</v>
      </c>
      <c r="K1255" s="21">
        <v>0.30625000000000002</v>
      </c>
      <c r="L1255" s="21">
        <v>5.76</v>
      </c>
      <c r="M1255" s="17" t="s">
        <v>121</v>
      </c>
      <c r="N1255" s="17" t="s">
        <v>117</v>
      </c>
      <c r="O1255" s="21">
        <v>2.4000000000000004</v>
      </c>
      <c r="P1255" s="21">
        <v>8.6064000000000007</v>
      </c>
    </row>
    <row r="1256" spans="1:16" ht="16.5" x14ac:dyDescent="0.25">
      <c r="A1256" s="2"/>
      <c r="B1256" s="4"/>
      <c r="C1256" s="18"/>
      <c r="E1256" s="20">
        <v>44574</v>
      </c>
      <c r="F1256" s="17" t="s">
        <v>91</v>
      </c>
      <c r="G1256" s="21">
        <v>25.262500000000003</v>
      </c>
      <c r="H1256" s="21">
        <v>46.5</v>
      </c>
      <c r="I1256" s="25">
        <v>0.12742043010752674</v>
      </c>
      <c r="J1256" s="21">
        <v>4.6500000000000004</v>
      </c>
      <c r="K1256" s="21">
        <v>0.30625000000000002</v>
      </c>
      <c r="L1256" s="21">
        <v>5.58</v>
      </c>
      <c r="M1256" s="17" t="s">
        <v>120</v>
      </c>
      <c r="N1256" s="17" t="s">
        <v>117</v>
      </c>
      <c r="O1256" s="21">
        <v>2.3250000000000002</v>
      </c>
      <c r="P1256" s="21">
        <v>8.3374500000000005</v>
      </c>
    </row>
    <row r="1257" spans="1:16" ht="16.5" x14ac:dyDescent="0.25">
      <c r="A1257" s="2"/>
      <c r="B1257" s="4"/>
      <c r="C1257" s="18"/>
      <c r="E1257" s="20">
        <v>44574</v>
      </c>
      <c r="F1257" s="17" t="s">
        <v>91</v>
      </c>
      <c r="G1257" s="21">
        <v>25.262500000000003</v>
      </c>
      <c r="H1257" s="21">
        <v>45</v>
      </c>
      <c r="I1257" s="25">
        <v>0.10931111111111104</v>
      </c>
      <c r="J1257" s="21">
        <v>4.5</v>
      </c>
      <c r="K1257" s="21">
        <v>0.30625000000000002</v>
      </c>
      <c r="L1257" s="21">
        <v>5.3999999999999995</v>
      </c>
      <c r="M1257" s="17" t="s">
        <v>113</v>
      </c>
      <c r="N1257" s="17" t="s">
        <v>117</v>
      </c>
      <c r="O1257" s="21">
        <v>2.25</v>
      </c>
      <c r="P1257" s="21">
        <v>8.0685000000000002</v>
      </c>
    </row>
    <row r="1258" spans="1:16" ht="16.5" x14ac:dyDescent="0.25">
      <c r="A1258" s="2"/>
      <c r="B1258" s="4"/>
      <c r="C1258" s="18"/>
      <c r="E1258" s="20">
        <v>44574</v>
      </c>
      <c r="F1258" s="17" t="s">
        <v>91</v>
      </c>
      <c r="G1258" s="21">
        <v>25.262500000000003</v>
      </c>
      <c r="H1258" s="21">
        <v>45</v>
      </c>
      <c r="I1258" s="25">
        <v>0.10931111111111104</v>
      </c>
      <c r="J1258" s="21">
        <v>4.5</v>
      </c>
      <c r="K1258" s="21">
        <v>0.30625000000000002</v>
      </c>
      <c r="L1258" s="21">
        <v>5.3999999999999995</v>
      </c>
      <c r="M1258" s="17" t="s">
        <v>122</v>
      </c>
      <c r="N1258" s="17" t="s">
        <v>117</v>
      </c>
      <c r="O1258" s="21">
        <v>2.25</v>
      </c>
      <c r="P1258" s="21">
        <v>8.0685000000000002</v>
      </c>
    </row>
    <row r="1259" spans="1:16" ht="16.5" x14ac:dyDescent="0.25">
      <c r="A1259" s="2"/>
      <c r="B1259" s="4"/>
      <c r="C1259" s="18"/>
      <c r="E1259" s="20">
        <v>44574</v>
      </c>
      <c r="F1259" s="17" t="s">
        <v>91</v>
      </c>
      <c r="G1259" s="21">
        <v>25.568750000000001</v>
      </c>
      <c r="H1259" s="21">
        <v>41</v>
      </c>
      <c r="I1259" s="25">
        <v>0.22637195121951212</v>
      </c>
      <c r="J1259" s="21">
        <v>4.1000000000000005</v>
      </c>
      <c r="K1259" s="21">
        <v>0.30625000000000002</v>
      </c>
      <c r="L1259" s="21">
        <v>0</v>
      </c>
      <c r="M1259" s="17" t="s">
        <v>122</v>
      </c>
      <c r="N1259" s="17" t="s">
        <v>115</v>
      </c>
      <c r="O1259" s="21">
        <v>2.0500000000000003</v>
      </c>
      <c r="P1259" s="21">
        <v>0</v>
      </c>
    </row>
    <row r="1260" spans="1:16" ht="16.5" x14ac:dyDescent="0.25">
      <c r="A1260" s="2"/>
      <c r="B1260" s="4"/>
      <c r="C1260" s="18"/>
      <c r="E1260" s="20">
        <v>44574</v>
      </c>
      <c r="F1260" s="17" t="s">
        <v>91</v>
      </c>
      <c r="G1260" s="21">
        <v>25.568750000000001</v>
      </c>
      <c r="H1260" s="21">
        <v>39</v>
      </c>
      <c r="I1260" s="25">
        <v>0.19439102564102562</v>
      </c>
      <c r="J1260" s="21">
        <v>3.9000000000000004</v>
      </c>
      <c r="K1260" s="21">
        <v>0.30625000000000002</v>
      </c>
      <c r="L1260" s="21">
        <v>0</v>
      </c>
      <c r="M1260" s="17" t="s">
        <v>121</v>
      </c>
      <c r="N1260" s="17" t="s">
        <v>115</v>
      </c>
      <c r="O1260" s="21">
        <v>1.9500000000000002</v>
      </c>
      <c r="P1260" s="21">
        <v>0</v>
      </c>
    </row>
    <row r="1261" spans="1:16" ht="16.5" x14ac:dyDescent="0.25">
      <c r="A1261" s="2"/>
      <c r="B1261" s="4"/>
      <c r="C1261" s="18"/>
      <c r="E1261" s="20">
        <v>44574</v>
      </c>
      <c r="F1261" s="17" t="s">
        <v>91</v>
      </c>
      <c r="G1261" s="21">
        <v>25.568750000000001</v>
      </c>
      <c r="H1261" s="21">
        <v>37</v>
      </c>
      <c r="I1261" s="25">
        <v>0.15895270270270268</v>
      </c>
      <c r="J1261" s="21">
        <v>3.7</v>
      </c>
      <c r="K1261" s="21">
        <v>0.30625000000000002</v>
      </c>
      <c r="L1261" s="21">
        <v>0</v>
      </c>
      <c r="M1261" s="17" t="s">
        <v>120</v>
      </c>
      <c r="N1261" s="17" t="s">
        <v>115</v>
      </c>
      <c r="O1261" s="21">
        <v>1.85</v>
      </c>
      <c r="P1261" s="21">
        <v>0</v>
      </c>
    </row>
    <row r="1262" spans="1:16" ht="16.5" x14ac:dyDescent="0.25">
      <c r="A1262" s="2"/>
      <c r="B1262" s="4"/>
      <c r="C1262" s="18"/>
      <c r="E1262" s="20">
        <v>44574</v>
      </c>
      <c r="F1262" s="17" t="s">
        <v>91</v>
      </c>
      <c r="G1262" s="21">
        <v>25.568750000000001</v>
      </c>
      <c r="H1262" s="21">
        <v>35.5</v>
      </c>
      <c r="I1262" s="25">
        <v>0.1297535211267605</v>
      </c>
      <c r="J1262" s="21">
        <v>3.5500000000000003</v>
      </c>
      <c r="K1262" s="21">
        <v>0.30625000000000002</v>
      </c>
      <c r="L1262" s="21">
        <v>0</v>
      </c>
      <c r="M1262" s="17" t="s">
        <v>113</v>
      </c>
      <c r="N1262" s="17" t="s">
        <v>115</v>
      </c>
      <c r="O1262" s="21">
        <v>1.7750000000000001</v>
      </c>
      <c r="P1262" s="21">
        <v>0</v>
      </c>
    </row>
    <row r="1263" spans="1:16" ht="16.5" x14ac:dyDescent="0.25">
      <c r="A1263" s="2"/>
      <c r="B1263" s="4"/>
      <c r="C1263" s="18"/>
      <c r="E1263" s="20">
        <v>44574</v>
      </c>
      <c r="F1263" s="17" t="s">
        <v>90</v>
      </c>
      <c r="G1263" s="21">
        <v>27.596458333333334</v>
      </c>
      <c r="H1263" s="21">
        <v>54</v>
      </c>
      <c r="I1263" s="25">
        <v>0.15965447530864194</v>
      </c>
      <c r="J1263" s="21">
        <v>5.4</v>
      </c>
      <c r="K1263" s="21">
        <v>0.33687500000000004</v>
      </c>
      <c r="L1263" s="21">
        <v>6.4799999999999995</v>
      </c>
      <c r="M1263" s="17" t="s">
        <v>122</v>
      </c>
      <c r="N1263" s="17" t="s">
        <v>117</v>
      </c>
      <c r="O1263" s="21">
        <v>2.7</v>
      </c>
      <c r="P1263" s="21">
        <v>9.6822000000000017</v>
      </c>
    </row>
    <row r="1264" spans="1:16" ht="16.5" x14ac:dyDescent="0.25">
      <c r="A1264" s="2"/>
      <c r="B1264" s="4"/>
      <c r="C1264" s="18"/>
      <c r="E1264" s="20">
        <v>44574</v>
      </c>
      <c r="F1264" s="17" t="s">
        <v>90</v>
      </c>
      <c r="G1264" s="21">
        <v>27.596458333333334</v>
      </c>
      <c r="H1264" s="21">
        <v>53</v>
      </c>
      <c r="I1264" s="25">
        <v>0.15001210691823902</v>
      </c>
      <c r="J1264" s="21">
        <v>5.3000000000000007</v>
      </c>
      <c r="K1264" s="21">
        <v>0.33687500000000004</v>
      </c>
      <c r="L1264" s="21">
        <v>6.3599999999999994</v>
      </c>
      <c r="M1264" s="17" t="s">
        <v>121</v>
      </c>
      <c r="N1264" s="17" t="s">
        <v>117</v>
      </c>
      <c r="O1264" s="21">
        <v>2.6500000000000004</v>
      </c>
      <c r="P1264" s="21">
        <v>9.5029000000000003</v>
      </c>
    </row>
    <row r="1265" spans="1:16" ht="16.5" x14ac:dyDescent="0.25">
      <c r="A1265" s="2"/>
      <c r="B1265" s="4"/>
      <c r="C1265" s="18"/>
      <c r="E1265" s="20">
        <v>44574</v>
      </c>
      <c r="F1265" s="17" t="s">
        <v>90</v>
      </c>
      <c r="G1265" s="21">
        <v>27.596458333333334</v>
      </c>
      <c r="H1265" s="21">
        <v>51</v>
      </c>
      <c r="I1265" s="25">
        <v>0.12959297385620908</v>
      </c>
      <c r="J1265" s="21">
        <v>5.1000000000000005</v>
      </c>
      <c r="K1265" s="21">
        <v>0.33687500000000004</v>
      </c>
      <c r="L1265" s="21">
        <v>6.12</v>
      </c>
      <c r="M1265" s="17" t="s">
        <v>120</v>
      </c>
      <c r="N1265" s="17" t="s">
        <v>117</v>
      </c>
      <c r="O1265" s="21">
        <v>2.5500000000000003</v>
      </c>
      <c r="P1265" s="21">
        <v>9.1443000000000012</v>
      </c>
    </row>
    <row r="1266" spans="1:16" ht="16.5" x14ac:dyDescent="0.25">
      <c r="A1266" s="2"/>
      <c r="B1266" s="4"/>
      <c r="C1266" s="18"/>
      <c r="E1266" s="20">
        <v>44574</v>
      </c>
      <c r="F1266" s="17" t="s">
        <v>90</v>
      </c>
      <c r="G1266" s="21">
        <v>27.596458333333334</v>
      </c>
      <c r="H1266" s="21">
        <v>49.5</v>
      </c>
      <c r="I1266" s="25">
        <v>0.11319579124579128</v>
      </c>
      <c r="J1266" s="21">
        <v>4.95</v>
      </c>
      <c r="K1266" s="21">
        <v>0.33687500000000004</v>
      </c>
      <c r="L1266" s="21">
        <v>5.9399999999999995</v>
      </c>
      <c r="M1266" s="17" t="s">
        <v>113</v>
      </c>
      <c r="N1266" s="17" t="s">
        <v>117</v>
      </c>
      <c r="O1266" s="21">
        <v>2.4750000000000001</v>
      </c>
      <c r="P1266" s="21">
        <v>8.875350000000001</v>
      </c>
    </row>
    <row r="1267" spans="1:16" ht="16.5" x14ac:dyDescent="0.25">
      <c r="A1267" s="2"/>
      <c r="B1267" s="4"/>
      <c r="C1267" s="18"/>
      <c r="E1267" s="20">
        <v>44574</v>
      </c>
      <c r="F1267" s="17" t="s">
        <v>90</v>
      </c>
      <c r="G1267" s="21">
        <v>27.933333333333334</v>
      </c>
      <c r="H1267" s="21">
        <v>45</v>
      </c>
      <c r="I1267" s="25">
        <v>0.22925925925925925</v>
      </c>
      <c r="J1267" s="21">
        <v>4.5</v>
      </c>
      <c r="K1267" s="21">
        <v>0.33687500000000004</v>
      </c>
      <c r="L1267" s="21">
        <v>0</v>
      </c>
      <c r="M1267" s="17" t="s">
        <v>122</v>
      </c>
      <c r="N1267" s="17" t="s">
        <v>115</v>
      </c>
      <c r="O1267" s="21">
        <v>2.25</v>
      </c>
      <c r="P1267" s="21">
        <v>0</v>
      </c>
    </row>
    <row r="1268" spans="1:16" ht="16.5" x14ac:dyDescent="0.25">
      <c r="A1268" s="2"/>
      <c r="B1268" s="4"/>
      <c r="C1268" s="18"/>
      <c r="E1268" s="20">
        <v>44574</v>
      </c>
      <c r="F1268" s="17" t="s">
        <v>90</v>
      </c>
      <c r="G1268" s="21">
        <v>27.933333333333334</v>
      </c>
      <c r="H1268" s="21">
        <v>43</v>
      </c>
      <c r="I1268" s="25">
        <v>0.20038759689922481</v>
      </c>
      <c r="J1268" s="21">
        <v>4.3</v>
      </c>
      <c r="K1268" s="21">
        <v>0.33687500000000004</v>
      </c>
      <c r="L1268" s="21">
        <v>0</v>
      </c>
      <c r="M1268" s="17" t="s">
        <v>121</v>
      </c>
      <c r="N1268" s="17" t="s">
        <v>115</v>
      </c>
      <c r="O1268" s="21">
        <v>2.15</v>
      </c>
      <c r="P1268" s="21">
        <v>0</v>
      </c>
    </row>
    <row r="1269" spans="1:16" ht="16.5" x14ac:dyDescent="0.25">
      <c r="A1269" s="2"/>
      <c r="B1269" s="4"/>
      <c r="C1269" s="18"/>
      <c r="E1269" s="20">
        <v>44574</v>
      </c>
      <c r="F1269" s="17" t="s">
        <v>90</v>
      </c>
      <c r="G1269" s="21">
        <v>27.933333333333334</v>
      </c>
      <c r="H1269" s="21">
        <v>41</v>
      </c>
      <c r="I1269" s="25">
        <v>0.16869918699186989</v>
      </c>
      <c r="J1269" s="21">
        <v>4.1000000000000005</v>
      </c>
      <c r="K1269" s="21">
        <v>0.33687500000000004</v>
      </c>
      <c r="L1269" s="21">
        <v>0</v>
      </c>
      <c r="M1269" s="17" t="s">
        <v>120</v>
      </c>
      <c r="N1269" s="17" t="s">
        <v>115</v>
      </c>
      <c r="O1269" s="21">
        <v>2.0500000000000003</v>
      </c>
      <c r="P1269" s="21">
        <v>0</v>
      </c>
    </row>
    <row r="1270" spans="1:16" ht="16.5" x14ac:dyDescent="0.25">
      <c r="A1270" s="2"/>
      <c r="B1270" s="4"/>
      <c r="C1270" s="18"/>
      <c r="E1270" s="20">
        <v>44574</v>
      </c>
      <c r="F1270" s="17" t="s">
        <v>90</v>
      </c>
      <c r="G1270" s="21">
        <v>27.933333333333334</v>
      </c>
      <c r="H1270" s="21">
        <v>39</v>
      </c>
      <c r="I1270" s="25">
        <v>0.13376068376068376</v>
      </c>
      <c r="J1270" s="21">
        <v>3.9000000000000004</v>
      </c>
      <c r="K1270" s="21">
        <v>0.33687500000000004</v>
      </c>
      <c r="L1270" s="21">
        <v>0</v>
      </c>
      <c r="M1270" s="17" t="s">
        <v>113</v>
      </c>
      <c r="N1270" s="17" t="s">
        <v>115</v>
      </c>
      <c r="O1270" s="21">
        <v>1.9500000000000002</v>
      </c>
      <c r="P1270" s="21">
        <v>0</v>
      </c>
    </row>
    <row r="1271" spans="1:16" ht="16.5" x14ac:dyDescent="0.25">
      <c r="A1271" s="2"/>
      <c r="B1271" s="4"/>
      <c r="C1271" s="18"/>
      <c r="E1271" s="20">
        <v>44574</v>
      </c>
      <c r="F1271" s="17" t="s">
        <v>89</v>
      </c>
      <c r="G1271" s="21">
        <v>14.535</v>
      </c>
      <c r="H1271" s="21">
        <v>27</v>
      </c>
      <c r="I1271" s="25">
        <v>0.13236666666666663</v>
      </c>
      <c r="J1271" s="21">
        <v>2.7</v>
      </c>
      <c r="K1271" s="21">
        <v>0.17500000000000002</v>
      </c>
      <c r="L1271" s="21">
        <v>3.2399999999999998</v>
      </c>
      <c r="M1271" s="17" t="s">
        <v>122</v>
      </c>
      <c r="N1271" s="17" t="s">
        <v>117</v>
      </c>
      <c r="O1271" s="21">
        <v>1.35</v>
      </c>
      <c r="P1271" s="21">
        <v>4.8411000000000008</v>
      </c>
    </row>
    <row r="1272" spans="1:16" ht="16.5" x14ac:dyDescent="0.25">
      <c r="A1272" s="2"/>
      <c r="B1272" s="4"/>
      <c r="C1272" s="18"/>
      <c r="E1272" s="20">
        <v>44574</v>
      </c>
      <c r="F1272" s="17" t="s">
        <v>89</v>
      </c>
      <c r="G1272" s="21">
        <v>14.535</v>
      </c>
      <c r="H1272" s="21">
        <v>26</v>
      </c>
      <c r="I1272" s="25">
        <v>0.11166153846153848</v>
      </c>
      <c r="J1272" s="21">
        <v>2.6</v>
      </c>
      <c r="K1272" s="21">
        <v>0.17500000000000002</v>
      </c>
      <c r="L1272" s="21">
        <v>3.12</v>
      </c>
      <c r="M1272" s="17" t="s">
        <v>121</v>
      </c>
      <c r="N1272" s="17" t="s">
        <v>117</v>
      </c>
      <c r="O1272" s="21">
        <v>1.3</v>
      </c>
      <c r="P1272" s="21">
        <v>4.6618000000000004</v>
      </c>
    </row>
    <row r="1273" spans="1:16" ht="16.5" x14ac:dyDescent="0.25">
      <c r="A1273" s="2"/>
      <c r="B1273" s="4"/>
      <c r="C1273" s="18"/>
      <c r="E1273" s="20">
        <v>44574</v>
      </c>
      <c r="F1273" s="17" t="s">
        <v>89</v>
      </c>
      <c r="G1273" s="21">
        <v>14.535</v>
      </c>
      <c r="H1273" s="21">
        <v>25</v>
      </c>
      <c r="I1273" s="25">
        <v>8.9299999999999921E-2</v>
      </c>
      <c r="J1273" s="21">
        <v>2.5</v>
      </c>
      <c r="K1273" s="21">
        <v>0.17500000000000002</v>
      </c>
      <c r="L1273" s="21">
        <v>3</v>
      </c>
      <c r="M1273" s="17" t="s">
        <v>120</v>
      </c>
      <c r="N1273" s="17" t="s">
        <v>117</v>
      </c>
      <c r="O1273" s="21">
        <v>1.25</v>
      </c>
      <c r="P1273" s="21">
        <v>4.4824999999999999</v>
      </c>
    </row>
    <row r="1274" spans="1:16" ht="16.5" x14ac:dyDescent="0.25">
      <c r="A1274" s="2"/>
      <c r="B1274" s="4"/>
      <c r="C1274" s="18"/>
      <c r="E1274" s="20">
        <v>44574</v>
      </c>
      <c r="F1274" s="17" t="s">
        <v>89</v>
      </c>
      <c r="G1274" s="21">
        <v>14.535</v>
      </c>
      <c r="H1274" s="21">
        <v>24</v>
      </c>
      <c r="I1274" s="25">
        <v>6.5074999999999952E-2</v>
      </c>
      <c r="J1274" s="21">
        <v>2.4000000000000004</v>
      </c>
      <c r="K1274" s="21">
        <v>0.17500000000000002</v>
      </c>
      <c r="L1274" s="21">
        <v>2.88</v>
      </c>
      <c r="M1274" s="17" t="s">
        <v>113</v>
      </c>
      <c r="N1274" s="17" t="s">
        <v>117</v>
      </c>
      <c r="O1274" s="21">
        <v>1.2000000000000002</v>
      </c>
      <c r="P1274" s="21">
        <v>4.3032000000000004</v>
      </c>
    </row>
    <row r="1275" spans="1:16" ht="16.5" x14ac:dyDescent="0.25">
      <c r="A1275" s="2"/>
      <c r="B1275" s="4"/>
      <c r="C1275" s="18"/>
      <c r="E1275" s="20">
        <v>44574</v>
      </c>
      <c r="F1275" s="17" t="s">
        <v>89</v>
      </c>
      <c r="G1275" s="21">
        <v>14.71</v>
      </c>
      <c r="H1275" s="21">
        <v>23</v>
      </c>
      <c r="I1275" s="25">
        <v>0.21043478260869558</v>
      </c>
      <c r="J1275" s="21">
        <v>2.3000000000000003</v>
      </c>
      <c r="K1275" s="21">
        <v>0.17500000000000002</v>
      </c>
      <c r="L1275" s="21">
        <v>0</v>
      </c>
      <c r="M1275" s="17" t="s">
        <v>122</v>
      </c>
      <c r="N1275" s="17" t="s">
        <v>115</v>
      </c>
      <c r="O1275" s="21">
        <v>1.1500000000000001</v>
      </c>
      <c r="P1275" s="21">
        <v>0</v>
      </c>
    </row>
    <row r="1276" spans="1:16" ht="16.5" x14ac:dyDescent="0.25">
      <c r="A1276" s="2"/>
      <c r="B1276" s="4"/>
      <c r="C1276" s="18"/>
      <c r="E1276" s="20">
        <v>44574</v>
      </c>
      <c r="F1276" s="17" t="s">
        <v>89</v>
      </c>
      <c r="G1276" s="21">
        <v>14.71</v>
      </c>
      <c r="H1276" s="21">
        <v>22</v>
      </c>
      <c r="I1276" s="25">
        <v>0.18136363636363634</v>
      </c>
      <c r="J1276" s="21">
        <v>2.2000000000000002</v>
      </c>
      <c r="K1276" s="21">
        <v>0.17500000000000002</v>
      </c>
      <c r="L1276" s="21">
        <v>0</v>
      </c>
      <c r="M1276" s="17" t="s">
        <v>121</v>
      </c>
      <c r="N1276" s="17" t="s">
        <v>115</v>
      </c>
      <c r="O1276" s="21">
        <v>1.1000000000000001</v>
      </c>
      <c r="P1276" s="21">
        <v>0</v>
      </c>
    </row>
    <row r="1277" spans="1:16" ht="16.5" x14ac:dyDescent="0.25">
      <c r="A1277" s="2"/>
      <c r="B1277" s="4"/>
      <c r="C1277" s="18"/>
      <c r="E1277" s="20">
        <v>44574</v>
      </c>
      <c r="F1277" s="17" t="s">
        <v>89</v>
      </c>
      <c r="G1277" s="21">
        <v>14.71</v>
      </c>
      <c r="H1277" s="21">
        <v>21</v>
      </c>
      <c r="I1277" s="25">
        <v>0.14952380952380948</v>
      </c>
      <c r="J1277" s="21">
        <v>2.1</v>
      </c>
      <c r="K1277" s="21">
        <v>0.17500000000000002</v>
      </c>
      <c r="L1277" s="21">
        <v>0</v>
      </c>
      <c r="M1277" s="17" t="s">
        <v>120</v>
      </c>
      <c r="N1277" s="17" t="s">
        <v>115</v>
      </c>
      <c r="O1277" s="21">
        <v>1.05</v>
      </c>
      <c r="P1277" s="21">
        <v>0</v>
      </c>
    </row>
    <row r="1278" spans="1:16" ht="16.5" x14ac:dyDescent="0.25">
      <c r="A1278" s="2"/>
      <c r="B1278" s="4"/>
      <c r="C1278" s="18"/>
      <c r="E1278" s="20">
        <v>44574</v>
      </c>
      <c r="F1278" s="17" t="s">
        <v>89</v>
      </c>
      <c r="G1278" s="21">
        <v>14.71</v>
      </c>
      <c r="H1278" s="21">
        <v>19.5</v>
      </c>
      <c r="I1278" s="25">
        <v>9.5641025641025584E-2</v>
      </c>
      <c r="J1278" s="21">
        <v>1.9500000000000002</v>
      </c>
      <c r="K1278" s="21">
        <v>0.17500000000000002</v>
      </c>
      <c r="L1278" s="21">
        <v>0</v>
      </c>
      <c r="M1278" s="17" t="s">
        <v>113</v>
      </c>
      <c r="N1278" s="17" t="s">
        <v>115</v>
      </c>
      <c r="O1278" s="21">
        <v>0.97500000000000009</v>
      </c>
      <c r="P1278" s="21">
        <v>0</v>
      </c>
    </row>
    <row r="1279" spans="1:16" ht="16.5" x14ac:dyDescent="0.25">
      <c r="A1279" s="2"/>
      <c r="B1279" s="4"/>
      <c r="C1279" s="18"/>
      <c r="E1279" s="20">
        <v>44574</v>
      </c>
      <c r="F1279" s="17" t="s">
        <v>89</v>
      </c>
      <c r="G1279" s="21">
        <v>14.535</v>
      </c>
      <c r="H1279" s="21">
        <v>29.5</v>
      </c>
      <c r="I1279" s="25">
        <v>0.17798813559322038</v>
      </c>
      <c r="J1279" s="21">
        <v>2.95</v>
      </c>
      <c r="K1279" s="21">
        <v>0.17500000000000002</v>
      </c>
      <c r="L1279" s="21">
        <v>3.54</v>
      </c>
      <c r="M1279" s="17" t="s">
        <v>122</v>
      </c>
      <c r="N1279" s="17" t="s">
        <v>117</v>
      </c>
      <c r="O1279" s="21">
        <v>1.4750000000000001</v>
      </c>
      <c r="P1279" s="21">
        <v>5.2893500000000007</v>
      </c>
    </row>
    <row r="1280" spans="1:16" ht="16.5" x14ac:dyDescent="0.25">
      <c r="A1280" s="2"/>
      <c r="B1280" s="4"/>
      <c r="C1280" s="18"/>
      <c r="E1280" s="20">
        <v>44574</v>
      </c>
      <c r="F1280" s="17" t="s">
        <v>89</v>
      </c>
      <c r="G1280" s="21">
        <v>14.535</v>
      </c>
      <c r="H1280" s="21">
        <v>27.9</v>
      </c>
      <c r="I1280" s="25">
        <v>0.14973225806451612</v>
      </c>
      <c r="J1280" s="21">
        <v>2.79</v>
      </c>
      <c r="K1280" s="21">
        <v>0.17500000000000002</v>
      </c>
      <c r="L1280" s="21">
        <v>3.3479999999999999</v>
      </c>
      <c r="M1280" s="17" t="s">
        <v>121</v>
      </c>
      <c r="N1280" s="17" t="s">
        <v>117</v>
      </c>
      <c r="O1280" s="21">
        <v>1.395</v>
      </c>
      <c r="P1280" s="21">
        <v>5.0024699999999998</v>
      </c>
    </row>
    <row r="1281" spans="1:16" ht="16.5" x14ac:dyDescent="0.25">
      <c r="A1281" s="2"/>
      <c r="B1281" s="4"/>
      <c r="C1281" s="18"/>
      <c r="E1281" s="20">
        <v>44574</v>
      </c>
      <c r="F1281" s="17" t="s">
        <v>89</v>
      </c>
      <c r="G1281" s="21">
        <v>14.535</v>
      </c>
      <c r="H1281" s="21">
        <v>26.5</v>
      </c>
      <c r="I1281" s="25">
        <v>0.12220943396226419</v>
      </c>
      <c r="J1281" s="21">
        <v>2.6500000000000004</v>
      </c>
      <c r="K1281" s="21">
        <v>0.17500000000000002</v>
      </c>
      <c r="L1281" s="21">
        <v>3.1799999999999997</v>
      </c>
      <c r="M1281" s="17" t="s">
        <v>120</v>
      </c>
      <c r="N1281" s="17" t="s">
        <v>117</v>
      </c>
      <c r="O1281" s="21">
        <v>1.3250000000000002</v>
      </c>
      <c r="P1281" s="21">
        <v>4.7514500000000002</v>
      </c>
    </row>
    <row r="1282" spans="1:16" ht="16.5" x14ac:dyDescent="0.25">
      <c r="A1282" s="2"/>
      <c r="B1282" s="4"/>
      <c r="C1282" s="18"/>
      <c r="E1282" s="20">
        <v>44574</v>
      </c>
      <c r="F1282" s="17" t="s">
        <v>89</v>
      </c>
      <c r="G1282" s="21">
        <v>14.535</v>
      </c>
      <c r="H1282" s="21">
        <v>26.9</v>
      </c>
      <c r="I1282" s="25">
        <v>0.13036542750929361</v>
      </c>
      <c r="J1282" s="21">
        <v>2.69</v>
      </c>
      <c r="K1282" s="21">
        <v>0.17500000000000002</v>
      </c>
      <c r="L1282" s="21">
        <v>3.2279999999999998</v>
      </c>
      <c r="M1282" s="17" t="s">
        <v>120</v>
      </c>
      <c r="N1282" s="17" t="s">
        <v>117</v>
      </c>
      <c r="O1282" s="21">
        <v>1.345</v>
      </c>
      <c r="P1282" s="21">
        <v>4.8231700000000002</v>
      </c>
    </row>
    <row r="1283" spans="1:16" ht="16.5" x14ac:dyDescent="0.25">
      <c r="A1283" s="2"/>
      <c r="B1283" s="4"/>
      <c r="C1283" s="18"/>
      <c r="E1283" s="20">
        <v>44574</v>
      </c>
      <c r="F1283" s="17" t="s">
        <v>89</v>
      </c>
      <c r="G1283" s="21">
        <v>14.535</v>
      </c>
      <c r="H1283" s="21">
        <v>25.5</v>
      </c>
      <c r="I1283" s="25">
        <v>0.10069999999999994</v>
      </c>
      <c r="J1283" s="21">
        <v>2.5500000000000003</v>
      </c>
      <c r="K1283" s="21">
        <v>0.17500000000000002</v>
      </c>
      <c r="L1283" s="21">
        <v>3.06</v>
      </c>
      <c r="M1283" s="17" t="s">
        <v>113</v>
      </c>
      <c r="N1283" s="17" t="s">
        <v>117</v>
      </c>
      <c r="O1283" s="21">
        <v>1.2750000000000001</v>
      </c>
      <c r="P1283" s="21">
        <v>4.5721500000000006</v>
      </c>
    </row>
    <row r="1284" spans="1:16" ht="16.5" x14ac:dyDescent="0.25">
      <c r="A1284" s="2"/>
      <c r="B1284" s="4"/>
      <c r="C1284" s="18"/>
      <c r="E1284" s="20">
        <v>44574</v>
      </c>
      <c r="F1284" s="17" t="s">
        <v>89</v>
      </c>
      <c r="G1284" s="21">
        <v>14.71</v>
      </c>
      <c r="H1284" s="21">
        <v>23</v>
      </c>
      <c r="I1284" s="25">
        <v>0.21043478260869558</v>
      </c>
      <c r="J1284" s="21">
        <v>2.3000000000000003</v>
      </c>
      <c r="K1284" s="21">
        <v>0.17500000000000002</v>
      </c>
      <c r="L1284" s="21">
        <v>0</v>
      </c>
      <c r="M1284" s="17" t="s">
        <v>122</v>
      </c>
      <c r="N1284" s="17" t="s">
        <v>115</v>
      </c>
      <c r="O1284" s="21">
        <v>1.1500000000000001</v>
      </c>
      <c r="P1284" s="21">
        <v>0</v>
      </c>
    </row>
    <row r="1285" spans="1:16" ht="16.5" x14ac:dyDescent="0.25">
      <c r="A1285" s="2"/>
      <c r="B1285" s="4"/>
      <c r="C1285" s="18"/>
      <c r="E1285" s="20">
        <v>44574</v>
      </c>
      <c r="F1285" s="17" t="s">
        <v>89</v>
      </c>
      <c r="G1285" s="21">
        <v>14.71</v>
      </c>
      <c r="H1285" s="21">
        <v>22</v>
      </c>
      <c r="I1285" s="25">
        <v>0.18136363636363634</v>
      </c>
      <c r="J1285" s="21">
        <v>2.2000000000000002</v>
      </c>
      <c r="K1285" s="21">
        <v>0.17500000000000002</v>
      </c>
      <c r="L1285" s="21">
        <v>0</v>
      </c>
      <c r="M1285" s="17" t="s">
        <v>121</v>
      </c>
      <c r="N1285" s="17" t="s">
        <v>115</v>
      </c>
      <c r="O1285" s="21">
        <v>1.1000000000000001</v>
      </c>
      <c r="P1285" s="21">
        <v>0</v>
      </c>
    </row>
    <row r="1286" spans="1:16" ht="16.5" x14ac:dyDescent="0.25">
      <c r="A1286" s="2"/>
      <c r="B1286" s="4"/>
      <c r="C1286" s="18"/>
      <c r="E1286" s="20">
        <v>44574</v>
      </c>
      <c r="F1286" s="17" t="s">
        <v>89</v>
      </c>
      <c r="G1286" s="21">
        <v>14.71</v>
      </c>
      <c r="H1286" s="21">
        <v>21</v>
      </c>
      <c r="I1286" s="25">
        <v>0.14952380952380948</v>
      </c>
      <c r="J1286" s="21">
        <v>2.1</v>
      </c>
      <c r="K1286" s="21">
        <v>0.17500000000000002</v>
      </c>
      <c r="L1286" s="21">
        <v>0</v>
      </c>
      <c r="M1286" s="17" t="s">
        <v>120</v>
      </c>
      <c r="N1286" s="17" t="s">
        <v>115</v>
      </c>
      <c r="O1286" s="21">
        <v>1.05</v>
      </c>
      <c r="P1286" s="21">
        <v>0</v>
      </c>
    </row>
    <row r="1287" spans="1:16" ht="16.5" x14ac:dyDescent="0.25">
      <c r="A1287" s="2"/>
      <c r="B1287" s="4"/>
      <c r="C1287" s="18"/>
      <c r="E1287" s="20">
        <v>44574</v>
      </c>
      <c r="F1287" s="17" t="s">
        <v>89</v>
      </c>
      <c r="G1287" s="21">
        <v>14.71</v>
      </c>
      <c r="H1287" s="21">
        <v>19.5</v>
      </c>
      <c r="I1287" s="25">
        <v>9.5641025641025584E-2</v>
      </c>
      <c r="J1287" s="21">
        <v>1.9500000000000002</v>
      </c>
      <c r="K1287" s="21">
        <v>0.17500000000000002</v>
      </c>
      <c r="L1287" s="21">
        <v>0</v>
      </c>
      <c r="M1287" s="17" t="s">
        <v>113</v>
      </c>
      <c r="N1287" s="17" t="s">
        <v>115</v>
      </c>
      <c r="O1287" s="21">
        <v>0.97500000000000009</v>
      </c>
      <c r="P1287" s="21">
        <v>0</v>
      </c>
    </row>
    <row r="1288" spans="1:16" ht="16.5" x14ac:dyDescent="0.25">
      <c r="A1288" s="2"/>
      <c r="B1288" s="4"/>
      <c r="C1288" s="18"/>
      <c r="E1288" s="20">
        <v>44574</v>
      </c>
      <c r="F1288" s="17" t="s">
        <v>89</v>
      </c>
      <c r="G1288" s="21">
        <v>14.71</v>
      </c>
      <c r="H1288" s="21">
        <v>22.6</v>
      </c>
      <c r="I1288" s="25">
        <v>0.19911504424778759</v>
      </c>
      <c r="J1288" s="21">
        <v>2.2600000000000002</v>
      </c>
      <c r="K1288" s="21">
        <v>0.17500000000000002</v>
      </c>
      <c r="L1288" s="21">
        <v>0</v>
      </c>
      <c r="M1288" s="17" t="s">
        <v>122</v>
      </c>
      <c r="N1288" s="17" t="s">
        <v>115</v>
      </c>
      <c r="O1288" s="21">
        <v>1.1300000000000001</v>
      </c>
      <c r="P1288" s="21">
        <v>0</v>
      </c>
    </row>
    <row r="1289" spans="1:16" ht="16.5" x14ac:dyDescent="0.25">
      <c r="A1289" s="2"/>
      <c r="B1289" s="4"/>
      <c r="C1289" s="18"/>
      <c r="E1289" s="20">
        <v>44574</v>
      </c>
      <c r="F1289" s="17" t="s">
        <v>89</v>
      </c>
      <c r="G1289" s="21">
        <v>14.71</v>
      </c>
      <c r="H1289" s="21">
        <v>22</v>
      </c>
      <c r="I1289" s="25">
        <v>0.18136363636363634</v>
      </c>
      <c r="J1289" s="21">
        <v>2.2000000000000002</v>
      </c>
      <c r="K1289" s="21">
        <v>0.17500000000000002</v>
      </c>
      <c r="L1289" s="21">
        <v>0</v>
      </c>
      <c r="M1289" s="17" t="s">
        <v>121</v>
      </c>
      <c r="N1289" s="17" t="s">
        <v>115</v>
      </c>
      <c r="O1289" s="21">
        <v>1.1000000000000001</v>
      </c>
      <c r="P1289" s="21">
        <v>0</v>
      </c>
    </row>
    <row r="1290" spans="1:16" ht="16.5" x14ac:dyDescent="0.25">
      <c r="A1290" s="2"/>
      <c r="B1290" s="4"/>
      <c r="C1290" s="18"/>
      <c r="E1290" s="20">
        <v>44574</v>
      </c>
      <c r="F1290" s="17" t="s">
        <v>89</v>
      </c>
      <c r="G1290" s="21">
        <v>14.71</v>
      </c>
      <c r="H1290" s="21">
        <v>21</v>
      </c>
      <c r="I1290" s="25">
        <v>0.14952380952380948</v>
      </c>
      <c r="J1290" s="21">
        <v>2.1</v>
      </c>
      <c r="K1290" s="21">
        <v>0.17500000000000002</v>
      </c>
      <c r="L1290" s="21">
        <v>0</v>
      </c>
      <c r="M1290" s="17" t="s">
        <v>120</v>
      </c>
      <c r="N1290" s="17" t="s">
        <v>115</v>
      </c>
      <c r="O1290" s="21">
        <v>1.05</v>
      </c>
      <c r="P1290" s="21">
        <v>0</v>
      </c>
    </row>
    <row r="1291" spans="1:16" ht="16.5" x14ac:dyDescent="0.25">
      <c r="A1291" s="2"/>
      <c r="B1291" s="4"/>
      <c r="C1291" s="18"/>
      <c r="E1291" s="20">
        <v>44574</v>
      </c>
      <c r="F1291" s="17" t="s">
        <v>89</v>
      </c>
      <c r="G1291" s="21">
        <v>14.71</v>
      </c>
      <c r="H1291" s="21">
        <v>19.600000000000001</v>
      </c>
      <c r="I1291" s="25">
        <v>9.948979591836736E-2</v>
      </c>
      <c r="J1291" s="21">
        <v>1.9600000000000002</v>
      </c>
      <c r="K1291" s="21">
        <v>0.17500000000000002</v>
      </c>
      <c r="L1291" s="21">
        <v>0</v>
      </c>
      <c r="M1291" s="17" t="s">
        <v>113</v>
      </c>
      <c r="N1291" s="17" t="s">
        <v>115</v>
      </c>
      <c r="O1291" s="21">
        <v>0.98000000000000009</v>
      </c>
      <c r="P1291" s="21">
        <v>0</v>
      </c>
    </row>
    <row r="1292" spans="1:16" ht="16.5" x14ac:dyDescent="0.25">
      <c r="A1292" s="2"/>
      <c r="B1292" s="4"/>
      <c r="C1292" s="18"/>
      <c r="E1292" s="20">
        <v>44572</v>
      </c>
      <c r="F1292" s="17" t="s">
        <v>92</v>
      </c>
      <c r="G1292" s="21">
        <v>5.9234375000000004</v>
      </c>
      <c r="H1292" s="21">
        <v>10</v>
      </c>
      <c r="I1292" s="25">
        <v>0.2026562499999999</v>
      </c>
      <c r="J1292" s="21">
        <v>1</v>
      </c>
      <c r="K1292" s="21">
        <v>6.8750000000000006E-2</v>
      </c>
      <c r="L1292" s="21">
        <v>0.55000000000000004</v>
      </c>
      <c r="M1292" s="17" t="s">
        <v>122</v>
      </c>
      <c r="N1292" s="17" t="s">
        <v>116</v>
      </c>
      <c r="O1292" s="21">
        <v>0.5</v>
      </c>
      <c r="P1292" s="21">
        <v>0.55000000000000004</v>
      </c>
    </row>
    <row r="1293" spans="1:16" ht="16.5" x14ac:dyDescent="0.25">
      <c r="A1293" s="2"/>
      <c r="B1293" s="4"/>
      <c r="C1293" s="18"/>
      <c r="E1293" s="20">
        <v>44572</v>
      </c>
      <c r="F1293" s="17" t="s">
        <v>92</v>
      </c>
      <c r="G1293" s="21">
        <v>5.9234375000000004</v>
      </c>
      <c r="H1293" s="21">
        <v>9.6</v>
      </c>
      <c r="I1293" s="25">
        <v>0.17797526041666656</v>
      </c>
      <c r="J1293" s="21">
        <v>0.96</v>
      </c>
      <c r="K1293" s="21">
        <v>6.8750000000000006E-2</v>
      </c>
      <c r="L1293" s="21">
        <v>0.52800000000000002</v>
      </c>
      <c r="M1293" s="17" t="s">
        <v>121</v>
      </c>
      <c r="N1293" s="17" t="s">
        <v>116</v>
      </c>
      <c r="O1293" s="21">
        <v>0.48</v>
      </c>
      <c r="P1293" s="21">
        <v>0.52800000000000002</v>
      </c>
    </row>
    <row r="1294" spans="1:16" ht="16.5" x14ac:dyDescent="0.25">
      <c r="A1294" s="2"/>
      <c r="B1294" s="4"/>
      <c r="C1294" s="18"/>
      <c r="E1294" s="20">
        <v>44572</v>
      </c>
      <c r="F1294" s="17" t="s">
        <v>92</v>
      </c>
      <c r="G1294" s="21">
        <v>5.9234375000000004</v>
      </c>
      <c r="H1294" s="21">
        <v>9.1999999999999993</v>
      </c>
      <c r="I1294" s="25">
        <v>0.15114809782608685</v>
      </c>
      <c r="J1294" s="21">
        <v>0.91999999999999993</v>
      </c>
      <c r="K1294" s="21">
        <v>6.8750000000000006E-2</v>
      </c>
      <c r="L1294" s="21">
        <v>0.50600000000000001</v>
      </c>
      <c r="M1294" s="17" t="s">
        <v>120</v>
      </c>
      <c r="N1294" s="17" t="s">
        <v>116</v>
      </c>
      <c r="O1294" s="21">
        <v>0.45999999999999996</v>
      </c>
      <c r="P1294" s="21">
        <v>0.50600000000000001</v>
      </c>
    </row>
    <row r="1295" spans="1:16" ht="16.5" x14ac:dyDescent="0.25">
      <c r="A1295" s="2"/>
      <c r="B1295" s="4"/>
      <c r="C1295" s="18"/>
      <c r="E1295" s="20">
        <v>44572</v>
      </c>
      <c r="F1295" s="17" t="s">
        <v>92</v>
      </c>
      <c r="G1295" s="21">
        <v>5.9234375000000004</v>
      </c>
      <c r="H1295" s="21">
        <v>8.5</v>
      </c>
      <c r="I1295" s="25">
        <v>9.8125000000000018E-2</v>
      </c>
      <c r="J1295" s="21">
        <v>0.85000000000000009</v>
      </c>
      <c r="K1295" s="21">
        <v>6.8750000000000006E-2</v>
      </c>
      <c r="L1295" s="21">
        <v>0.46750000000000003</v>
      </c>
      <c r="M1295" s="17" t="s">
        <v>113</v>
      </c>
      <c r="N1295" s="17" t="s">
        <v>116</v>
      </c>
      <c r="O1295" s="21">
        <v>0.42500000000000004</v>
      </c>
      <c r="P1295" s="21">
        <v>0.46750000000000003</v>
      </c>
    </row>
    <row r="1296" spans="1:16" ht="16.5" x14ac:dyDescent="0.25">
      <c r="A1296" s="2"/>
      <c r="B1296" s="4"/>
      <c r="C1296" s="18"/>
      <c r="E1296" s="20">
        <v>44572</v>
      </c>
      <c r="F1296" s="17" t="s">
        <v>92</v>
      </c>
      <c r="G1296" s="21">
        <v>5.9234375000000004</v>
      </c>
      <c r="H1296" s="21">
        <v>12.6</v>
      </c>
      <c r="I1296" s="25">
        <v>0.20058591269841261</v>
      </c>
      <c r="J1296" s="21">
        <v>1.26</v>
      </c>
      <c r="K1296" s="21">
        <v>6.8750000000000006E-2</v>
      </c>
      <c r="L1296" s="21">
        <v>1.512</v>
      </c>
      <c r="M1296" s="17" t="s">
        <v>122</v>
      </c>
      <c r="N1296" s="17" t="s">
        <v>117</v>
      </c>
      <c r="O1296" s="21">
        <v>0.63</v>
      </c>
      <c r="P1296" s="21">
        <v>2.2591800000000002</v>
      </c>
    </row>
    <row r="1297" spans="1:16" ht="16.5" x14ac:dyDescent="0.25">
      <c r="A1297" s="2"/>
      <c r="B1297" s="4"/>
      <c r="C1297" s="18"/>
      <c r="E1297" s="20">
        <v>44572</v>
      </c>
      <c r="F1297" s="17" t="s">
        <v>92</v>
      </c>
      <c r="G1297" s="21">
        <v>5.9234375000000004</v>
      </c>
      <c r="H1297" s="21">
        <v>12.1</v>
      </c>
      <c r="I1297" s="25">
        <v>0.18115971074380161</v>
      </c>
      <c r="J1297" s="21">
        <v>1.21</v>
      </c>
      <c r="K1297" s="21">
        <v>6.8750000000000006E-2</v>
      </c>
      <c r="L1297" s="21">
        <v>1.452</v>
      </c>
      <c r="M1297" s="17" t="s">
        <v>121</v>
      </c>
      <c r="N1297" s="17" t="s">
        <v>117</v>
      </c>
      <c r="O1297" s="21">
        <v>0.60499999999999998</v>
      </c>
      <c r="P1297" s="21">
        <v>2.16953</v>
      </c>
    </row>
    <row r="1298" spans="1:16" ht="16.5" x14ac:dyDescent="0.25">
      <c r="A1298" s="2"/>
      <c r="B1298" s="4"/>
      <c r="C1298" s="18"/>
      <c r="E1298" s="20">
        <v>44572</v>
      </c>
      <c r="F1298" s="17" t="s">
        <v>92</v>
      </c>
      <c r="G1298" s="21">
        <v>5.9234375000000004</v>
      </c>
      <c r="H1298" s="21">
        <v>11.4</v>
      </c>
      <c r="I1298" s="25">
        <v>0.1511002192982456</v>
      </c>
      <c r="J1298" s="21">
        <v>1.1400000000000001</v>
      </c>
      <c r="K1298" s="21">
        <v>6.8750000000000006E-2</v>
      </c>
      <c r="L1298" s="21">
        <v>1.3679999999999999</v>
      </c>
      <c r="M1298" s="17" t="s">
        <v>120</v>
      </c>
      <c r="N1298" s="17" t="s">
        <v>117</v>
      </c>
      <c r="O1298" s="21">
        <v>0.57000000000000006</v>
      </c>
      <c r="P1298" s="21">
        <v>2.0440200000000002</v>
      </c>
    </row>
    <row r="1299" spans="1:16" ht="16.5" x14ac:dyDescent="0.25">
      <c r="A1299" s="2"/>
      <c r="B1299" s="4"/>
      <c r="C1299" s="18"/>
      <c r="E1299" s="20">
        <v>44572</v>
      </c>
      <c r="F1299" s="17" t="s">
        <v>92</v>
      </c>
      <c r="G1299" s="21">
        <v>5.9234375000000004</v>
      </c>
      <c r="H1299" s="21">
        <v>10.4</v>
      </c>
      <c r="I1299" s="25">
        <v>0.1011387019230769</v>
      </c>
      <c r="J1299" s="21">
        <v>1.04</v>
      </c>
      <c r="K1299" s="21">
        <v>6.8750000000000006E-2</v>
      </c>
      <c r="L1299" s="21">
        <v>1.248</v>
      </c>
      <c r="M1299" s="17" t="s">
        <v>113</v>
      </c>
      <c r="N1299" s="17" t="s">
        <v>117</v>
      </c>
      <c r="O1299" s="21">
        <v>0.52</v>
      </c>
      <c r="P1299" s="21">
        <v>1.8647200000000002</v>
      </c>
    </row>
    <row r="1300" spans="1:16" ht="16.5" x14ac:dyDescent="0.25">
      <c r="A1300" s="2"/>
      <c r="B1300" s="4"/>
      <c r="C1300" s="18"/>
      <c r="E1300" s="20">
        <v>44572</v>
      </c>
      <c r="F1300" s="17" t="s">
        <v>92</v>
      </c>
      <c r="G1300" s="21">
        <v>5.9234375000000004</v>
      </c>
      <c r="H1300" s="21">
        <v>10.4</v>
      </c>
      <c r="I1300" s="25">
        <v>0.1011387019230769</v>
      </c>
      <c r="J1300" s="21">
        <v>1.04</v>
      </c>
      <c r="K1300" s="21">
        <v>6.8750000000000006E-2</v>
      </c>
      <c r="L1300" s="21">
        <v>1.248</v>
      </c>
      <c r="M1300" s="17" t="s">
        <v>122</v>
      </c>
      <c r="N1300" s="17" t="s">
        <v>117</v>
      </c>
      <c r="O1300" s="21">
        <v>0.52</v>
      </c>
      <c r="P1300" s="21">
        <v>1.8647200000000002</v>
      </c>
    </row>
    <row r="1301" spans="1:16" ht="16.5" x14ac:dyDescent="0.25">
      <c r="A1301" s="2"/>
      <c r="B1301" s="4"/>
      <c r="C1301" s="18"/>
      <c r="E1301" s="20">
        <v>44572</v>
      </c>
      <c r="F1301" s="17" t="s">
        <v>92</v>
      </c>
      <c r="G1301" s="21">
        <v>5.9921875</v>
      </c>
      <c r="H1301" s="21">
        <v>9.1999999999999993</v>
      </c>
      <c r="I1301" s="25">
        <v>0.19867527173913038</v>
      </c>
      <c r="J1301" s="21">
        <v>0.91999999999999993</v>
      </c>
      <c r="K1301" s="21">
        <v>6.8750000000000006E-2</v>
      </c>
      <c r="L1301" s="21">
        <v>0</v>
      </c>
      <c r="M1301" s="17" t="s">
        <v>122</v>
      </c>
      <c r="N1301" s="17" t="s">
        <v>115</v>
      </c>
      <c r="O1301" s="21">
        <v>0.45999999999999996</v>
      </c>
      <c r="P1301" s="21">
        <v>0</v>
      </c>
    </row>
    <row r="1302" spans="1:16" ht="16.5" x14ac:dyDescent="0.25">
      <c r="A1302" s="2"/>
      <c r="B1302" s="4"/>
      <c r="C1302" s="18"/>
      <c r="E1302" s="20">
        <v>44572</v>
      </c>
      <c r="F1302" s="17" t="s">
        <v>92</v>
      </c>
      <c r="G1302" s="21">
        <v>5.9921875</v>
      </c>
      <c r="H1302" s="21">
        <v>8.9</v>
      </c>
      <c r="I1302" s="25">
        <v>0.1767205056179775</v>
      </c>
      <c r="J1302" s="21">
        <v>0.89000000000000012</v>
      </c>
      <c r="K1302" s="21">
        <v>6.8750000000000006E-2</v>
      </c>
      <c r="L1302" s="21">
        <v>0</v>
      </c>
      <c r="M1302" s="17" t="s">
        <v>121</v>
      </c>
      <c r="N1302" s="17" t="s">
        <v>115</v>
      </c>
      <c r="O1302" s="21">
        <v>0.44500000000000006</v>
      </c>
      <c r="P1302" s="21">
        <v>0</v>
      </c>
    </row>
    <row r="1303" spans="1:16" ht="16.5" x14ac:dyDescent="0.25">
      <c r="A1303" s="2"/>
      <c r="B1303" s="4"/>
      <c r="C1303" s="18"/>
      <c r="E1303" s="20">
        <v>44572</v>
      </c>
      <c r="F1303" s="17" t="s">
        <v>92</v>
      </c>
      <c r="G1303" s="21">
        <v>5.9921875</v>
      </c>
      <c r="H1303" s="21">
        <v>8.6</v>
      </c>
      <c r="I1303" s="25">
        <v>0.15323401162790692</v>
      </c>
      <c r="J1303" s="21">
        <v>0.86</v>
      </c>
      <c r="K1303" s="21">
        <v>6.8750000000000006E-2</v>
      </c>
      <c r="L1303" s="21">
        <v>0</v>
      </c>
      <c r="M1303" s="17" t="s">
        <v>120</v>
      </c>
      <c r="N1303" s="17" t="s">
        <v>115</v>
      </c>
      <c r="O1303" s="21">
        <v>0.43</v>
      </c>
      <c r="P1303" s="21">
        <v>0</v>
      </c>
    </row>
    <row r="1304" spans="1:16" ht="16.5" x14ac:dyDescent="0.25">
      <c r="A1304" s="2"/>
      <c r="B1304" s="4"/>
      <c r="C1304" s="18"/>
      <c r="E1304" s="20">
        <v>44572</v>
      </c>
      <c r="F1304" s="17" t="s">
        <v>92</v>
      </c>
      <c r="G1304" s="21">
        <v>5.9921875</v>
      </c>
      <c r="H1304" s="21">
        <v>8</v>
      </c>
      <c r="I1304" s="25">
        <v>0.10097656250000001</v>
      </c>
      <c r="J1304" s="21">
        <v>0.8</v>
      </c>
      <c r="K1304" s="21">
        <v>6.8750000000000006E-2</v>
      </c>
      <c r="L1304" s="21">
        <v>0</v>
      </c>
      <c r="M1304" s="17" t="s">
        <v>113</v>
      </c>
      <c r="N1304" s="17" t="s">
        <v>115</v>
      </c>
      <c r="O1304" s="21">
        <v>0.4</v>
      </c>
      <c r="P1304" s="21">
        <v>0</v>
      </c>
    </row>
    <row r="1305" spans="1:16" ht="16.5" x14ac:dyDescent="0.25">
      <c r="A1305" s="2"/>
      <c r="B1305" s="4"/>
      <c r="C1305" s="18"/>
      <c r="E1305" s="20">
        <v>44572</v>
      </c>
      <c r="F1305" s="17" t="s">
        <v>93</v>
      </c>
      <c r="G1305" s="21">
        <v>10.319166666666668</v>
      </c>
      <c r="H1305" s="21">
        <v>17.3</v>
      </c>
      <c r="I1305" s="25">
        <v>0.19851637764932559</v>
      </c>
      <c r="J1305" s="21">
        <v>1.7300000000000002</v>
      </c>
      <c r="K1305" s="21">
        <v>0.12250000000000001</v>
      </c>
      <c r="L1305" s="21">
        <v>0.95150000000000001</v>
      </c>
      <c r="M1305" s="17" t="s">
        <v>122</v>
      </c>
      <c r="N1305" s="17" t="s">
        <v>116</v>
      </c>
      <c r="O1305" s="21">
        <v>0.8650000000000001</v>
      </c>
      <c r="P1305" s="21">
        <v>0.95150000000000001</v>
      </c>
    </row>
    <row r="1306" spans="1:16" ht="16.5" x14ac:dyDescent="0.25">
      <c r="A1306" s="2"/>
      <c r="B1306" s="4"/>
      <c r="C1306" s="18"/>
      <c r="E1306" s="20">
        <v>44572</v>
      </c>
      <c r="F1306" s="17" t="s">
        <v>93</v>
      </c>
      <c r="G1306" s="21">
        <v>10.319166666666668</v>
      </c>
      <c r="H1306" s="21">
        <v>16.8</v>
      </c>
      <c r="I1306" s="25">
        <v>0.18076388888888889</v>
      </c>
      <c r="J1306" s="21">
        <v>1.6800000000000002</v>
      </c>
      <c r="K1306" s="21">
        <v>0.12250000000000001</v>
      </c>
      <c r="L1306" s="21">
        <v>0.92400000000000004</v>
      </c>
      <c r="M1306" s="17" t="s">
        <v>121</v>
      </c>
      <c r="N1306" s="17" t="s">
        <v>116</v>
      </c>
      <c r="O1306" s="21">
        <v>0.84000000000000008</v>
      </c>
      <c r="P1306" s="21">
        <v>0.92400000000000004</v>
      </c>
    </row>
    <row r="1307" spans="1:16" ht="16.5" x14ac:dyDescent="0.25">
      <c r="A1307" s="2"/>
      <c r="B1307" s="4"/>
      <c r="C1307" s="18"/>
      <c r="E1307" s="20">
        <v>44572</v>
      </c>
      <c r="F1307" s="17" t="s">
        <v>93</v>
      </c>
      <c r="G1307" s="21">
        <v>10.319166666666668</v>
      </c>
      <c r="H1307" s="21">
        <v>16</v>
      </c>
      <c r="I1307" s="25">
        <v>0.15005208333333322</v>
      </c>
      <c r="J1307" s="21">
        <v>1.6</v>
      </c>
      <c r="K1307" s="21">
        <v>0.12250000000000001</v>
      </c>
      <c r="L1307" s="21">
        <v>0.88</v>
      </c>
      <c r="M1307" s="17" t="s">
        <v>120</v>
      </c>
      <c r="N1307" s="17" t="s">
        <v>116</v>
      </c>
      <c r="O1307" s="21">
        <v>0.8</v>
      </c>
      <c r="P1307" s="21">
        <v>0.88</v>
      </c>
    </row>
    <row r="1308" spans="1:16" ht="16.5" x14ac:dyDescent="0.25">
      <c r="A1308" s="2"/>
      <c r="B1308" s="4"/>
      <c r="C1308" s="18"/>
      <c r="E1308" s="20">
        <v>44572</v>
      </c>
      <c r="F1308" s="17" t="s">
        <v>93</v>
      </c>
      <c r="G1308" s="21">
        <v>10.319166666666668</v>
      </c>
      <c r="H1308" s="21">
        <v>14.8</v>
      </c>
      <c r="I1308" s="25">
        <v>9.7759009009008954E-2</v>
      </c>
      <c r="J1308" s="21">
        <v>1.4800000000000002</v>
      </c>
      <c r="K1308" s="21">
        <v>0.12250000000000001</v>
      </c>
      <c r="L1308" s="21">
        <v>0.81400000000000006</v>
      </c>
      <c r="M1308" s="17" t="s">
        <v>113</v>
      </c>
      <c r="N1308" s="17" t="s">
        <v>116</v>
      </c>
      <c r="O1308" s="21">
        <v>0.7400000000000001</v>
      </c>
      <c r="P1308" s="21">
        <v>0.81400000000000006</v>
      </c>
    </row>
    <row r="1309" spans="1:16" ht="16.5" x14ac:dyDescent="0.25">
      <c r="A1309" s="2"/>
      <c r="B1309" s="4"/>
      <c r="C1309" s="18"/>
      <c r="E1309" s="20">
        <v>44572</v>
      </c>
      <c r="F1309" s="17" t="s">
        <v>93</v>
      </c>
      <c r="G1309" s="21">
        <v>10.319166666666668</v>
      </c>
      <c r="H1309" s="21">
        <v>21.9</v>
      </c>
      <c r="I1309" s="25">
        <v>0.19950517503805157</v>
      </c>
      <c r="J1309" s="21">
        <v>2.19</v>
      </c>
      <c r="K1309" s="21">
        <v>0.12250000000000001</v>
      </c>
      <c r="L1309" s="21">
        <v>2.6279999999999997</v>
      </c>
      <c r="M1309" s="17" t="s">
        <v>122</v>
      </c>
      <c r="N1309" s="17" t="s">
        <v>117</v>
      </c>
      <c r="O1309" s="21">
        <v>1.095</v>
      </c>
      <c r="P1309" s="21">
        <v>3.9266700000000001</v>
      </c>
    </row>
    <row r="1310" spans="1:16" ht="16.5" x14ac:dyDescent="0.25">
      <c r="A1310" s="2"/>
      <c r="B1310" s="4"/>
      <c r="C1310" s="18"/>
      <c r="E1310" s="20">
        <v>44572</v>
      </c>
      <c r="F1310" s="17" t="s">
        <v>93</v>
      </c>
      <c r="G1310" s="21">
        <v>10.319166666666668</v>
      </c>
      <c r="H1310" s="21">
        <v>21</v>
      </c>
      <c r="I1310" s="25">
        <v>0.17931111111111106</v>
      </c>
      <c r="J1310" s="21">
        <v>2.1</v>
      </c>
      <c r="K1310" s="21">
        <v>0.12250000000000001</v>
      </c>
      <c r="L1310" s="21">
        <v>2.52</v>
      </c>
      <c r="M1310" s="17" t="s">
        <v>121</v>
      </c>
      <c r="N1310" s="17" t="s">
        <v>117</v>
      </c>
      <c r="O1310" s="21">
        <v>1.05</v>
      </c>
      <c r="P1310" s="21">
        <v>3.7653000000000003</v>
      </c>
    </row>
    <row r="1311" spans="1:16" ht="16.5" x14ac:dyDescent="0.25">
      <c r="A1311" s="2"/>
      <c r="B1311" s="4"/>
      <c r="C1311" s="18"/>
      <c r="E1311" s="20">
        <v>44572</v>
      </c>
      <c r="F1311" s="17" t="s">
        <v>93</v>
      </c>
      <c r="G1311" s="21">
        <v>10.319166666666668</v>
      </c>
      <c r="H1311" s="21">
        <v>19.8</v>
      </c>
      <c r="I1311" s="25">
        <v>0.14952996632996632</v>
      </c>
      <c r="J1311" s="21">
        <v>1.9800000000000002</v>
      </c>
      <c r="K1311" s="21">
        <v>0.12250000000000001</v>
      </c>
      <c r="L1311" s="21">
        <v>2.3759999999999999</v>
      </c>
      <c r="M1311" s="17" t="s">
        <v>120</v>
      </c>
      <c r="N1311" s="17" t="s">
        <v>117</v>
      </c>
      <c r="O1311" s="21">
        <v>0.9900000000000001</v>
      </c>
      <c r="P1311" s="21">
        <v>3.5501400000000003</v>
      </c>
    </row>
    <row r="1312" spans="1:16" ht="16.5" x14ac:dyDescent="0.25">
      <c r="A1312" s="2"/>
      <c r="B1312" s="4"/>
      <c r="C1312" s="18"/>
      <c r="E1312" s="20">
        <v>44572</v>
      </c>
      <c r="F1312" s="17" t="s">
        <v>93</v>
      </c>
      <c r="G1312" s="21">
        <v>10.319166666666668</v>
      </c>
      <c r="H1312" s="21">
        <v>18.100000000000001</v>
      </c>
      <c r="I1312" s="25">
        <v>0.10058029465930012</v>
      </c>
      <c r="J1312" s="21">
        <v>1.8100000000000003</v>
      </c>
      <c r="K1312" s="21">
        <v>0.12250000000000001</v>
      </c>
      <c r="L1312" s="21">
        <v>2.1720000000000002</v>
      </c>
      <c r="M1312" s="17" t="s">
        <v>113</v>
      </c>
      <c r="N1312" s="17" t="s">
        <v>117</v>
      </c>
      <c r="O1312" s="21">
        <v>0.90500000000000014</v>
      </c>
      <c r="P1312" s="21">
        <v>3.2453300000000005</v>
      </c>
    </row>
    <row r="1313" spans="1:16" ht="16.5" x14ac:dyDescent="0.25">
      <c r="A1313" s="2"/>
      <c r="B1313" s="4"/>
      <c r="C1313" s="18"/>
      <c r="E1313" s="20">
        <v>44572</v>
      </c>
      <c r="F1313" s="17" t="s">
        <v>93</v>
      </c>
      <c r="G1313" s="21">
        <v>10.441666666666668</v>
      </c>
      <c r="H1313" s="21">
        <v>16.100000000000001</v>
      </c>
      <c r="I1313" s="25">
        <v>0.20144927536231882</v>
      </c>
      <c r="J1313" s="21">
        <v>1.6100000000000003</v>
      </c>
      <c r="K1313" s="21">
        <v>0.12250000000000001</v>
      </c>
      <c r="L1313" s="21">
        <v>0</v>
      </c>
      <c r="M1313" s="17" t="s">
        <v>120</v>
      </c>
      <c r="N1313" s="17" t="s">
        <v>115</v>
      </c>
      <c r="O1313" s="21">
        <v>0.80500000000000016</v>
      </c>
      <c r="P1313" s="21">
        <v>0</v>
      </c>
    </row>
    <row r="1314" spans="1:16" ht="16.5" x14ac:dyDescent="0.25">
      <c r="A1314" s="2"/>
      <c r="B1314" s="4"/>
      <c r="C1314" s="18"/>
      <c r="E1314" s="20">
        <v>44572</v>
      </c>
      <c r="F1314" s="17" t="s">
        <v>93</v>
      </c>
      <c r="G1314" s="21">
        <v>10.441666666666668</v>
      </c>
      <c r="H1314" s="21">
        <v>15.6</v>
      </c>
      <c r="I1314" s="25">
        <v>0.18066239316239302</v>
      </c>
      <c r="J1314" s="21">
        <v>1.56</v>
      </c>
      <c r="K1314" s="21">
        <v>0.12250000000000001</v>
      </c>
      <c r="L1314" s="21">
        <v>0</v>
      </c>
      <c r="M1314" s="17" t="s">
        <v>120</v>
      </c>
      <c r="N1314" s="17" t="s">
        <v>115</v>
      </c>
      <c r="O1314" s="21">
        <v>0.78</v>
      </c>
      <c r="P1314" s="21">
        <v>0</v>
      </c>
    </row>
    <row r="1315" spans="1:16" ht="16.5" x14ac:dyDescent="0.25">
      <c r="A1315" s="2"/>
      <c r="B1315" s="4"/>
      <c r="C1315" s="18"/>
      <c r="E1315" s="20">
        <v>44572</v>
      </c>
      <c r="F1315" s="17" t="s">
        <v>93</v>
      </c>
      <c r="G1315" s="21">
        <v>10.441666666666668</v>
      </c>
      <c r="H1315" s="21">
        <v>14.9</v>
      </c>
      <c r="I1315" s="25">
        <v>0.14921700223713635</v>
      </c>
      <c r="J1315" s="21">
        <v>1.4900000000000002</v>
      </c>
      <c r="K1315" s="21">
        <v>0.12250000000000001</v>
      </c>
      <c r="L1315" s="21">
        <v>0</v>
      </c>
      <c r="M1315" s="17" t="s">
        <v>120</v>
      </c>
      <c r="N1315" s="17" t="s">
        <v>115</v>
      </c>
      <c r="O1315" s="21">
        <v>0.74500000000000011</v>
      </c>
      <c r="P1315" s="21">
        <v>0</v>
      </c>
    </row>
    <row r="1316" spans="1:16" ht="16.5" x14ac:dyDescent="0.25">
      <c r="A1316" s="2"/>
      <c r="B1316" s="4"/>
      <c r="C1316" s="18"/>
      <c r="E1316" s="20">
        <v>44572</v>
      </c>
      <c r="F1316" s="17" t="s">
        <v>93</v>
      </c>
      <c r="G1316" s="21">
        <v>10.441666666666668</v>
      </c>
      <c r="H1316" s="21">
        <v>13.9</v>
      </c>
      <c r="I1316" s="25">
        <v>9.8800959232613797E-2</v>
      </c>
      <c r="J1316" s="21">
        <v>1.3900000000000001</v>
      </c>
      <c r="K1316" s="21">
        <v>0.12250000000000001</v>
      </c>
      <c r="L1316" s="21">
        <v>0</v>
      </c>
      <c r="M1316" s="17" t="s">
        <v>113</v>
      </c>
      <c r="N1316" s="17" t="s">
        <v>115</v>
      </c>
      <c r="O1316" s="21">
        <v>0.69500000000000006</v>
      </c>
      <c r="P1316" s="21">
        <v>0</v>
      </c>
    </row>
    <row r="1317" spans="1:16" ht="16.5" x14ac:dyDescent="0.25">
      <c r="A1317" s="2"/>
      <c r="B1317" s="4"/>
      <c r="C1317" s="18"/>
      <c r="E1317" s="20">
        <v>44571</v>
      </c>
      <c r="F1317" s="17" t="s">
        <v>92</v>
      </c>
      <c r="G1317" s="21">
        <v>5.9234375000000004</v>
      </c>
      <c r="H1317" s="21">
        <v>12.6</v>
      </c>
      <c r="I1317" s="25">
        <v>0.20058591269841261</v>
      </c>
      <c r="J1317" s="21">
        <v>1.26</v>
      </c>
      <c r="K1317" s="21">
        <v>6.8750000000000006E-2</v>
      </c>
      <c r="L1317" s="21">
        <v>1.512</v>
      </c>
      <c r="M1317" s="17" t="s">
        <v>122</v>
      </c>
      <c r="N1317" s="17" t="s">
        <v>117</v>
      </c>
      <c r="O1317" s="21">
        <v>0.63</v>
      </c>
      <c r="P1317" s="21">
        <v>2.2591800000000002</v>
      </c>
    </row>
    <row r="1318" spans="1:16" ht="16.5" x14ac:dyDescent="0.25">
      <c r="A1318" s="2"/>
      <c r="B1318" s="4"/>
      <c r="C1318" s="18"/>
      <c r="E1318" s="20">
        <v>44571</v>
      </c>
      <c r="F1318" s="17" t="s">
        <v>92</v>
      </c>
      <c r="G1318" s="21">
        <v>5.9234375000000004</v>
      </c>
      <c r="H1318" s="21">
        <v>12.1</v>
      </c>
      <c r="I1318" s="25">
        <v>0.18115971074380161</v>
      </c>
      <c r="J1318" s="21">
        <v>1.21</v>
      </c>
      <c r="K1318" s="21">
        <v>6.8750000000000006E-2</v>
      </c>
      <c r="L1318" s="21">
        <v>1.452</v>
      </c>
      <c r="M1318" s="17" t="s">
        <v>121</v>
      </c>
      <c r="N1318" s="17" t="s">
        <v>117</v>
      </c>
      <c r="O1318" s="21">
        <v>0.60499999999999998</v>
      </c>
      <c r="P1318" s="21">
        <v>2.16953</v>
      </c>
    </row>
    <row r="1319" spans="1:16" ht="16.5" x14ac:dyDescent="0.25">
      <c r="A1319" s="2"/>
      <c r="B1319" s="4"/>
      <c r="C1319" s="18"/>
      <c r="E1319" s="20">
        <v>44571</v>
      </c>
      <c r="F1319" s="17" t="s">
        <v>92</v>
      </c>
      <c r="G1319" s="21">
        <v>5.9234375000000004</v>
      </c>
      <c r="H1319" s="21">
        <v>11.4</v>
      </c>
      <c r="I1319" s="25">
        <v>0.1511002192982456</v>
      </c>
      <c r="J1319" s="21">
        <v>1.1400000000000001</v>
      </c>
      <c r="K1319" s="21">
        <v>6.8750000000000006E-2</v>
      </c>
      <c r="L1319" s="21">
        <v>1.3679999999999999</v>
      </c>
      <c r="M1319" s="17" t="s">
        <v>120</v>
      </c>
      <c r="N1319" s="17" t="s">
        <v>117</v>
      </c>
      <c r="O1319" s="21">
        <v>0.57000000000000006</v>
      </c>
      <c r="P1319" s="21">
        <v>2.0440200000000002</v>
      </c>
    </row>
    <row r="1320" spans="1:16" ht="16.5" x14ac:dyDescent="0.25">
      <c r="A1320" s="2"/>
      <c r="B1320" s="4"/>
      <c r="C1320" s="18"/>
      <c r="E1320" s="20">
        <v>44571</v>
      </c>
      <c r="F1320" s="17" t="s">
        <v>92</v>
      </c>
      <c r="G1320" s="21">
        <v>5.9234375000000004</v>
      </c>
      <c r="H1320" s="21">
        <v>10.4</v>
      </c>
      <c r="I1320" s="25">
        <v>0.1011387019230769</v>
      </c>
      <c r="J1320" s="21">
        <v>1.04</v>
      </c>
      <c r="K1320" s="21">
        <v>6.8750000000000006E-2</v>
      </c>
      <c r="L1320" s="21">
        <v>1.248</v>
      </c>
      <c r="M1320" s="17" t="s">
        <v>113</v>
      </c>
      <c r="N1320" s="17" t="s">
        <v>117</v>
      </c>
      <c r="O1320" s="21">
        <v>0.52</v>
      </c>
      <c r="P1320" s="21">
        <v>1.8647200000000002</v>
      </c>
    </row>
    <row r="1321" spans="1:16" ht="16.5" x14ac:dyDescent="0.25">
      <c r="A1321" s="2"/>
      <c r="B1321" s="4"/>
      <c r="C1321" s="18"/>
      <c r="E1321" s="20">
        <v>44571</v>
      </c>
      <c r="F1321" s="17" t="s">
        <v>92</v>
      </c>
      <c r="G1321" s="21">
        <v>5.9234375000000004</v>
      </c>
      <c r="H1321" s="21">
        <v>10</v>
      </c>
      <c r="I1321" s="25">
        <v>0.2026562499999999</v>
      </c>
      <c r="J1321" s="21">
        <v>1</v>
      </c>
      <c r="K1321" s="21">
        <v>6.8750000000000006E-2</v>
      </c>
      <c r="L1321" s="21">
        <v>0.55000000000000004</v>
      </c>
      <c r="M1321" s="17" t="s">
        <v>122</v>
      </c>
      <c r="N1321" s="17" t="s">
        <v>116</v>
      </c>
      <c r="O1321" s="21">
        <v>0.5</v>
      </c>
      <c r="P1321" s="21">
        <v>0.55000000000000004</v>
      </c>
    </row>
    <row r="1322" spans="1:16" ht="16.5" x14ac:dyDescent="0.25">
      <c r="A1322" s="2"/>
      <c r="B1322" s="4"/>
      <c r="C1322" s="18"/>
      <c r="E1322" s="20">
        <v>44571</v>
      </c>
      <c r="F1322" s="17" t="s">
        <v>92</v>
      </c>
      <c r="G1322" s="21">
        <v>5.9234375000000004</v>
      </c>
      <c r="H1322" s="21">
        <v>9.6</v>
      </c>
      <c r="I1322" s="25">
        <v>0.17797526041666656</v>
      </c>
      <c r="J1322" s="21">
        <v>0.96</v>
      </c>
      <c r="K1322" s="21">
        <v>6.8750000000000006E-2</v>
      </c>
      <c r="L1322" s="21">
        <v>0.52800000000000002</v>
      </c>
      <c r="M1322" s="17" t="s">
        <v>121</v>
      </c>
      <c r="N1322" s="17" t="s">
        <v>116</v>
      </c>
      <c r="O1322" s="21">
        <v>0.48</v>
      </c>
      <c r="P1322" s="21">
        <v>0.52800000000000002</v>
      </c>
    </row>
    <row r="1323" spans="1:16" ht="16.5" x14ac:dyDescent="0.25">
      <c r="A1323" s="2"/>
      <c r="B1323" s="4"/>
      <c r="C1323" s="18"/>
      <c r="E1323" s="20">
        <v>44571</v>
      </c>
      <c r="F1323" s="17" t="s">
        <v>92</v>
      </c>
      <c r="G1323" s="21">
        <v>5.9234375000000004</v>
      </c>
      <c r="H1323" s="21">
        <v>9.1999999999999993</v>
      </c>
      <c r="I1323" s="25">
        <v>0.15114809782608685</v>
      </c>
      <c r="J1323" s="21">
        <v>0.91999999999999993</v>
      </c>
      <c r="K1323" s="21">
        <v>6.8750000000000006E-2</v>
      </c>
      <c r="L1323" s="21">
        <v>0.50600000000000001</v>
      </c>
      <c r="M1323" s="17" t="s">
        <v>120</v>
      </c>
      <c r="N1323" s="17" t="s">
        <v>116</v>
      </c>
      <c r="O1323" s="21">
        <v>0.45999999999999996</v>
      </c>
      <c r="P1323" s="21">
        <v>0.50600000000000001</v>
      </c>
    </row>
    <row r="1324" spans="1:16" ht="16.5" x14ac:dyDescent="0.25">
      <c r="A1324" s="2"/>
      <c r="B1324" s="4"/>
      <c r="C1324" s="18"/>
      <c r="E1324" s="20">
        <v>44571</v>
      </c>
      <c r="F1324" s="17" t="s">
        <v>92</v>
      </c>
      <c r="G1324" s="21">
        <v>5.9234375000000004</v>
      </c>
      <c r="H1324" s="21">
        <v>8.5</v>
      </c>
      <c r="I1324" s="25">
        <v>9.8125000000000018E-2</v>
      </c>
      <c r="J1324" s="21">
        <v>0.85000000000000009</v>
      </c>
      <c r="K1324" s="21">
        <v>6.8750000000000006E-2</v>
      </c>
      <c r="L1324" s="21">
        <v>0.46750000000000003</v>
      </c>
      <c r="M1324" s="17" t="s">
        <v>113</v>
      </c>
      <c r="N1324" s="17" t="s">
        <v>116</v>
      </c>
      <c r="O1324" s="21">
        <v>0.42500000000000004</v>
      </c>
      <c r="P1324" s="21">
        <v>0.46750000000000003</v>
      </c>
    </row>
    <row r="1325" spans="1:16" ht="16.5" x14ac:dyDescent="0.25">
      <c r="A1325" s="2"/>
      <c r="B1325" s="4"/>
      <c r="C1325" s="18"/>
      <c r="E1325" s="20">
        <v>44571</v>
      </c>
      <c r="F1325" s="17" t="s">
        <v>92</v>
      </c>
      <c r="G1325" s="21">
        <v>5.9921875</v>
      </c>
      <c r="H1325" s="21">
        <v>9.1999999999999993</v>
      </c>
      <c r="I1325" s="25">
        <v>0.19867527173913038</v>
      </c>
      <c r="J1325" s="21">
        <v>0.91999999999999993</v>
      </c>
      <c r="K1325" s="21">
        <v>6.8750000000000006E-2</v>
      </c>
      <c r="L1325" s="21">
        <v>0</v>
      </c>
      <c r="M1325" s="17" t="s">
        <v>122</v>
      </c>
      <c r="N1325" s="17" t="s">
        <v>115</v>
      </c>
      <c r="O1325" s="21">
        <v>0.45999999999999996</v>
      </c>
      <c r="P1325" s="21">
        <v>0</v>
      </c>
    </row>
    <row r="1326" spans="1:16" ht="16.5" x14ac:dyDescent="0.25">
      <c r="A1326" s="2"/>
      <c r="B1326" s="4"/>
      <c r="C1326" s="18"/>
      <c r="E1326" s="20">
        <v>44571</v>
      </c>
      <c r="F1326" s="17" t="s">
        <v>92</v>
      </c>
      <c r="G1326" s="21">
        <v>5.9921875</v>
      </c>
      <c r="H1326" s="21">
        <v>8.9</v>
      </c>
      <c r="I1326" s="25">
        <v>0.1767205056179775</v>
      </c>
      <c r="J1326" s="21">
        <v>0.89000000000000012</v>
      </c>
      <c r="K1326" s="21">
        <v>6.8750000000000006E-2</v>
      </c>
      <c r="L1326" s="21">
        <v>0</v>
      </c>
      <c r="M1326" s="17" t="s">
        <v>121</v>
      </c>
      <c r="N1326" s="17" t="s">
        <v>115</v>
      </c>
      <c r="O1326" s="21">
        <v>0.44500000000000006</v>
      </c>
      <c r="P1326" s="21">
        <v>0</v>
      </c>
    </row>
    <row r="1327" spans="1:16" ht="16.5" x14ac:dyDescent="0.25">
      <c r="A1327" s="2"/>
      <c r="B1327" s="4"/>
      <c r="C1327" s="18"/>
      <c r="E1327" s="20">
        <v>44571</v>
      </c>
      <c r="F1327" s="17" t="s">
        <v>92</v>
      </c>
      <c r="G1327" s="21">
        <v>5.9921875</v>
      </c>
      <c r="H1327" s="21">
        <v>8.6</v>
      </c>
      <c r="I1327" s="25">
        <v>0.15323401162790692</v>
      </c>
      <c r="J1327" s="21">
        <v>0.86</v>
      </c>
      <c r="K1327" s="21">
        <v>6.8750000000000006E-2</v>
      </c>
      <c r="L1327" s="21">
        <v>0</v>
      </c>
      <c r="M1327" s="17" t="s">
        <v>120</v>
      </c>
      <c r="N1327" s="17" t="s">
        <v>115</v>
      </c>
      <c r="O1327" s="21">
        <v>0.43</v>
      </c>
      <c r="P1327" s="21">
        <v>0</v>
      </c>
    </row>
    <row r="1328" spans="1:16" ht="16.5" x14ac:dyDescent="0.25">
      <c r="A1328" s="2"/>
      <c r="B1328" s="4"/>
      <c r="C1328" s="18"/>
      <c r="E1328" s="20">
        <v>44571</v>
      </c>
      <c r="F1328" s="17" t="s">
        <v>93</v>
      </c>
      <c r="G1328" s="21">
        <v>10.141666666666667</v>
      </c>
      <c r="H1328" s="21">
        <v>13.5</v>
      </c>
      <c r="I1328" s="25">
        <v>9.8765432098765371E-2</v>
      </c>
      <c r="J1328" s="21">
        <v>1.35</v>
      </c>
      <c r="K1328" s="21">
        <v>0.11875000000000001</v>
      </c>
      <c r="L1328" s="21">
        <v>0</v>
      </c>
      <c r="M1328" s="17" t="s">
        <v>113</v>
      </c>
      <c r="N1328" s="17" t="s">
        <v>115</v>
      </c>
      <c r="O1328" s="21">
        <v>0.67500000000000004</v>
      </c>
      <c r="P1328" s="21">
        <v>0</v>
      </c>
    </row>
    <row r="1329" spans="1:16" ht="16.5" x14ac:dyDescent="0.25">
      <c r="A1329" s="2"/>
      <c r="B1329" s="4"/>
      <c r="C1329" s="18"/>
      <c r="E1329" s="20">
        <v>44571</v>
      </c>
      <c r="F1329" s="17" t="s">
        <v>93</v>
      </c>
      <c r="G1329" s="21">
        <v>10.141666666666667</v>
      </c>
      <c r="H1329" s="21">
        <v>15.6</v>
      </c>
      <c r="I1329" s="25">
        <v>0.19989316239316229</v>
      </c>
      <c r="J1329" s="21">
        <v>1.56</v>
      </c>
      <c r="K1329" s="21">
        <v>0.11875000000000001</v>
      </c>
      <c r="L1329" s="21">
        <v>0</v>
      </c>
      <c r="M1329" s="17" t="s">
        <v>122</v>
      </c>
      <c r="N1329" s="17" t="s">
        <v>115</v>
      </c>
      <c r="O1329" s="21">
        <v>0.78</v>
      </c>
      <c r="P1329" s="21">
        <v>0</v>
      </c>
    </row>
    <row r="1330" spans="1:16" ht="16.5" x14ac:dyDescent="0.25">
      <c r="A1330" s="2"/>
      <c r="B1330" s="4"/>
      <c r="C1330" s="18"/>
      <c r="E1330" s="20">
        <v>44571</v>
      </c>
      <c r="F1330" s="17" t="s">
        <v>93</v>
      </c>
      <c r="G1330" s="21">
        <v>10.141666666666667</v>
      </c>
      <c r="H1330" s="21">
        <v>15.1</v>
      </c>
      <c r="I1330" s="25">
        <v>0.17836644591611472</v>
      </c>
      <c r="J1330" s="21">
        <v>1.51</v>
      </c>
      <c r="K1330" s="21">
        <v>0.11875000000000001</v>
      </c>
      <c r="L1330" s="21">
        <v>0</v>
      </c>
      <c r="M1330" s="17" t="s">
        <v>121</v>
      </c>
      <c r="N1330" s="17" t="s">
        <v>115</v>
      </c>
      <c r="O1330" s="21">
        <v>0.755</v>
      </c>
      <c r="P1330" s="21">
        <v>0</v>
      </c>
    </row>
    <row r="1331" spans="1:16" ht="16.5" x14ac:dyDescent="0.25">
      <c r="A1331" s="2"/>
      <c r="B1331" s="4"/>
      <c r="C1331" s="18"/>
      <c r="E1331" s="20">
        <v>44571</v>
      </c>
      <c r="F1331" s="17" t="s">
        <v>93</v>
      </c>
      <c r="G1331" s="21">
        <v>10.141666666666667</v>
      </c>
      <c r="H1331" s="21">
        <v>14.5</v>
      </c>
      <c r="I1331" s="25">
        <v>0.15057471264367808</v>
      </c>
      <c r="J1331" s="21">
        <v>1.4500000000000002</v>
      </c>
      <c r="K1331" s="21">
        <v>0.11875000000000001</v>
      </c>
      <c r="L1331" s="21">
        <v>0</v>
      </c>
      <c r="M1331" s="17" t="s">
        <v>120</v>
      </c>
      <c r="N1331" s="17" t="s">
        <v>115</v>
      </c>
      <c r="O1331" s="21">
        <v>0.72500000000000009</v>
      </c>
      <c r="P1331" s="21">
        <v>0</v>
      </c>
    </row>
    <row r="1332" spans="1:16" ht="16.5" x14ac:dyDescent="0.25">
      <c r="A1332" s="2"/>
      <c r="B1332" s="4"/>
      <c r="C1332" s="18"/>
      <c r="E1332" s="20">
        <v>44571</v>
      </c>
      <c r="F1332" s="17" t="s">
        <v>93</v>
      </c>
      <c r="G1332" s="21">
        <v>10.141666666666667</v>
      </c>
      <c r="H1332" s="21">
        <v>13.5</v>
      </c>
      <c r="I1332" s="25">
        <v>9.8765432098765371E-2</v>
      </c>
      <c r="J1332" s="21">
        <v>1.35</v>
      </c>
      <c r="K1332" s="21">
        <v>0.11875000000000001</v>
      </c>
      <c r="L1332" s="21">
        <v>0</v>
      </c>
      <c r="M1332" s="17" t="s">
        <v>113</v>
      </c>
      <c r="N1332" s="17" t="s">
        <v>115</v>
      </c>
      <c r="O1332" s="21">
        <v>0.67500000000000004</v>
      </c>
      <c r="P1332" s="21">
        <v>0</v>
      </c>
    </row>
    <row r="1333" spans="1:16" ht="16.5" x14ac:dyDescent="0.25">
      <c r="A1333" s="2"/>
      <c r="B1333" s="4"/>
      <c r="C1333" s="18"/>
      <c r="E1333" s="20">
        <v>44571</v>
      </c>
      <c r="F1333" s="17" t="s">
        <v>92</v>
      </c>
      <c r="G1333" s="21">
        <v>5.9921875</v>
      </c>
      <c r="H1333" s="21">
        <v>9.1999999999999993</v>
      </c>
      <c r="I1333" s="25">
        <v>0.19867527173913038</v>
      </c>
      <c r="J1333" s="21">
        <v>0.91999999999999993</v>
      </c>
      <c r="K1333" s="21">
        <v>6.8750000000000006E-2</v>
      </c>
      <c r="L1333" s="21">
        <v>0</v>
      </c>
      <c r="M1333" s="17" t="s">
        <v>122</v>
      </c>
      <c r="N1333" s="17" t="s">
        <v>115</v>
      </c>
      <c r="O1333" s="21">
        <v>0.45999999999999996</v>
      </c>
      <c r="P1333" s="21">
        <v>0</v>
      </c>
    </row>
    <row r="1334" spans="1:16" ht="16.5" x14ac:dyDescent="0.25">
      <c r="A1334" s="2"/>
      <c r="B1334" s="4"/>
      <c r="C1334" s="18"/>
      <c r="E1334" s="20">
        <v>44571</v>
      </c>
      <c r="F1334" s="17" t="s">
        <v>92</v>
      </c>
      <c r="G1334" s="21">
        <v>5.9921875</v>
      </c>
      <c r="H1334" s="21">
        <v>8.9</v>
      </c>
      <c r="I1334" s="25">
        <v>0.1767205056179775</v>
      </c>
      <c r="J1334" s="21">
        <v>0.89000000000000012</v>
      </c>
      <c r="K1334" s="21">
        <v>6.8750000000000006E-2</v>
      </c>
      <c r="L1334" s="21">
        <v>0</v>
      </c>
      <c r="M1334" s="17" t="s">
        <v>121</v>
      </c>
      <c r="N1334" s="17" t="s">
        <v>115</v>
      </c>
      <c r="O1334" s="21">
        <v>0.44500000000000006</v>
      </c>
      <c r="P1334" s="21">
        <v>0</v>
      </c>
    </row>
    <row r="1335" spans="1:16" ht="16.5" x14ac:dyDescent="0.25">
      <c r="A1335" s="2"/>
      <c r="B1335" s="4"/>
      <c r="C1335" s="18"/>
      <c r="E1335" s="20">
        <v>44571</v>
      </c>
      <c r="F1335" s="17" t="s">
        <v>92</v>
      </c>
      <c r="G1335" s="21">
        <v>5.9921875</v>
      </c>
      <c r="H1335" s="21">
        <v>8.6</v>
      </c>
      <c r="I1335" s="25">
        <v>0.15323401162790692</v>
      </c>
      <c r="J1335" s="21">
        <v>0.86</v>
      </c>
      <c r="K1335" s="21">
        <v>6.8750000000000006E-2</v>
      </c>
      <c r="L1335" s="21">
        <v>0</v>
      </c>
      <c r="M1335" s="17" t="s">
        <v>120</v>
      </c>
      <c r="N1335" s="17" t="s">
        <v>115</v>
      </c>
      <c r="O1335" s="21">
        <v>0.43</v>
      </c>
      <c r="P1335" s="21">
        <v>0</v>
      </c>
    </row>
    <row r="1336" spans="1:16" ht="16.5" x14ac:dyDescent="0.25">
      <c r="A1336" s="2"/>
      <c r="B1336" s="4"/>
      <c r="C1336" s="18"/>
      <c r="E1336" s="20">
        <v>44571</v>
      </c>
      <c r="F1336" s="17" t="s">
        <v>92</v>
      </c>
      <c r="G1336" s="21">
        <v>5.9921875</v>
      </c>
      <c r="H1336" s="21">
        <v>8</v>
      </c>
      <c r="I1336" s="25">
        <v>0.10097656250000001</v>
      </c>
      <c r="J1336" s="21">
        <v>0.8</v>
      </c>
      <c r="K1336" s="21">
        <v>6.8750000000000006E-2</v>
      </c>
      <c r="L1336" s="21">
        <v>0</v>
      </c>
      <c r="M1336" s="17" t="s">
        <v>113</v>
      </c>
      <c r="N1336" s="17" t="s">
        <v>115</v>
      </c>
      <c r="O1336" s="21">
        <v>0.4</v>
      </c>
      <c r="P1336" s="21">
        <v>0</v>
      </c>
    </row>
    <row r="1337" spans="1:16" ht="16.5" x14ac:dyDescent="0.25">
      <c r="A1337" s="2"/>
      <c r="B1337" s="4"/>
      <c r="C1337" s="18"/>
      <c r="E1337" s="20">
        <v>44571</v>
      </c>
      <c r="F1337" s="17" t="s">
        <v>93</v>
      </c>
      <c r="G1337" s="21">
        <v>10.141666666666667</v>
      </c>
      <c r="H1337" s="21">
        <v>13.5</v>
      </c>
      <c r="I1337" s="25">
        <v>9.8765432098765371E-2</v>
      </c>
      <c r="J1337" s="21">
        <v>1.35</v>
      </c>
      <c r="K1337" s="21">
        <v>0.11875000000000001</v>
      </c>
      <c r="L1337" s="21">
        <v>0</v>
      </c>
      <c r="M1337" s="17" t="s">
        <v>113</v>
      </c>
      <c r="N1337" s="17" t="s">
        <v>115</v>
      </c>
      <c r="O1337" s="21">
        <v>0.67500000000000004</v>
      </c>
      <c r="P1337" s="21">
        <v>0</v>
      </c>
    </row>
    <row r="1338" spans="1:16" ht="16.5" x14ac:dyDescent="0.25">
      <c r="A1338" s="2"/>
      <c r="B1338" s="4"/>
      <c r="C1338" s="18"/>
      <c r="E1338" s="20">
        <v>44571</v>
      </c>
      <c r="F1338" s="17" t="s">
        <v>93</v>
      </c>
      <c r="G1338" s="21">
        <v>10.141666666666667</v>
      </c>
      <c r="H1338" s="21">
        <v>17</v>
      </c>
      <c r="I1338" s="25">
        <v>0.19843137254901966</v>
      </c>
      <c r="J1338" s="21">
        <v>1.7000000000000002</v>
      </c>
      <c r="K1338" s="21">
        <v>0.11875000000000001</v>
      </c>
      <c r="L1338" s="21">
        <v>0.93500000000000005</v>
      </c>
      <c r="M1338" s="17" t="s">
        <v>122</v>
      </c>
      <c r="N1338" s="17" t="s">
        <v>116</v>
      </c>
      <c r="O1338" s="21">
        <v>0.85000000000000009</v>
      </c>
      <c r="P1338" s="21">
        <v>0.93500000000000005</v>
      </c>
    </row>
    <row r="1339" spans="1:16" ht="16.5" x14ac:dyDescent="0.25">
      <c r="A1339" s="2"/>
      <c r="B1339" s="4"/>
      <c r="C1339" s="18"/>
      <c r="E1339" s="20">
        <v>44571</v>
      </c>
      <c r="F1339" s="17" t="s">
        <v>93</v>
      </c>
      <c r="G1339" s="21">
        <v>10.141666666666667</v>
      </c>
      <c r="H1339" s="21">
        <v>16.5</v>
      </c>
      <c r="I1339" s="25">
        <v>0.18035353535353524</v>
      </c>
      <c r="J1339" s="21">
        <v>1.6500000000000001</v>
      </c>
      <c r="K1339" s="21">
        <v>0.11875000000000001</v>
      </c>
      <c r="L1339" s="21">
        <v>0.90749999999999997</v>
      </c>
      <c r="M1339" s="17" t="s">
        <v>121</v>
      </c>
      <c r="N1339" s="17" t="s">
        <v>116</v>
      </c>
      <c r="O1339" s="21">
        <v>0.82500000000000007</v>
      </c>
      <c r="P1339" s="21">
        <v>0.90749999999999997</v>
      </c>
    </row>
    <row r="1340" spans="1:16" ht="16.5" x14ac:dyDescent="0.25">
      <c r="A1340" s="2"/>
      <c r="B1340" s="4"/>
      <c r="C1340" s="18"/>
      <c r="E1340" s="20">
        <v>44571</v>
      </c>
      <c r="F1340" s="17" t="s">
        <v>93</v>
      </c>
      <c r="G1340" s="21">
        <v>10.141666666666667</v>
      </c>
      <c r="H1340" s="21">
        <v>15.7</v>
      </c>
      <c r="I1340" s="25">
        <v>0.14903397027600837</v>
      </c>
      <c r="J1340" s="21">
        <v>1.57</v>
      </c>
      <c r="K1340" s="21">
        <v>0.11875000000000001</v>
      </c>
      <c r="L1340" s="21">
        <v>0.86349999999999993</v>
      </c>
      <c r="M1340" s="17" t="s">
        <v>120</v>
      </c>
      <c r="N1340" s="17" t="s">
        <v>116</v>
      </c>
      <c r="O1340" s="21">
        <v>0.78500000000000003</v>
      </c>
      <c r="P1340" s="21">
        <v>0.86349999999999993</v>
      </c>
    </row>
    <row r="1341" spans="1:16" ht="16.5" x14ac:dyDescent="0.25">
      <c r="A1341" s="2"/>
      <c r="B1341" s="4"/>
      <c r="C1341" s="18"/>
      <c r="E1341" s="20">
        <v>44571</v>
      </c>
      <c r="F1341" s="17" t="s">
        <v>93</v>
      </c>
      <c r="G1341" s="21">
        <v>10.141666666666667</v>
      </c>
      <c r="H1341" s="21">
        <v>14.6</v>
      </c>
      <c r="I1341" s="25">
        <v>0.10036529680365296</v>
      </c>
      <c r="J1341" s="21">
        <v>1.46</v>
      </c>
      <c r="K1341" s="21">
        <v>0.11875000000000001</v>
      </c>
      <c r="L1341" s="21">
        <v>0.80299999999999994</v>
      </c>
      <c r="M1341" s="17" t="s">
        <v>113</v>
      </c>
      <c r="N1341" s="17" t="s">
        <v>116</v>
      </c>
      <c r="O1341" s="21">
        <v>0.73</v>
      </c>
      <c r="P1341" s="21">
        <v>0.80299999999999994</v>
      </c>
    </row>
    <row r="1342" spans="1:16" ht="16.5" x14ac:dyDescent="0.25">
      <c r="A1342" s="2"/>
      <c r="B1342" s="4"/>
      <c r="C1342" s="18"/>
      <c r="E1342" s="20">
        <v>44571</v>
      </c>
      <c r="F1342" s="17" t="s">
        <v>93</v>
      </c>
      <c r="G1342" s="21">
        <v>10.022916666666667</v>
      </c>
      <c r="H1342" s="21">
        <v>21.3</v>
      </c>
      <c r="I1342" s="25">
        <v>0.20014053208137719</v>
      </c>
      <c r="J1342" s="21">
        <v>2.1300000000000003</v>
      </c>
      <c r="K1342" s="21">
        <v>0.11875000000000001</v>
      </c>
      <c r="L1342" s="21">
        <v>2.556</v>
      </c>
      <c r="M1342" s="17" t="s">
        <v>122</v>
      </c>
      <c r="N1342" s="17" t="s">
        <v>117</v>
      </c>
      <c r="O1342" s="21">
        <v>1.0650000000000002</v>
      </c>
      <c r="P1342" s="21">
        <v>3.8190900000000005</v>
      </c>
    </row>
    <row r="1343" spans="1:16" ht="16.5" x14ac:dyDescent="0.25">
      <c r="A1343" s="2"/>
      <c r="B1343" s="4"/>
      <c r="C1343" s="18"/>
      <c r="E1343" s="20">
        <v>44571</v>
      </c>
      <c r="F1343" s="17" t="s">
        <v>93</v>
      </c>
      <c r="G1343" s="21">
        <v>10.022916666666667</v>
      </c>
      <c r="H1343" s="21">
        <v>20.399999999999999</v>
      </c>
      <c r="I1343" s="25">
        <v>0.17938055555555543</v>
      </c>
      <c r="J1343" s="21">
        <v>2.04</v>
      </c>
      <c r="K1343" s="21">
        <v>0.11875000000000001</v>
      </c>
      <c r="L1343" s="21">
        <v>2.448</v>
      </c>
      <c r="M1343" s="17" t="s">
        <v>121</v>
      </c>
      <c r="N1343" s="17" t="s">
        <v>117</v>
      </c>
      <c r="O1343" s="21">
        <v>1.02</v>
      </c>
      <c r="P1343" s="21">
        <v>3.6577199999999999</v>
      </c>
    </row>
    <row r="1344" spans="1:16" ht="16.5" x14ac:dyDescent="0.25">
      <c r="A1344" s="2"/>
      <c r="B1344" s="4"/>
      <c r="C1344" s="18"/>
      <c r="E1344" s="20">
        <v>44571</v>
      </c>
      <c r="F1344" s="17" t="s">
        <v>93</v>
      </c>
      <c r="G1344" s="21">
        <v>10.022916666666667</v>
      </c>
      <c r="H1344" s="21">
        <v>19.2</v>
      </c>
      <c r="I1344" s="25">
        <v>0.14867309027777773</v>
      </c>
      <c r="J1344" s="21">
        <v>1.92</v>
      </c>
      <c r="K1344" s="21">
        <v>0.11875000000000001</v>
      </c>
      <c r="L1344" s="21">
        <v>2.3039999999999998</v>
      </c>
      <c r="M1344" s="17" t="s">
        <v>120</v>
      </c>
      <c r="N1344" s="17" t="s">
        <v>117</v>
      </c>
      <c r="O1344" s="21">
        <v>0.96</v>
      </c>
      <c r="P1344" s="21">
        <v>3.4425600000000003</v>
      </c>
    </row>
    <row r="1345" spans="1:16" ht="16.5" x14ac:dyDescent="0.25">
      <c r="A1345" s="2"/>
      <c r="B1345" s="4"/>
      <c r="C1345" s="18"/>
      <c r="E1345" s="20">
        <v>44571</v>
      </c>
      <c r="F1345" s="17" t="s">
        <v>93</v>
      </c>
      <c r="G1345" s="21">
        <v>10.022916666666667</v>
      </c>
      <c r="H1345" s="21">
        <v>17.600000000000001</v>
      </c>
      <c r="I1345" s="25">
        <v>0.10121609848484851</v>
      </c>
      <c r="J1345" s="21">
        <v>1.7600000000000002</v>
      </c>
      <c r="K1345" s="21">
        <v>0.11875000000000001</v>
      </c>
      <c r="L1345" s="21">
        <v>2.1120000000000001</v>
      </c>
      <c r="M1345" s="17" t="s">
        <v>113</v>
      </c>
      <c r="N1345" s="17" t="s">
        <v>117</v>
      </c>
      <c r="O1345" s="21">
        <v>0.88000000000000012</v>
      </c>
      <c r="P1345" s="21">
        <v>3.1556800000000007</v>
      </c>
    </row>
    <row r="1346" spans="1:16" ht="16.5" x14ac:dyDescent="0.25">
      <c r="A1346" s="2"/>
      <c r="B1346" s="4"/>
      <c r="C1346" s="18"/>
      <c r="E1346" s="20">
        <v>44462</v>
      </c>
      <c r="F1346" s="17" t="s">
        <v>87</v>
      </c>
      <c r="G1346" s="21">
        <v>3.9390727391304341</v>
      </c>
      <c r="H1346" s="21">
        <v>7.2</v>
      </c>
      <c r="I1346" s="25">
        <v>0.17360656400966198</v>
      </c>
      <c r="J1346" s="21">
        <v>0.72000000000000008</v>
      </c>
      <c r="K1346" s="21">
        <v>0.34809375000000004</v>
      </c>
      <c r="L1346" s="21">
        <v>0.50400000000000011</v>
      </c>
      <c r="M1346" s="17" t="s">
        <v>122</v>
      </c>
      <c r="N1346" s="17" t="s">
        <v>117</v>
      </c>
      <c r="O1346" s="21">
        <v>0.36000000000000004</v>
      </c>
      <c r="P1346" s="21">
        <v>0.93096000000000001</v>
      </c>
    </row>
    <row r="1347" spans="1:16" ht="16.5" x14ac:dyDescent="0.25">
      <c r="A1347" s="2"/>
      <c r="B1347" s="4"/>
      <c r="C1347" s="18"/>
      <c r="E1347" s="20">
        <v>44462</v>
      </c>
      <c r="F1347" s="17" t="s">
        <v>87</v>
      </c>
      <c r="G1347" s="21">
        <v>3.9390727391304341</v>
      </c>
      <c r="H1347" s="21">
        <v>6.9</v>
      </c>
      <c r="I1347" s="25">
        <v>0.14981989287964723</v>
      </c>
      <c r="J1347" s="21">
        <v>0.69000000000000006</v>
      </c>
      <c r="K1347" s="21">
        <v>0.34809375000000004</v>
      </c>
      <c r="L1347" s="21">
        <v>0.4830000000000001</v>
      </c>
      <c r="M1347" s="17" t="s">
        <v>121</v>
      </c>
      <c r="N1347" s="17" t="s">
        <v>117</v>
      </c>
      <c r="O1347" s="21">
        <v>0.34500000000000003</v>
      </c>
      <c r="P1347" s="21">
        <v>0.89217000000000002</v>
      </c>
    </row>
    <row r="1348" spans="1:16" ht="16.5" x14ac:dyDescent="0.25">
      <c r="A1348" s="2"/>
      <c r="B1348" s="4"/>
      <c r="C1348" s="18"/>
      <c r="E1348" s="20">
        <v>44462</v>
      </c>
      <c r="F1348" s="17" t="s">
        <v>87</v>
      </c>
      <c r="G1348" s="21">
        <v>3.9390727391304341</v>
      </c>
      <c r="H1348" s="21">
        <v>6.7</v>
      </c>
      <c r="I1348" s="25">
        <v>0.13277869565217398</v>
      </c>
      <c r="J1348" s="21">
        <v>0.67</v>
      </c>
      <c r="K1348" s="21">
        <v>0.34809375000000004</v>
      </c>
      <c r="L1348" s="21">
        <v>0.46900000000000008</v>
      </c>
      <c r="M1348" s="17" t="s">
        <v>120</v>
      </c>
      <c r="N1348" s="17" t="s">
        <v>117</v>
      </c>
      <c r="O1348" s="21">
        <v>0.33500000000000002</v>
      </c>
      <c r="P1348" s="21">
        <v>0.86631000000000002</v>
      </c>
    </row>
    <row r="1349" spans="1:16" ht="16.5" x14ac:dyDescent="0.25">
      <c r="A1349" s="2"/>
      <c r="B1349" s="4"/>
      <c r="C1349" s="18"/>
      <c r="E1349" s="20">
        <v>44462</v>
      </c>
      <c r="F1349" s="17" t="s">
        <v>87</v>
      </c>
      <c r="G1349" s="21">
        <v>3.9390727391304341</v>
      </c>
      <c r="H1349" s="21">
        <v>6.5</v>
      </c>
      <c r="I1349" s="25">
        <v>0.11468880936454864</v>
      </c>
      <c r="J1349" s="21">
        <v>0.65</v>
      </c>
      <c r="K1349" s="21">
        <v>0.34809375000000004</v>
      </c>
      <c r="L1349" s="21">
        <v>0.45500000000000007</v>
      </c>
      <c r="M1349" s="17" t="s">
        <v>113</v>
      </c>
      <c r="N1349" s="17" t="s">
        <v>117</v>
      </c>
      <c r="O1349" s="21">
        <v>0.32500000000000001</v>
      </c>
      <c r="P1349" s="21">
        <v>0.84045000000000003</v>
      </c>
    </row>
    <row r="1350" spans="1:16" ht="16.5" x14ac:dyDescent="0.25">
      <c r="A1350" s="2"/>
      <c r="B1350" s="4"/>
      <c r="C1350" s="18"/>
      <c r="E1350" s="20">
        <v>44462</v>
      </c>
      <c r="F1350" s="17" t="s">
        <v>87</v>
      </c>
      <c r="G1350" s="21">
        <v>4.287166489130434</v>
      </c>
      <c r="H1350" s="21">
        <v>6.2</v>
      </c>
      <c r="I1350" s="25">
        <v>0.15852153401122032</v>
      </c>
      <c r="J1350" s="21">
        <v>0.62000000000000011</v>
      </c>
      <c r="K1350" s="21">
        <v>0.34809375000000004</v>
      </c>
      <c r="L1350" s="21">
        <v>0</v>
      </c>
      <c r="M1350" s="17" t="s">
        <v>122</v>
      </c>
      <c r="N1350" s="17" t="s">
        <v>115</v>
      </c>
      <c r="O1350" s="21">
        <v>0.31000000000000005</v>
      </c>
      <c r="P1350" s="21">
        <v>0</v>
      </c>
    </row>
    <row r="1351" spans="1:16" ht="16.5" x14ac:dyDescent="0.25">
      <c r="A1351" s="2"/>
      <c r="B1351" s="4"/>
      <c r="C1351" s="18"/>
      <c r="E1351" s="20">
        <v>44462</v>
      </c>
      <c r="F1351" s="17" t="s">
        <v>87</v>
      </c>
      <c r="G1351" s="21">
        <v>4.287166489130434</v>
      </c>
      <c r="H1351" s="21">
        <v>5.9</v>
      </c>
      <c r="I1351" s="25">
        <v>0.12336161201179091</v>
      </c>
      <c r="J1351" s="21">
        <v>0.59000000000000008</v>
      </c>
      <c r="K1351" s="21">
        <v>0.34809375000000004</v>
      </c>
      <c r="L1351" s="21">
        <v>0</v>
      </c>
      <c r="M1351" s="17" t="s">
        <v>121</v>
      </c>
      <c r="N1351" s="17" t="s">
        <v>115</v>
      </c>
      <c r="O1351" s="21">
        <v>0.29500000000000004</v>
      </c>
      <c r="P1351" s="21">
        <v>0</v>
      </c>
    </row>
    <row r="1352" spans="1:16" ht="16.5" x14ac:dyDescent="0.25">
      <c r="A1352" s="2"/>
      <c r="B1352" s="4"/>
      <c r="C1352" s="18"/>
      <c r="E1352" s="20">
        <v>44462</v>
      </c>
      <c r="F1352" s="17" t="s">
        <v>87</v>
      </c>
      <c r="G1352" s="21">
        <v>4.287166489130434</v>
      </c>
      <c r="H1352" s="21">
        <v>5.7</v>
      </c>
      <c r="I1352" s="25">
        <v>9.7865528222730869E-2</v>
      </c>
      <c r="J1352" s="21">
        <v>0.57000000000000006</v>
      </c>
      <c r="K1352" s="21">
        <v>0.34809375000000004</v>
      </c>
      <c r="L1352" s="21">
        <v>0</v>
      </c>
      <c r="M1352" s="17" t="s">
        <v>120</v>
      </c>
      <c r="N1352" s="17" t="s">
        <v>115</v>
      </c>
      <c r="O1352" s="21">
        <v>0.28500000000000003</v>
      </c>
      <c r="P1352" s="21">
        <v>0</v>
      </c>
    </row>
    <row r="1353" spans="1:16" ht="16.5" x14ac:dyDescent="0.25">
      <c r="A1353" s="2"/>
      <c r="B1353" s="4"/>
      <c r="C1353" s="18"/>
      <c r="E1353" s="20">
        <v>44462</v>
      </c>
      <c r="F1353" s="17" t="s">
        <v>87</v>
      </c>
      <c r="G1353" s="21">
        <v>4.287166489130434</v>
      </c>
      <c r="H1353" s="21">
        <v>5.5</v>
      </c>
      <c r="I1353" s="25">
        <v>7.0515183794466543E-2</v>
      </c>
      <c r="J1353" s="21">
        <v>0.55000000000000004</v>
      </c>
      <c r="K1353" s="21">
        <v>0.34809375000000004</v>
      </c>
      <c r="L1353" s="21">
        <v>0</v>
      </c>
      <c r="M1353" s="17" t="s">
        <v>113</v>
      </c>
      <c r="N1353" s="17" t="s">
        <v>115</v>
      </c>
      <c r="O1353" s="21">
        <v>0.27500000000000002</v>
      </c>
      <c r="P1353" s="21">
        <v>0</v>
      </c>
    </row>
    <row r="1354" spans="1:16" ht="16.5" x14ac:dyDescent="0.25">
      <c r="A1354" s="2"/>
      <c r="B1354" s="4"/>
      <c r="C1354" s="18"/>
      <c r="E1354" s="20">
        <v>44462</v>
      </c>
      <c r="F1354" s="17" t="s">
        <v>87</v>
      </c>
      <c r="G1354" s="21">
        <v>4.287166489130434</v>
      </c>
      <c r="H1354" s="21">
        <v>5.5</v>
      </c>
      <c r="I1354" s="25">
        <v>7.0515183794466543E-2</v>
      </c>
      <c r="J1354" s="21">
        <v>0.55000000000000004</v>
      </c>
      <c r="K1354" s="21">
        <v>0.34809375000000004</v>
      </c>
      <c r="L1354" s="21">
        <v>0</v>
      </c>
      <c r="M1354" s="17" t="s">
        <v>122</v>
      </c>
      <c r="N1354" s="17" t="s">
        <v>115</v>
      </c>
      <c r="O1354" s="21">
        <v>0.27500000000000002</v>
      </c>
      <c r="P1354" s="21">
        <v>0</v>
      </c>
    </row>
    <row r="1355" spans="1:16" ht="16.5" x14ac:dyDescent="0.25">
      <c r="A1355" s="2"/>
      <c r="B1355" s="4"/>
      <c r="C1355" s="18"/>
      <c r="E1355" s="20">
        <v>44462</v>
      </c>
      <c r="F1355" s="17" t="s">
        <v>88</v>
      </c>
      <c r="G1355" s="21">
        <v>6.5619477391304351</v>
      </c>
      <c r="H1355" s="21">
        <v>11.9</v>
      </c>
      <c r="I1355" s="25">
        <v>0.16927582024113993</v>
      </c>
      <c r="J1355" s="21">
        <v>1.1900000000000002</v>
      </c>
      <c r="K1355" s="21">
        <v>0.47193750000000007</v>
      </c>
      <c r="L1355" s="21">
        <v>0.83300000000000007</v>
      </c>
      <c r="M1355" s="17" t="s">
        <v>122</v>
      </c>
      <c r="N1355" s="17" t="s">
        <v>117</v>
      </c>
      <c r="O1355" s="21">
        <v>0.59500000000000008</v>
      </c>
      <c r="P1355" s="21">
        <v>1.53867</v>
      </c>
    </row>
    <row r="1356" spans="1:16" ht="16.5" x14ac:dyDescent="0.25">
      <c r="A1356" s="2"/>
      <c r="B1356" s="4"/>
      <c r="C1356" s="18"/>
      <c r="E1356" s="20">
        <v>44462</v>
      </c>
      <c r="F1356" s="17" t="s">
        <v>88</v>
      </c>
      <c r="G1356" s="21">
        <v>6.5619477391304351</v>
      </c>
      <c r="H1356" s="21">
        <v>11.5</v>
      </c>
      <c r="I1356" s="25">
        <v>0.15009584877126647</v>
      </c>
      <c r="J1356" s="21">
        <v>1.1500000000000001</v>
      </c>
      <c r="K1356" s="21">
        <v>0.47193750000000007</v>
      </c>
      <c r="L1356" s="21">
        <v>0.80500000000000005</v>
      </c>
      <c r="M1356" s="17" t="s">
        <v>121</v>
      </c>
      <c r="N1356" s="17" t="s">
        <v>117</v>
      </c>
      <c r="O1356" s="21">
        <v>0.57500000000000007</v>
      </c>
      <c r="P1356" s="21">
        <v>1.48695</v>
      </c>
    </row>
    <row r="1357" spans="1:16" ht="16.5" x14ac:dyDescent="0.25">
      <c r="A1357" s="2"/>
      <c r="B1357" s="4"/>
      <c r="C1357" s="18"/>
      <c r="E1357" s="20">
        <v>44462</v>
      </c>
      <c r="F1357" s="17" t="s">
        <v>88</v>
      </c>
      <c r="G1357" s="21">
        <v>6.5619477391304351</v>
      </c>
      <c r="H1357" s="21">
        <v>10.9</v>
      </c>
      <c r="I1357" s="25">
        <v>0.11868644595133618</v>
      </c>
      <c r="J1357" s="21">
        <v>1.0900000000000001</v>
      </c>
      <c r="K1357" s="21">
        <v>0.47193750000000007</v>
      </c>
      <c r="L1357" s="21">
        <v>0.76300000000000012</v>
      </c>
      <c r="M1357" s="17" t="s">
        <v>120</v>
      </c>
      <c r="N1357" s="17" t="s">
        <v>117</v>
      </c>
      <c r="O1357" s="21">
        <v>0.54500000000000004</v>
      </c>
      <c r="P1357" s="21">
        <v>1.40937</v>
      </c>
    </row>
    <row r="1358" spans="1:16" ht="16.5" x14ac:dyDescent="0.25">
      <c r="A1358" s="2"/>
      <c r="B1358" s="4"/>
      <c r="C1358" s="18"/>
      <c r="E1358" s="20">
        <v>44462</v>
      </c>
      <c r="F1358" s="17" t="s">
        <v>88</v>
      </c>
      <c r="G1358" s="21">
        <v>6.5619477391304351</v>
      </c>
      <c r="H1358" s="21">
        <v>10.5</v>
      </c>
      <c r="I1358" s="25">
        <v>9.575259627329194E-2</v>
      </c>
      <c r="J1358" s="21">
        <v>1.05</v>
      </c>
      <c r="K1358" s="21">
        <v>0.47193750000000007</v>
      </c>
      <c r="L1358" s="21">
        <v>0.7350000000000001</v>
      </c>
      <c r="M1358" s="17" t="s">
        <v>113</v>
      </c>
      <c r="N1358" s="17" t="s">
        <v>117</v>
      </c>
      <c r="O1358" s="21">
        <v>0.52500000000000002</v>
      </c>
      <c r="P1358" s="21">
        <v>1.35765</v>
      </c>
    </row>
    <row r="1359" spans="1:16" ht="16.5" x14ac:dyDescent="0.25">
      <c r="A1359" s="2"/>
      <c r="B1359" s="4"/>
      <c r="C1359" s="18"/>
      <c r="E1359" s="20">
        <v>44462</v>
      </c>
      <c r="F1359" s="17" t="s">
        <v>88</v>
      </c>
      <c r="G1359" s="21">
        <v>7.0338852391304352</v>
      </c>
      <c r="H1359" s="21">
        <v>9.9</v>
      </c>
      <c r="I1359" s="25">
        <v>0.13950654150197625</v>
      </c>
      <c r="J1359" s="21">
        <v>0.9900000000000001</v>
      </c>
      <c r="K1359" s="21">
        <v>0.47193750000000007</v>
      </c>
      <c r="L1359" s="21">
        <v>0</v>
      </c>
      <c r="M1359" s="17" t="s">
        <v>122</v>
      </c>
      <c r="N1359" s="17" t="s">
        <v>115</v>
      </c>
      <c r="O1359" s="21">
        <v>0.49500000000000005</v>
      </c>
      <c r="P1359" s="21">
        <v>0</v>
      </c>
    </row>
    <row r="1360" spans="1:16" ht="16.5" x14ac:dyDescent="0.25">
      <c r="A1360" s="2"/>
      <c r="B1360" s="4"/>
      <c r="C1360" s="18"/>
      <c r="E1360" s="20">
        <v>44462</v>
      </c>
      <c r="F1360" s="17" t="s">
        <v>88</v>
      </c>
      <c r="G1360" s="21">
        <v>7.0338852391304352</v>
      </c>
      <c r="H1360" s="21">
        <v>9.5</v>
      </c>
      <c r="I1360" s="25">
        <v>0.10959102745995417</v>
      </c>
      <c r="J1360" s="21">
        <v>0.95000000000000007</v>
      </c>
      <c r="K1360" s="21">
        <v>0.47193750000000007</v>
      </c>
      <c r="L1360" s="21">
        <v>0</v>
      </c>
      <c r="M1360" s="17" t="s">
        <v>121</v>
      </c>
      <c r="N1360" s="17" t="s">
        <v>115</v>
      </c>
      <c r="O1360" s="21">
        <v>0.47500000000000003</v>
      </c>
      <c r="P1360" s="21">
        <v>0</v>
      </c>
    </row>
    <row r="1361" spans="1:16" ht="16.5" x14ac:dyDescent="0.25">
      <c r="A1361" s="2"/>
      <c r="B1361" s="4"/>
      <c r="C1361" s="18"/>
      <c r="E1361" s="20">
        <v>44462</v>
      </c>
      <c r="F1361" s="17" t="s">
        <v>88</v>
      </c>
      <c r="G1361" s="21">
        <v>7.0338852391304352</v>
      </c>
      <c r="H1361" s="21">
        <v>8.9</v>
      </c>
      <c r="I1361" s="25">
        <v>5.9675815828041011E-2</v>
      </c>
      <c r="J1361" s="21">
        <v>0.89000000000000012</v>
      </c>
      <c r="K1361" s="21">
        <v>0.47193750000000007</v>
      </c>
      <c r="L1361" s="21">
        <v>0</v>
      </c>
      <c r="M1361" s="17" t="s">
        <v>120</v>
      </c>
      <c r="N1361" s="17" t="s">
        <v>115</v>
      </c>
      <c r="O1361" s="21">
        <v>0.44500000000000006</v>
      </c>
      <c r="P1361" s="21">
        <v>0</v>
      </c>
    </row>
    <row r="1362" spans="1:16" ht="16.5" x14ac:dyDescent="0.25">
      <c r="A1362" s="2"/>
      <c r="B1362" s="4"/>
      <c r="C1362" s="18"/>
      <c r="E1362" s="20">
        <v>44462</v>
      </c>
      <c r="F1362" s="17" t="s">
        <v>88</v>
      </c>
      <c r="G1362" s="21">
        <v>7.0338852391304352</v>
      </c>
      <c r="H1362" s="21">
        <v>8.5</v>
      </c>
      <c r="I1362" s="25">
        <v>2.2484089514066434E-2</v>
      </c>
      <c r="J1362" s="21">
        <v>0.85000000000000009</v>
      </c>
      <c r="K1362" s="21">
        <v>0.47193750000000007</v>
      </c>
      <c r="L1362" s="21">
        <v>0</v>
      </c>
      <c r="M1362" s="17" t="s">
        <v>113</v>
      </c>
      <c r="N1362" s="17" t="s">
        <v>115</v>
      </c>
      <c r="O1362" s="21">
        <v>0.42500000000000004</v>
      </c>
      <c r="P1362" s="21">
        <v>0</v>
      </c>
    </row>
    <row r="1363" spans="1:16" ht="16.5" x14ac:dyDescent="0.25">
      <c r="A1363" s="2"/>
      <c r="B1363" s="4"/>
      <c r="C1363" s="18"/>
      <c r="E1363" s="20">
        <v>44462</v>
      </c>
      <c r="F1363" s="17" t="s">
        <v>88</v>
      </c>
      <c r="G1363" s="21">
        <v>7.0338852391304352</v>
      </c>
      <c r="H1363" s="21">
        <v>8.9</v>
      </c>
      <c r="I1363" s="25">
        <v>5.9675815828041011E-2</v>
      </c>
      <c r="J1363" s="21">
        <v>0.89000000000000012</v>
      </c>
      <c r="K1363" s="21">
        <v>0.47193750000000007</v>
      </c>
      <c r="L1363" s="21">
        <v>0</v>
      </c>
      <c r="M1363" s="17" t="s">
        <v>113</v>
      </c>
      <c r="N1363" s="17" t="s">
        <v>115</v>
      </c>
      <c r="O1363" s="21">
        <v>0.44500000000000006</v>
      </c>
      <c r="P1363" s="21">
        <v>0</v>
      </c>
    </row>
    <row r="1364" spans="1:16" ht="16.5" x14ac:dyDescent="0.25">
      <c r="A1364" s="2"/>
      <c r="B1364" s="4"/>
      <c r="C1364" s="18"/>
      <c r="E1364" s="20">
        <v>44462</v>
      </c>
      <c r="F1364" s="17" t="s">
        <v>88</v>
      </c>
      <c r="G1364" s="21">
        <v>7.0338852391304352</v>
      </c>
      <c r="H1364" s="21">
        <v>8.5</v>
      </c>
      <c r="I1364" s="25">
        <v>2.2484089514066434E-2</v>
      </c>
      <c r="J1364" s="21">
        <v>0.85000000000000009</v>
      </c>
      <c r="K1364" s="21">
        <v>0.47193750000000007</v>
      </c>
      <c r="L1364" s="21">
        <v>0</v>
      </c>
      <c r="M1364" s="17" t="s">
        <v>113</v>
      </c>
      <c r="N1364" s="17" t="s">
        <v>115</v>
      </c>
      <c r="O1364" s="21">
        <v>0.42500000000000004</v>
      </c>
      <c r="P1364" s="21">
        <v>0</v>
      </c>
    </row>
    <row r="1365" spans="1:16" ht="16.5" x14ac:dyDescent="0.25">
      <c r="A1365" s="2"/>
      <c r="B1365" s="4"/>
      <c r="C1365" s="18"/>
      <c r="E1365" s="20">
        <v>44462</v>
      </c>
      <c r="F1365" s="17" t="s">
        <v>86</v>
      </c>
      <c r="G1365" s="21">
        <v>7.8213852391304348</v>
      </c>
      <c r="H1365" s="21">
        <v>10.9</v>
      </c>
      <c r="I1365" s="25">
        <v>0.13244172118069408</v>
      </c>
      <c r="J1365" s="21">
        <v>1.0900000000000001</v>
      </c>
      <c r="K1365" s="21">
        <v>0.69618750000000007</v>
      </c>
      <c r="L1365" s="21">
        <v>0</v>
      </c>
      <c r="M1365" s="17" t="s">
        <v>122</v>
      </c>
      <c r="N1365" s="17" t="s">
        <v>115</v>
      </c>
      <c r="O1365" s="21">
        <v>0.54500000000000004</v>
      </c>
      <c r="P1365" s="21">
        <v>0</v>
      </c>
    </row>
    <row r="1366" spans="1:16" ht="16.5" x14ac:dyDescent="0.25">
      <c r="A1366" s="2"/>
      <c r="B1366" s="4"/>
      <c r="C1366" s="18"/>
      <c r="E1366" s="20">
        <v>44462</v>
      </c>
      <c r="F1366" s="17" t="s">
        <v>86</v>
      </c>
      <c r="G1366" s="21">
        <v>7.8213852391304348</v>
      </c>
      <c r="H1366" s="21">
        <v>10.5</v>
      </c>
      <c r="I1366" s="25">
        <v>0.10510616770186336</v>
      </c>
      <c r="J1366" s="21">
        <v>1.05</v>
      </c>
      <c r="K1366" s="21">
        <v>0.69618750000000007</v>
      </c>
      <c r="L1366" s="21">
        <v>0</v>
      </c>
      <c r="M1366" s="17" t="s">
        <v>121</v>
      </c>
      <c r="N1366" s="17" t="s">
        <v>115</v>
      </c>
      <c r="O1366" s="21">
        <v>0.52500000000000002</v>
      </c>
      <c r="P1366" s="21">
        <v>0</v>
      </c>
    </row>
    <row r="1367" spans="1:16" ht="16.5" x14ac:dyDescent="0.25">
      <c r="A1367" s="2"/>
      <c r="B1367" s="4"/>
      <c r="C1367" s="18"/>
      <c r="E1367" s="20">
        <v>44462</v>
      </c>
      <c r="F1367" s="17" t="s">
        <v>86</v>
      </c>
      <c r="G1367" s="21">
        <v>7.8213852391304348</v>
      </c>
      <c r="H1367" s="21">
        <v>9.9</v>
      </c>
      <c r="I1367" s="25">
        <v>5.9961086956521747E-2</v>
      </c>
      <c r="J1367" s="21">
        <v>0.9900000000000001</v>
      </c>
      <c r="K1367" s="21">
        <v>0.69618750000000007</v>
      </c>
      <c r="L1367" s="21">
        <v>0</v>
      </c>
      <c r="M1367" s="17" t="s">
        <v>120</v>
      </c>
      <c r="N1367" s="17" t="s">
        <v>115</v>
      </c>
      <c r="O1367" s="21">
        <v>0.49500000000000005</v>
      </c>
      <c r="P1367" s="21">
        <v>0</v>
      </c>
    </row>
    <row r="1368" spans="1:16" ht="16.5" x14ac:dyDescent="0.25">
      <c r="A1368" s="2"/>
      <c r="B1368" s="4"/>
      <c r="C1368" s="18"/>
      <c r="E1368" s="20">
        <v>44462</v>
      </c>
      <c r="F1368" s="17" t="s">
        <v>86</v>
      </c>
      <c r="G1368" s="21">
        <v>7.1251977391304351</v>
      </c>
      <c r="H1368" s="21">
        <v>12.9</v>
      </c>
      <c r="I1368" s="25">
        <v>0.16835908998988874</v>
      </c>
      <c r="J1368" s="21">
        <v>1.29</v>
      </c>
      <c r="K1368" s="21">
        <v>0.69618750000000007</v>
      </c>
      <c r="L1368" s="21">
        <v>0.90300000000000014</v>
      </c>
      <c r="M1368" s="17" t="s">
        <v>122</v>
      </c>
      <c r="N1368" s="17" t="s">
        <v>117</v>
      </c>
      <c r="O1368" s="21">
        <v>0.64500000000000002</v>
      </c>
      <c r="P1368" s="21">
        <v>1.66797</v>
      </c>
    </row>
    <row r="1369" spans="1:16" ht="16.5" x14ac:dyDescent="0.25">
      <c r="A1369" s="2"/>
      <c r="B1369" s="4"/>
      <c r="C1369" s="18"/>
      <c r="E1369" s="20">
        <v>44462</v>
      </c>
      <c r="F1369" s="17" t="s">
        <v>86</v>
      </c>
      <c r="G1369" s="21">
        <v>7.1251977391304351</v>
      </c>
      <c r="H1369" s="21">
        <v>12.5</v>
      </c>
      <c r="I1369" s="25">
        <v>0.15068418086956512</v>
      </c>
      <c r="J1369" s="21">
        <v>1.25</v>
      </c>
      <c r="K1369" s="21">
        <v>0.69618750000000007</v>
      </c>
      <c r="L1369" s="21">
        <v>0.87500000000000011</v>
      </c>
      <c r="M1369" s="17" t="s">
        <v>121</v>
      </c>
      <c r="N1369" s="17" t="s">
        <v>117</v>
      </c>
      <c r="O1369" s="21">
        <v>0.625</v>
      </c>
      <c r="P1369" s="21">
        <v>1.61625</v>
      </c>
    </row>
    <row r="1370" spans="1:16" ht="16.5" x14ac:dyDescent="0.25">
      <c r="A1370" s="2"/>
      <c r="B1370" s="4"/>
      <c r="C1370" s="18"/>
      <c r="E1370" s="20">
        <v>44462</v>
      </c>
      <c r="F1370" s="17" t="s">
        <v>86</v>
      </c>
      <c r="G1370" s="21">
        <v>7.1251977391304351</v>
      </c>
      <c r="H1370" s="21">
        <v>11.9</v>
      </c>
      <c r="I1370" s="25">
        <v>0.12194388746803068</v>
      </c>
      <c r="J1370" s="21">
        <v>1.1900000000000002</v>
      </c>
      <c r="K1370" s="21">
        <v>0.69618750000000007</v>
      </c>
      <c r="L1370" s="21">
        <v>0.83300000000000007</v>
      </c>
      <c r="M1370" s="17" t="s">
        <v>120</v>
      </c>
      <c r="N1370" s="17" t="s">
        <v>117</v>
      </c>
      <c r="O1370" s="21">
        <v>0.59500000000000008</v>
      </c>
      <c r="P1370" s="21">
        <v>1.53867</v>
      </c>
    </row>
    <row r="1371" spans="1:16" ht="16.5" x14ac:dyDescent="0.25">
      <c r="A1371" s="2"/>
      <c r="B1371" s="4"/>
      <c r="C1371" s="18"/>
      <c r="E1371" s="20">
        <v>44462</v>
      </c>
      <c r="F1371" s="17" t="s">
        <v>86</v>
      </c>
      <c r="G1371" s="21">
        <v>7.1251977391304351</v>
      </c>
      <c r="H1371" s="21">
        <v>11.5</v>
      </c>
      <c r="I1371" s="25">
        <v>0.10111758790170125</v>
      </c>
      <c r="J1371" s="21">
        <v>1.1500000000000001</v>
      </c>
      <c r="K1371" s="21">
        <v>0.69618750000000007</v>
      </c>
      <c r="L1371" s="21">
        <v>0.80500000000000005</v>
      </c>
      <c r="M1371" s="17" t="s">
        <v>113</v>
      </c>
      <c r="N1371" s="17" t="s">
        <v>117</v>
      </c>
      <c r="O1371" s="21">
        <v>0.57500000000000007</v>
      </c>
      <c r="P1371" s="21">
        <v>1.48695</v>
      </c>
    </row>
    <row r="1372" spans="1:16" ht="16.5" x14ac:dyDescent="0.25">
      <c r="A1372" s="2"/>
      <c r="B1372" s="4"/>
      <c r="C1372" s="18"/>
      <c r="E1372" s="20">
        <v>44462</v>
      </c>
      <c r="F1372" s="17" t="s">
        <v>86</v>
      </c>
      <c r="G1372" s="21">
        <v>7.8213852391304348</v>
      </c>
      <c r="H1372" s="21">
        <v>10.5</v>
      </c>
      <c r="I1372" s="25">
        <v>0.10510616770186336</v>
      </c>
      <c r="J1372" s="21">
        <v>1.05</v>
      </c>
      <c r="K1372" s="21">
        <v>0.69618750000000007</v>
      </c>
      <c r="L1372" s="21">
        <v>0</v>
      </c>
      <c r="M1372" s="17" t="s">
        <v>122</v>
      </c>
      <c r="N1372" s="17" t="s">
        <v>115</v>
      </c>
      <c r="O1372" s="21">
        <v>0.52500000000000002</v>
      </c>
      <c r="P1372" s="21">
        <v>0</v>
      </c>
    </row>
    <row r="1373" spans="1:16" ht="16.5" x14ac:dyDescent="0.25">
      <c r="A1373" s="2"/>
      <c r="B1373" s="4"/>
      <c r="C1373" s="18"/>
      <c r="E1373" s="20">
        <v>44462</v>
      </c>
      <c r="F1373" s="17" t="s">
        <v>86</v>
      </c>
      <c r="G1373" s="21">
        <v>7.8213852391304348</v>
      </c>
      <c r="H1373" s="21">
        <v>10.199999999999999</v>
      </c>
      <c r="I1373" s="25">
        <v>8.3197525575447503E-2</v>
      </c>
      <c r="J1373" s="21">
        <v>1.02</v>
      </c>
      <c r="K1373" s="21">
        <v>0.69618750000000007</v>
      </c>
      <c r="L1373" s="21">
        <v>0</v>
      </c>
      <c r="M1373" s="17" t="s">
        <v>121</v>
      </c>
      <c r="N1373" s="17" t="s">
        <v>115</v>
      </c>
      <c r="O1373" s="21">
        <v>0.51</v>
      </c>
      <c r="P1373" s="21">
        <v>0</v>
      </c>
    </row>
    <row r="1374" spans="1:16" ht="16.5" x14ac:dyDescent="0.25">
      <c r="A1374" s="2"/>
      <c r="B1374" s="4"/>
      <c r="C1374" s="18"/>
      <c r="E1374" s="20">
        <v>44462</v>
      </c>
      <c r="F1374" s="17" t="s">
        <v>86</v>
      </c>
      <c r="G1374" s="21">
        <v>7.8213852391304348</v>
      </c>
      <c r="H1374" s="21">
        <v>9.8000000000000007</v>
      </c>
      <c r="I1374" s="25">
        <v>5.1899465394853649E-2</v>
      </c>
      <c r="J1374" s="21">
        <v>0.98000000000000009</v>
      </c>
      <c r="K1374" s="21">
        <v>0.69618750000000007</v>
      </c>
      <c r="L1374" s="21">
        <v>0</v>
      </c>
      <c r="M1374" s="17" t="s">
        <v>120</v>
      </c>
      <c r="N1374" s="17" t="s">
        <v>115</v>
      </c>
      <c r="O1374" s="21">
        <v>0.49000000000000005</v>
      </c>
      <c r="P1374" s="21">
        <v>0</v>
      </c>
    </row>
    <row r="1375" spans="1:16" ht="16.5" x14ac:dyDescent="0.25">
      <c r="A1375" s="2"/>
      <c r="B1375" s="4"/>
      <c r="C1375" s="18"/>
      <c r="E1375" s="20">
        <v>44462</v>
      </c>
      <c r="F1375" s="17" t="s">
        <v>86</v>
      </c>
      <c r="G1375" s="21">
        <v>7.8213852391304348</v>
      </c>
      <c r="H1375" s="21">
        <v>9.5</v>
      </c>
      <c r="I1375" s="25">
        <v>2.669629061784895E-2</v>
      </c>
      <c r="J1375" s="21">
        <v>0.95000000000000007</v>
      </c>
      <c r="K1375" s="21">
        <v>0.69618750000000007</v>
      </c>
      <c r="L1375" s="21">
        <v>0</v>
      </c>
      <c r="M1375" s="17" t="s">
        <v>113</v>
      </c>
      <c r="N1375" s="17" t="s">
        <v>115</v>
      </c>
      <c r="O1375" s="21">
        <v>0.47500000000000003</v>
      </c>
      <c r="P1375" s="21">
        <v>0</v>
      </c>
    </row>
    <row r="1376" spans="1:16" ht="16.5" x14ac:dyDescent="0.25">
      <c r="A1376" s="2"/>
      <c r="B1376" s="4"/>
      <c r="C1376" s="18"/>
      <c r="E1376" s="20">
        <v>44427</v>
      </c>
      <c r="F1376" s="17" t="s">
        <v>103</v>
      </c>
      <c r="G1376" s="21">
        <v>8.66</v>
      </c>
      <c r="H1376" s="21">
        <v>18.399999999999999</v>
      </c>
      <c r="I1376" s="25">
        <v>0.25004782608695647</v>
      </c>
      <c r="J1376" s="21">
        <v>1.8399999999999999</v>
      </c>
      <c r="K1376" s="21">
        <v>1.1399999999999999</v>
      </c>
      <c r="L1376" s="21">
        <v>1.288</v>
      </c>
      <c r="M1376" s="17" t="s">
        <v>122</v>
      </c>
      <c r="N1376" s="17" t="s">
        <v>117</v>
      </c>
      <c r="O1376" s="21">
        <v>0.91999999999999993</v>
      </c>
      <c r="P1376" s="21">
        <v>2.3791199999999999</v>
      </c>
    </row>
    <row r="1377" spans="1:16" ht="16.5" x14ac:dyDescent="0.25">
      <c r="A1377" s="2"/>
      <c r="B1377" s="4"/>
      <c r="C1377" s="18"/>
      <c r="E1377" s="20">
        <v>44427</v>
      </c>
      <c r="F1377" s="17" t="s">
        <v>103</v>
      </c>
      <c r="G1377" s="21">
        <v>8.66</v>
      </c>
      <c r="H1377" s="21">
        <v>16.600000000000001</v>
      </c>
      <c r="I1377" s="25">
        <v>0.1990132530120482</v>
      </c>
      <c r="J1377" s="21">
        <v>1.6600000000000001</v>
      </c>
      <c r="K1377" s="21">
        <v>1.1399999999999999</v>
      </c>
      <c r="L1377" s="21">
        <v>1.1620000000000001</v>
      </c>
      <c r="M1377" s="17" t="s">
        <v>121</v>
      </c>
      <c r="N1377" s="17" t="s">
        <v>117</v>
      </c>
      <c r="O1377" s="21">
        <v>0.83000000000000007</v>
      </c>
      <c r="P1377" s="21">
        <v>2.1463800000000002</v>
      </c>
    </row>
    <row r="1378" spans="1:16" ht="16.5" x14ac:dyDescent="0.25">
      <c r="A1378" s="2"/>
      <c r="B1378" s="4"/>
      <c r="C1378" s="18"/>
      <c r="E1378" s="20">
        <v>44427</v>
      </c>
      <c r="F1378" s="17" t="s">
        <v>103</v>
      </c>
      <c r="G1378" s="21">
        <v>8.66</v>
      </c>
      <c r="H1378" s="21">
        <v>15.2</v>
      </c>
      <c r="I1378" s="25">
        <v>0.15096315789473677</v>
      </c>
      <c r="J1378" s="21">
        <v>1.52</v>
      </c>
      <c r="K1378" s="21">
        <v>1.1399999999999999</v>
      </c>
      <c r="L1378" s="21">
        <v>1.0640000000000001</v>
      </c>
      <c r="M1378" s="17" t="s">
        <v>120</v>
      </c>
      <c r="N1378" s="17" t="s">
        <v>117</v>
      </c>
      <c r="O1378" s="21">
        <v>0.76</v>
      </c>
      <c r="P1378" s="21">
        <v>1.9653599999999998</v>
      </c>
    </row>
    <row r="1379" spans="1:16" ht="16.5" x14ac:dyDescent="0.25">
      <c r="A1379" s="2"/>
      <c r="B1379" s="4"/>
      <c r="C1379" s="18"/>
      <c r="E1379" s="20">
        <v>44427</v>
      </c>
      <c r="F1379" s="17" t="s">
        <v>103</v>
      </c>
      <c r="G1379" s="21">
        <v>8.66</v>
      </c>
      <c r="H1379" s="21">
        <v>14</v>
      </c>
      <c r="I1379" s="25">
        <v>0.10212857142857139</v>
      </c>
      <c r="J1379" s="21">
        <v>1.4000000000000001</v>
      </c>
      <c r="K1379" s="21">
        <v>1.1399999999999999</v>
      </c>
      <c r="L1379" s="21">
        <v>0.98000000000000009</v>
      </c>
      <c r="M1379" s="17" t="s">
        <v>113</v>
      </c>
      <c r="N1379" s="17" t="s">
        <v>117</v>
      </c>
      <c r="O1379" s="21">
        <v>0.70000000000000007</v>
      </c>
      <c r="P1379" s="21">
        <v>1.8102</v>
      </c>
    </row>
    <row r="1380" spans="1:16" ht="16.5" x14ac:dyDescent="0.25">
      <c r="A1380" s="2"/>
      <c r="B1380" s="4"/>
      <c r="C1380" s="18"/>
      <c r="E1380" s="20">
        <v>44427</v>
      </c>
      <c r="F1380" s="17" t="s">
        <v>102</v>
      </c>
      <c r="G1380" s="21">
        <v>15.700000000000001</v>
      </c>
      <c r="H1380" s="21">
        <v>33.4</v>
      </c>
      <c r="I1380" s="25">
        <v>0.25064011976047901</v>
      </c>
      <c r="J1380" s="21">
        <v>3.34</v>
      </c>
      <c r="K1380" s="21">
        <v>2.1</v>
      </c>
      <c r="L1380" s="21">
        <v>2.3380000000000001</v>
      </c>
      <c r="M1380" s="17" t="s">
        <v>122</v>
      </c>
      <c r="N1380" s="17" t="s">
        <v>117</v>
      </c>
      <c r="O1380" s="21">
        <v>1.67</v>
      </c>
      <c r="P1380" s="21">
        <v>4.3186200000000001</v>
      </c>
    </row>
    <row r="1381" spans="1:16" ht="16.5" x14ac:dyDescent="0.25">
      <c r="A1381" s="2"/>
      <c r="B1381" s="4"/>
      <c r="C1381" s="18"/>
      <c r="E1381" s="20">
        <v>44427</v>
      </c>
      <c r="F1381" s="17" t="s">
        <v>102</v>
      </c>
      <c r="G1381" s="21">
        <v>15.700000000000001</v>
      </c>
      <c r="H1381" s="21">
        <v>30.2</v>
      </c>
      <c r="I1381" s="25">
        <v>0.20083245033112582</v>
      </c>
      <c r="J1381" s="21">
        <v>3.02</v>
      </c>
      <c r="K1381" s="21">
        <v>2.1</v>
      </c>
      <c r="L1381" s="21">
        <v>2.1140000000000003</v>
      </c>
      <c r="M1381" s="17" t="s">
        <v>121</v>
      </c>
      <c r="N1381" s="17" t="s">
        <v>117</v>
      </c>
      <c r="O1381" s="21">
        <v>1.51</v>
      </c>
      <c r="P1381" s="21">
        <v>3.9048599999999998</v>
      </c>
    </row>
    <row r="1382" spans="1:16" ht="16.5" x14ac:dyDescent="0.25">
      <c r="A1382" s="2"/>
      <c r="B1382" s="4"/>
      <c r="C1382" s="18"/>
      <c r="E1382" s="20">
        <v>44427</v>
      </c>
      <c r="F1382" s="17" t="s">
        <v>102</v>
      </c>
      <c r="G1382" s="21">
        <v>15.700000000000001</v>
      </c>
      <c r="H1382" s="21">
        <v>27.5</v>
      </c>
      <c r="I1382" s="25">
        <v>0.14979090909090906</v>
      </c>
      <c r="J1382" s="21">
        <v>2.75</v>
      </c>
      <c r="K1382" s="21">
        <v>2.1</v>
      </c>
      <c r="L1382" s="21">
        <v>1.9250000000000003</v>
      </c>
      <c r="M1382" s="17" t="s">
        <v>120</v>
      </c>
      <c r="N1382" s="17" t="s">
        <v>117</v>
      </c>
      <c r="O1382" s="21">
        <v>1.375</v>
      </c>
      <c r="P1382" s="21">
        <v>3.5557499999999997</v>
      </c>
    </row>
    <row r="1383" spans="1:16" ht="16.5" x14ac:dyDescent="0.25">
      <c r="A1383" s="2"/>
      <c r="B1383" s="4"/>
      <c r="C1383" s="18"/>
      <c r="E1383" s="20">
        <v>44427</v>
      </c>
      <c r="F1383" s="17" t="s">
        <v>102</v>
      </c>
      <c r="G1383" s="21">
        <v>15.700000000000001</v>
      </c>
      <c r="H1383" s="21">
        <v>25.3</v>
      </c>
      <c r="I1383" s="25">
        <v>0.10014664031620546</v>
      </c>
      <c r="J1383" s="21">
        <v>2.5300000000000002</v>
      </c>
      <c r="K1383" s="21">
        <v>2.1</v>
      </c>
      <c r="L1383" s="21">
        <v>1.7710000000000001</v>
      </c>
      <c r="M1383" s="17" t="s">
        <v>113</v>
      </c>
      <c r="N1383" s="17" t="s">
        <v>117</v>
      </c>
      <c r="O1383" s="21">
        <v>1.2650000000000001</v>
      </c>
      <c r="P1383" s="21">
        <v>3.27129</v>
      </c>
    </row>
    <row r="1384" spans="1:16" ht="16.5" x14ac:dyDescent="0.25">
      <c r="A1384" s="2"/>
      <c r="B1384" s="4"/>
      <c r="C1384" s="18"/>
      <c r="E1384" s="20">
        <v>44427</v>
      </c>
      <c r="F1384" s="17" t="s">
        <v>101</v>
      </c>
      <c r="G1384" s="21">
        <v>9.1000000000000014</v>
      </c>
      <c r="H1384" s="21">
        <v>19.3</v>
      </c>
      <c r="I1384" s="25">
        <v>0.24919740932642484</v>
      </c>
      <c r="J1384" s="21">
        <v>1.9300000000000002</v>
      </c>
      <c r="K1384" s="21">
        <v>1.2</v>
      </c>
      <c r="L1384" s="21">
        <v>1.3510000000000002</v>
      </c>
      <c r="M1384" s="17" t="s">
        <v>122</v>
      </c>
      <c r="N1384" s="17" t="s">
        <v>117</v>
      </c>
      <c r="O1384" s="21">
        <v>0.96500000000000008</v>
      </c>
      <c r="P1384" s="21">
        <v>2.4954900000000002</v>
      </c>
    </row>
    <row r="1385" spans="1:16" ht="16.5" x14ac:dyDescent="0.25">
      <c r="A1385" s="2"/>
      <c r="B1385" s="4"/>
      <c r="C1385" s="18"/>
      <c r="E1385" s="20">
        <v>44427</v>
      </c>
      <c r="F1385" s="17" t="s">
        <v>101</v>
      </c>
      <c r="G1385" s="21">
        <v>9.1000000000000014</v>
      </c>
      <c r="H1385" s="21">
        <v>17.5</v>
      </c>
      <c r="I1385" s="25">
        <v>0.20069999999999988</v>
      </c>
      <c r="J1385" s="21">
        <v>1.75</v>
      </c>
      <c r="K1385" s="21">
        <v>1.2</v>
      </c>
      <c r="L1385" s="21">
        <v>1.2250000000000001</v>
      </c>
      <c r="M1385" s="17" t="s">
        <v>121</v>
      </c>
      <c r="N1385" s="17" t="s">
        <v>117</v>
      </c>
      <c r="O1385" s="21">
        <v>0.875</v>
      </c>
      <c r="P1385" s="21">
        <v>2.26275</v>
      </c>
    </row>
    <row r="1386" spans="1:16" ht="16.5" x14ac:dyDescent="0.25">
      <c r="A1386" s="2"/>
      <c r="B1386" s="4"/>
      <c r="C1386" s="18"/>
      <c r="E1386" s="20">
        <v>44427</v>
      </c>
      <c r="F1386" s="17" t="s">
        <v>101</v>
      </c>
      <c r="G1386" s="21">
        <v>9.1000000000000014</v>
      </c>
      <c r="H1386" s="21">
        <v>15.9</v>
      </c>
      <c r="I1386" s="25">
        <v>0.14837295597484268</v>
      </c>
      <c r="J1386" s="21">
        <v>1.59</v>
      </c>
      <c r="K1386" s="21">
        <v>1.2</v>
      </c>
      <c r="L1386" s="21">
        <v>1.1130000000000002</v>
      </c>
      <c r="M1386" s="17" t="s">
        <v>120</v>
      </c>
      <c r="N1386" s="17" t="s">
        <v>117</v>
      </c>
      <c r="O1386" s="21">
        <v>0.79500000000000004</v>
      </c>
      <c r="P1386" s="21">
        <v>2.0558700000000001</v>
      </c>
    </row>
    <row r="1387" spans="1:16" ht="16.5" x14ac:dyDescent="0.25">
      <c r="A1387" s="2"/>
      <c r="B1387" s="4"/>
      <c r="C1387" s="18"/>
      <c r="E1387" s="20">
        <v>44427</v>
      </c>
      <c r="F1387" s="17" t="s">
        <v>101</v>
      </c>
      <c r="G1387" s="21">
        <v>9.1000000000000014</v>
      </c>
      <c r="H1387" s="21">
        <v>14.7</v>
      </c>
      <c r="I1387" s="25">
        <v>0.10165238095238081</v>
      </c>
      <c r="J1387" s="21">
        <v>1.47</v>
      </c>
      <c r="K1387" s="21">
        <v>1.2</v>
      </c>
      <c r="L1387" s="21">
        <v>1.0290000000000001</v>
      </c>
      <c r="M1387" s="17" t="s">
        <v>113</v>
      </c>
      <c r="N1387" s="17" t="s">
        <v>117</v>
      </c>
      <c r="O1387" s="21">
        <v>0.73499999999999999</v>
      </c>
      <c r="P1387" s="21">
        <v>1.9007099999999999</v>
      </c>
    </row>
    <row r="1388" spans="1:16" ht="16.5" x14ac:dyDescent="0.25">
      <c r="A1388" s="2"/>
      <c r="B1388" s="4"/>
      <c r="C1388" s="18"/>
      <c r="E1388" s="20">
        <v>44377</v>
      </c>
      <c r="F1388" s="17" t="s">
        <v>98</v>
      </c>
      <c r="G1388" s="21">
        <v>5.9320000000000004</v>
      </c>
      <c r="H1388" s="21">
        <v>8.9</v>
      </c>
      <c r="I1388" s="25">
        <v>0.18348314606741567</v>
      </c>
      <c r="J1388" s="21">
        <v>0.89000000000000012</v>
      </c>
      <c r="K1388" s="21">
        <v>0.76800000000000002</v>
      </c>
      <c r="L1388" s="21">
        <v>0</v>
      </c>
      <c r="M1388" s="17" t="s">
        <v>122</v>
      </c>
      <c r="N1388" s="17" t="s">
        <v>115</v>
      </c>
      <c r="O1388" s="21">
        <v>0.44500000000000006</v>
      </c>
      <c r="P1388" s="21">
        <v>0</v>
      </c>
    </row>
    <row r="1389" spans="1:16" ht="16.5" x14ac:dyDescent="0.25">
      <c r="A1389" s="2"/>
      <c r="B1389" s="4"/>
      <c r="C1389" s="18"/>
      <c r="E1389" s="20">
        <v>44377</v>
      </c>
      <c r="F1389" s="17" t="s">
        <v>98</v>
      </c>
      <c r="G1389" s="21">
        <v>5.9320000000000004</v>
      </c>
      <c r="H1389" s="21">
        <v>8.9</v>
      </c>
      <c r="I1389" s="25">
        <v>0.18348314606741567</v>
      </c>
      <c r="J1389" s="21">
        <v>0.89000000000000012</v>
      </c>
      <c r="K1389" s="21">
        <v>0.76800000000000002</v>
      </c>
      <c r="L1389" s="21">
        <v>0</v>
      </c>
      <c r="M1389" s="17" t="s">
        <v>122</v>
      </c>
      <c r="N1389" s="17" t="s">
        <v>115</v>
      </c>
      <c r="O1389" s="21">
        <v>0.44500000000000006</v>
      </c>
      <c r="P1389" s="21">
        <v>0</v>
      </c>
    </row>
    <row r="1390" spans="1:16" ht="16.5" x14ac:dyDescent="0.25">
      <c r="A1390" s="2"/>
      <c r="B1390" s="4"/>
      <c r="C1390" s="18"/>
      <c r="E1390" s="20">
        <v>44377</v>
      </c>
      <c r="F1390" s="17" t="s">
        <v>98</v>
      </c>
      <c r="G1390" s="21">
        <v>5.9320000000000004</v>
      </c>
      <c r="H1390" s="21">
        <v>8.6999999999999993</v>
      </c>
      <c r="I1390" s="25">
        <v>0.16816091954022974</v>
      </c>
      <c r="J1390" s="21">
        <v>0.87</v>
      </c>
      <c r="K1390" s="21">
        <v>0.76800000000000002</v>
      </c>
      <c r="L1390" s="21">
        <v>0</v>
      </c>
      <c r="M1390" s="17" t="s">
        <v>121</v>
      </c>
      <c r="N1390" s="17" t="s">
        <v>115</v>
      </c>
      <c r="O1390" s="21">
        <v>0.435</v>
      </c>
      <c r="P1390" s="21">
        <v>0</v>
      </c>
    </row>
    <row r="1391" spans="1:16" ht="16.5" x14ac:dyDescent="0.25">
      <c r="A1391" s="2"/>
      <c r="B1391" s="4"/>
      <c r="C1391" s="18"/>
      <c r="E1391" s="20">
        <v>44377</v>
      </c>
      <c r="F1391" s="17" t="s">
        <v>98</v>
      </c>
      <c r="G1391" s="21">
        <v>5.9320000000000004</v>
      </c>
      <c r="H1391" s="21">
        <v>8.5</v>
      </c>
      <c r="I1391" s="25">
        <v>0.1521176470588235</v>
      </c>
      <c r="J1391" s="21">
        <v>0.85000000000000009</v>
      </c>
      <c r="K1391" s="21">
        <v>0.76800000000000002</v>
      </c>
      <c r="L1391" s="21">
        <v>0</v>
      </c>
      <c r="M1391" s="17" t="s">
        <v>120</v>
      </c>
      <c r="N1391" s="17" t="s">
        <v>115</v>
      </c>
      <c r="O1391" s="21">
        <v>0.42500000000000004</v>
      </c>
      <c r="P1391" s="21">
        <v>0</v>
      </c>
    </row>
    <row r="1392" spans="1:16" ht="16.5" x14ac:dyDescent="0.25">
      <c r="A1392" s="2"/>
      <c r="B1392" s="4"/>
      <c r="C1392" s="18"/>
      <c r="E1392" s="20">
        <v>44377</v>
      </c>
      <c r="F1392" s="17" t="s">
        <v>98</v>
      </c>
      <c r="G1392" s="21">
        <v>5.9320000000000004</v>
      </c>
      <c r="H1392" s="21">
        <v>8</v>
      </c>
      <c r="I1392" s="25">
        <v>0.10849999999999996</v>
      </c>
      <c r="J1392" s="21">
        <v>0.8</v>
      </c>
      <c r="K1392" s="21">
        <v>0.76800000000000002</v>
      </c>
      <c r="L1392" s="21">
        <v>0</v>
      </c>
      <c r="M1392" s="17" t="s">
        <v>113</v>
      </c>
      <c r="N1392" s="17" t="s">
        <v>115</v>
      </c>
      <c r="O1392" s="21">
        <v>0.4</v>
      </c>
      <c r="P1392" s="21">
        <v>0</v>
      </c>
    </row>
    <row r="1393" spans="1:16" ht="16.5" x14ac:dyDescent="0.25">
      <c r="A1393" s="2"/>
      <c r="B1393" s="4"/>
      <c r="C1393" s="18"/>
      <c r="E1393" s="20">
        <v>44377</v>
      </c>
      <c r="F1393" s="17" t="s">
        <v>98</v>
      </c>
      <c r="G1393" s="21">
        <v>5.9320000000000004</v>
      </c>
      <c r="H1393" s="21">
        <v>8</v>
      </c>
      <c r="I1393" s="25">
        <v>0.10849999999999996</v>
      </c>
      <c r="J1393" s="21">
        <v>0.8</v>
      </c>
      <c r="K1393" s="21">
        <v>0.76800000000000002</v>
      </c>
      <c r="L1393" s="21">
        <v>0</v>
      </c>
      <c r="M1393" s="17" t="s">
        <v>122</v>
      </c>
      <c r="N1393" s="17" t="s">
        <v>115</v>
      </c>
      <c r="O1393" s="21">
        <v>0.4</v>
      </c>
      <c r="P1393" s="21">
        <v>0</v>
      </c>
    </row>
    <row r="1394" spans="1:16" ht="16.5" x14ac:dyDescent="0.25">
      <c r="A1394" s="2"/>
      <c r="B1394" s="4"/>
      <c r="C1394" s="18"/>
      <c r="E1394" s="20">
        <v>44377</v>
      </c>
      <c r="F1394" s="17" t="s">
        <v>88</v>
      </c>
      <c r="G1394" s="21">
        <v>5.9051977391304344</v>
      </c>
      <c r="H1394" s="21">
        <v>9.9</v>
      </c>
      <c r="I1394" s="25">
        <v>0.12421537988581467</v>
      </c>
      <c r="J1394" s="21">
        <v>0.9900000000000001</v>
      </c>
      <c r="K1394" s="21">
        <v>0.41410416666666677</v>
      </c>
      <c r="L1394" s="21">
        <v>0.69300000000000006</v>
      </c>
      <c r="M1394" s="17" t="s">
        <v>122</v>
      </c>
      <c r="N1394" s="17" t="s">
        <v>117</v>
      </c>
      <c r="O1394" s="21">
        <v>0.49500000000000005</v>
      </c>
      <c r="P1394" s="21">
        <v>1.28007</v>
      </c>
    </row>
    <row r="1395" spans="1:16" ht="16.5" x14ac:dyDescent="0.25">
      <c r="A1395" s="2"/>
      <c r="B1395" s="4"/>
      <c r="C1395" s="18"/>
      <c r="E1395" s="20">
        <v>44377</v>
      </c>
      <c r="F1395" s="17" t="s">
        <v>88</v>
      </c>
      <c r="G1395" s="21">
        <v>5.9051977391304344</v>
      </c>
      <c r="H1395" s="21">
        <v>9.6</v>
      </c>
      <c r="I1395" s="25">
        <v>0.10557523550724641</v>
      </c>
      <c r="J1395" s="21">
        <v>0.96</v>
      </c>
      <c r="K1395" s="21">
        <v>0.41410416666666677</v>
      </c>
      <c r="L1395" s="21">
        <v>0.67200000000000004</v>
      </c>
      <c r="M1395" s="17" t="s">
        <v>121</v>
      </c>
      <c r="N1395" s="17" t="s">
        <v>117</v>
      </c>
      <c r="O1395" s="21">
        <v>0.48</v>
      </c>
      <c r="P1395" s="21">
        <v>1.2412799999999999</v>
      </c>
    </row>
    <row r="1396" spans="1:16" ht="16.5" x14ac:dyDescent="0.25">
      <c r="A1396" s="2"/>
      <c r="B1396" s="4"/>
      <c r="C1396" s="18"/>
      <c r="E1396" s="20">
        <v>44377</v>
      </c>
      <c r="F1396" s="17" t="s">
        <v>88</v>
      </c>
      <c r="G1396" s="21">
        <v>5.9051977391304344</v>
      </c>
      <c r="H1396" s="21">
        <v>9.1999999999999993</v>
      </c>
      <c r="I1396" s="25">
        <v>7.883068052930052E-2</v>
      </c>
      <c r="J1396" s="21">
        <v>0.91999999999999993</v>
      </c>
      <c r="K1396" s="21">
        <v>0.41410416666666677</v>
      </c>
      <c r="L1396" s="21">
        <v>0.64400000000000002</v>
      </c>
      <c r="M1396" s="17" t="s">
        <v>120</v>
      </c>
      <c r="N1396" s="17" t="s">
        <v>117</v>
      </c>
      <c r="O1396" s="21">
        <v>0.45999999999999996</v>
      </c>
      <c r="P1396" s="21">
        <v>1.18956</v>
      </c>
    </row>
    <row r="1397" spans="1:16" ht="16.5" x14ac:dyDescent="0.25">
      <c r="A1397" s="2"/>
      <c r="B1397" s="4"/>
      <c r="C1397" s="18"/>
      <c r="E1397" s="20">
        <v>44377</v>
      </c>
      <c r="F1397" s="17" t="s">
        <v>88</v>
      </c>
      <c r="G1397" s="21">
        <v>5.9051977391304344</v>
      </c>
      <c r="H1397" s="21">
        <v>8.9</v>
      </c>
      <c r="I1397" s="25">
        <v>5.7194636052760234E-2</v>
      </c>
      <c r="J1397" s="21">
        <v>0.89000000000000012</v>
      </c>
      <c r="K1397" s="21">
        <v>0.41410416666666677</v>
      </c>
      <c r="L1397" s="21">
        <v>0.62300000000000011</v>
      </c>
      <c r="M1397" s="17" t="s">
        <v>113</v>
      </c>
      <c r="N1397" s="17" t="s">
        <v>117</v>
      </c>
      <c r="O1397" s="21">
        <v>0.44500000000000006</v>
      </c>
      <c r="P1397" s="21">
        <v>1.1507700000000001</v>
      </c>
    </row>
    <row r="1398" spans="1:16" ht="16.5" x14ac:dyDescent="0.25">
      <c r="A1398" s="2"/>
      <c r="B1398" s="4"/>
      <c r="C1398" s="18"/>
      <c r="E1398" s="20">
        <v>44377</v>
      </c>
      <c r="F1398" s="17" t="s">
        <v>88</v>
      </c>
      <c r="G1398" s="21">
        <v>5.9051977391304344</v>
      </c>
      <c r="H1398" s="21">
        <v>9.5</v>
      </c>
      <c r="I1398" s="25">
        <v>9.9100237986269962E-2</v>
      </c>
      <c r="J1398" s="21">
        <v>0.95000000000000007</v>
      </c>
      <c r="K1398" s="21">
        <v>0.41410416666666677</v>
      </c>
      <c r="L1398" s="21">
        <v>0.66500000000000004</v>
      </c>
      <c r="M1398" s="17" t="s">
        <v>120</v>
      </c>
      <c r="N1398" s="17" t="s">
        <v>117</v>
      </c>
      <c r="O1398" s="21">
        <v>0.47500000000000003</v>
      </c>
      <c r="P1398" s="21">
        <v>1.2283500000000001</v>
      </c>
    </row>
    <row r="1399" spans="1:16" ht="16.5" x14ac:dyDescent="0.25">
      <c r="A1399" s="2"/>
      <c r="B1399" s="4"/>
      <c r="C1399" s="18"/>
      <c r="E1399" s="20">
        <v>44377</v>
      </c>
      <c r="F1399" s="17" t="s">
        <v>88</v>
      </c>
      <c r="G1399" s="21">
        <v>5.9051977391304344</v>
      </c>
      <c r="H1399" s="21">
        <v>9</v>
      </c>
      <c r="I1399" s="25">
        <v>6.4566917874396126E-2</v>
      </c>
      <c r="J1399" s="21">
        <v>0.9</v>
      </c>
      <c r="K1399" s="21">
        <v>0.41410416666666677</v>
      </c>
      <c r="L1399" s="21">
        <v>0.63000000000000012</v>
      </c>
      <c r="M1399" s="17" t="s">
        <v>113</v>
      </c>
      <c r="N1399" s="17" t="s">
        <v>117</v>
      </c>
      <c r="O1399" s="21">
        <v>0.45</v>
      </c>
      <c r="P1399" s="21">
        <v>1.1637</v>
      </c>
    </row>
    <row r="1400" spans="1:16" ht="16.5" x14ac:dyDescent="0.25">
      <c r="A1400" s="2"/>
      <c r="B1400" s="4"/>
      <c r="C1400" s="18"/>
      <c r="E1400" s="20">
        <v>44377</v>
      </c>
      <c r="F1400" s="17" t="s">
        <v>88</v>
      </c>
      <c r="G1400" s="21">
        <v>5.9051977391304344</v>
      </c>
      <c r="H1400" s="21">
        <v>9.1</v>
      </c>
      <c r="I1400" s="25">
        <v>0.20107717152412802</v>
      </c>
      <c r="J1400" s="21">
        <v>0.91</v>
      </c>
      <c r="K1400" s="21">
        <v>0.41410416666666677</v>
      </c>
      <c r="L1400" s="21">
        <v>0</v>
      </c>
      <c r="M1400" s="17" t="s">
        <v>122</v>
      </c>
      <c r="N1400" s="17" t="s">
        <v>115</v>
      </c>
      <c r="O1400" s="21">
        <v>0.45500000000000002</v>
      </c>
      <c r="P1400" s="21">
        <v>0</v>
      </c>
    </row>
    <row r="1401" spans="1:16" ht="16.5" x14ac:dyDescent="0.25">
      <c r="A1401" s="2"/>
      <c r="B1401" s="4"/>
      <c r="C1401" s="18"/>
      <c r="E1401" s="20">
        <v>44377</v>
      </c>
      <c r="F1401" s="17" t="s">
        <v>88</v>
      </c>
      <c r="G1401" s="21">
        <v>5.9051977391304344</v>
      </c>
      <c r="H1401" s="21">
        <v>8.4</v>
      </c>
      <c r="I1401" s="25">
        <v>0.14700026915113878</v>
      </c>
      <c r="J1401" s="21">
        <v>0.84000000000000008</v>
      </c>
      <c r="K1401" s="21">
        <v>0.41410416666666677</v>
      </c>
      <c r="L1401" s="21">
        <v>0</v>
      </c>
      <c r="M1401" s="17" t="s">
        <v>121</v>
      </c>
      <c r="N1401" s="17" t="s">
        <v>115</v>
      </c>
      <c r="O1401" s="21">
        <v>0.42000000000000004</v>
      </c>
      <c r="P1401" s="21">
        <v>0</v>
      </c>
    </row>
    <row r="1402" spans="1:16" ht="16.5" x14ac:dyDescent="0.25">
      <c r="A1402" s="2"/>
      <c r="B1402" s="4"/>
      <c r="C1402" s="18"/>
      <c r="E1402" s="20">
        <v>44377</v>
      </c>
      <c r="F1402" s="17" t="s">
        <v>88</v>
      </c>
      <c r="G1402" s="21">
        <v>5.9051977391304344</v>
      </c>
      <c r="H1402" s="21">
        <v>7.9</v>
      </c>
      <c r="I1402" s="25">
        <v>0.10250661529994504</v>
      </c>
      <c r="J1402" s="21">
        <v>0.79</v>
      </c>
      <c r="K1402" s="21">
        <v>0.41410416666666677</v>
      </c>
      <c r="L1402" s="21">
        <v>0</v>
      </c>
      <c r="M1402" s="17" t="s">
        <v>120</v>
      </c>
      <c r="N1402" s="17" t="s">
        <v>115</v>
      </c>
      <c r="O1402" s="21">
        <v>0.39500000000000002</v>
      </c>
      <c r="P1402" s="21">
        <v>0</v>
      </c>
    </row>
    <row r="1403" spans="1:16" ht="16.5" x14ac:dyDescent="0.25">
      <c r="A1403" s="2"/>
      <c r="B1403" s="4"/>
      <c r="C1403" s="18"/>
      <c r="E1403" s="20">
        <v>44377</v>
      </c>
      <c r="F1403" s="17" t="s">
        <v>88</v>
      </c>
      <c r="G1403" s="21">
        <v>5.9051977391304344</v>
      </c>
      <c r="H1403" s="21">
        <v>7.9</v>
      </c>
      <c r="I1403" s="25">
        <v>0.10250661529994504</v>
      </c>
      <c r="J1403" s="21">
        <v>0.79</v>
      </c>
      <c r="K1403" s="21">
        <v>0.41410416666666677</v>
      </c>
      <c r="L1403" s="21">
        <v>0</v>
      </c>
      <c r="M1403" s="17" t="s">
        <v>120</v>
      </c>
      <c r="N1403" s="17" t="s">
        <v>115</v>
      </c>
      <c r="O1403" s="21">
        <v>0.39500000000000002</v>
      </c>
      <c r="P1403" s="21">
        <v>0</v>
      </c>
    </row>
    <row r="1404" spans="1:16" ht="16.5" x14ac:dyDescent="0.25">
      <c r="A1404" s="2"/>
      <c r="B1404" s="4"/>
      <c r="C1404" s="18"/>
      <c r="E1404" s="20">
        <v>44377</v>
      </c>
      <c r="F1404" s="17" t="s">
        <v>88</v>
      </c>
      <c r="G1404" s="21">
        <v>5.9051977391304344</v>
      </c>
      <c r="H1404" s="21">
        <v>7.5</v>
      </c>
      <c r="I1404" s="25">
        <v>6.2640301449275404E-2</v>
      </c>
      <c r="J1404" s="21">
        <v>0.75</v>
      </c>
      <c r="K1404" s="21">
        <v>0.41410416666666677</v>
      </c>
      <c r="L1404" s="21">
        <v>0</v>
      </c>
      <c r="M1404" s="17" t="s">
        <v>113</v>
      </c>
      <c r="N1404" s="17" t="s">
        <v>115</v>
      </c>
      <c r="O1404" s="21">
        <v>0.375</v>
      </c>
      <c r="P1404" s="21">
        <v>0</v>
      </c>
    </row>
    <row r="1405" spans="1:16" ht="16.5" x14ac:dyDescent="0.25">
      <c r="A1405" s="2"/>
      <c r="B1405" s="4"/>
      <c r="C1405" s="18"/>
      <c r="E1405" s="20">
        <v>44377</v>
      </c>
      <c r="F1405" s="17" t="s">
        <v>88</v>
      </c>
      <c r="G1405" s="21">
        <v>5.9051977391304344</v>
      </c>
      <c r="H1405" s="21">
        <v>7.5</v>
      </c>
      <c r="I1405" s="25">
        <v>6.2640301449275404E-2</v>
      </c>
      <c r="J1405" s="21">
        <v>0.75</v>
      </c>
      <c r="K1405" s="21">
        <v>0.41410416666666677</v>
      </c>
      <c r="L1405" s="21">
        <v>0</v>
      </c>
      <c r="M1405" s="17" t="s">
        <v>122</v>
      </c>
      <c r="N1405" s="17" t="s">
        <v>115</v>
      </c>
      <c r="O1405" s="21">
        <v>0.375</v>
      </c>
      <c r="P1405" s="21">
        <v>0</v>
      </c>
    </row>
    <row r="1406" spans="1:16" ht="16.5" x14ac:dyDescent="0.25">
      <c r="A1406" s="2"/>
      <c r="B1406" s="4"/>
      <c r="C1406" s="18"/>
      <c r="E1406" s="20">
        <v>44377</v>
      </c>
      <c r="F1406" s="17" t="s">
        <v>87</v>
      </c>
      <c r="G1406" s="21">
        <v>3.6693852391304347</v>
      </c>
      <c r="H1406" s="21">
        <v>6.6</v>
      </c>
      <c r="I1406" s="25">
        <v>0.1647325395256917</v>
      </c>
      <c r="J1406" s="21">
        <v>0.66</v>
      </c>
      <c r="K1406" s="21">
        <v>0.3276770833333334</v>
      </c>
      <c r="L1406" s="21">
        <v>0.46200000000000002</v>
      </c>
      <c r="M1406" s="17" t="s">
        <v>122</v>
      </c>
      <c r="N1406" s="17" t="s">
        <v>117</v>
      </c>
      <c r="O1406" s="21">
        <v>0.33</v>
      </c>
      <c r="P1406" s="21">
        <v>0.85337999999999992</v>
      </c>
    </row>
    <row r="1407" spans="1:16" ht="16.5" x14ac:dyDescent="0.25">
      <c r="A1407" s="2"/>
      <c r="B1407" s="4"/>
      <c r="C1407" s="18"/>
      <c r="E1407" s="20">
        <v>44377</v>
      </c>
      <c r="F1407" s="17" t="s">
        <v>87</v>
      </c>
      <c r="G1407" s="21">
        <v>3.6693852391304347</v>
      </c>
      <c r="H1407" s="21">
        <v>6.4</v>
      </c>
      <c r="I1407" s="25">
        <v>0.14735855638586962</v>
      </c>
      <c r="J1407" s="21">
        <v>0.64000000000000012</v>
      </c>
      <c r="K1407" s="21">
        <v>0.3276770833333334</v>
      </c>
      <c r="L1407" s="21">
        <v>0.44800000000000006</v>
      </c>
      <c r="M1407" s="17" t="s">
        <v>121</v>
      </c>
      <c r="N1407" s="17" t="s">
        <v>117</v>
      </c>
      <c r="O1407" s="21">
        <v>0.32000000000000006</v>
      </c>
      <c r="P1407" s="21">
        <v>0.82752000000000003</v>
      </c>
    </row>
    <row r="1408" spans="1:16" ht="16.5" x14ac:dyDescent="0.25">
      <c r="A1408" s="2"/>
      <c r="B1408" s="4"/>
      <c r="C1408" s="18"/>
      <c r="E1408" s="20">
        <v>44377</v>
      </c>
      <c r="F1408" s="17" t="s">
        <v>87</v>
      </c>
      <c r="G1408" s="21">
        <v>3.6693852391304347</v>
      </c>
      <c r="H1408" s="21">
        <v>6.1</v>
      </c>
      <c r="I1408" s="25">
        <v>0.1191614362081254</v>
      </c>
      <c r="J1408" s="21">
        <v>0.61</v>
      </c>
      <c r="K1408" s="21">
        <v>0.3276770833333334</v>
      </c>
      <c r="L1408" s="21">
        <v>0.42699999999999999</v>
      </c>
      <c r="M1408" s="17" t="s">
        <v>120</v>
      </c>
      <c r="N1408" s="17" t="s">
        <v>117</v>
      </c>
      <c r="O1408" s="21">
        <v>0.30499999999999999</v>
      </c>
      <c r="P1408" s="21">
        <v>0.78872999999999993</v>
      </c>
    </row>
    <row r="1409" spans="1:16" ht="16.5" x14ac:dyDescent="0.25">
      <c r="A1409" s="2"/>
      <c r="B1409" s="4"/>
      <c r="C1409" s="18"/>
      <c r="E1409" s="20">
        <v>44377</v>
      </c>
      <c r="F1409" s="17" t="s">
        <v>87</v>
      </c>
      <c r="G1409" s="21">
        <v>3.6693852391304347</v>
      </c>
      <c r="H1409" s="21">
        <v>5.9</v>
      </c>
      <c r="I1409" s="25">
        <v>9.877029845246868E-2</v>
      </c>
      <c r="J1409" s="21">
        <v>0.59000000000000008</v>
      </c>
      <c r="K1409" s="21">
        <v>0.3276770833333334</v>
      </c>
      <c r="L1409" s="21">
        <v>0.41300000000000009</v>
      </c>
      <c r="M1409" s="17" t="s">
        <v>113</v>
      </c>
      <c r="N1409" s="17" t="s">
        <v>117</v>
      </c>
      <c r="O1409" s="21">
        <v>0.29500000000000004</v>
      </c>
      <c r="P1409" s="21">
        <v>0.76287000000000005</v>
      </c>
    </row>
    <row r="1410" spans="1:16" ht="16.5" x14ac:dyDescent="0.25">
      <c r="A1410" s="2"/>
      <c r="B1410" s="4"/>
      <c r="C1410" s="18"/>
      <c r="E1410" s="20">
        <v>44377</v>
      </c>
      <c r="F1410" s="17" t="s">
        <v>87</v>
      </c>
      <c r="G1410" s="21">
        <v>3.6693852391304347</v>
      </c>
      <c r="H1410" s="21">
        <v>5.4</v>
      </c>
      <c r="I1410" s="25">
        <v>0.17048421497584548</v>
      </c>
      <c r="J1410" s="21">
        <v>0.54</v>
      </c>
      <c r="K1410" s="21">
        <v>0.3276770833333334</v>
      </c>
      <c r="L1410" s="21">
        <v>0</v>
      </c>
      <c r="M1410" s="17" t="s">
        <v>122</v>
      </c>
      <c r="N1410" s="17" t="s">
        <v>115</v>
      </c>
      <c r="O1410" s="21">
        <v>0.27</v>
      </c>
      <c r="P1410" s="21">
        <v>0</v>
      </c>
    </row>
    <row r="1411" spans="1:16" ht="16.5" x14ac:dyDescent="0.25">
      <c r="A1411" s="2"/>
      <c r="B1411" s="4"/>
      <c r="C1411" s="18"/>
      <c r="E1411" s="20">
        <v>44377</v>
      </c>
      <c r="F1411" s="17" t="s">
        <v>87</v>
      </c>
      <c r="G1411" s="21">
        <v>3.6693852391304347</v>
      </c>
      <c r="H1411" s="21">
        <v>5.2</v>
      </c>
      <c r="I1411" s="25">
        <v>0.14434899247491642</v>
      </c>
      <c r="J1411" s="21">
        <v>0.52</v>
      </c>
      <c r="K1411" s="21">
        <v>0.3276770833333334</v>
      </c>
      <c r="L1411" s="21">
        <v>0</v>
      </c>
      <c r="M1411" s="17" t="s">
        <v>121</v>
      </c>
      <c r="N1411" s="17" t="s">
        <v>115</v>
      </c>
      <c r="O1411" s="21">
        <v>0.26</v>
      </c>
      <c r="P1411" s="21">
        <v>0</v>
      </c>
    </row>
    <row r="1412" spans="1:16" ht="16.5" x14ac:dyDescent="0.25">
      <c r="A1412" s="2"/>
      <c r="B1412" s="4"/>
      <c r="C1412" s="18"/>
      <c r="E1412" s="20">
        <v>44377</v>
      </c>
      <c r="F1412" s="17" t="s">
        <v>87</v>
      </c>
      <c r="G1412" s="21">
        <v>3.6693852391304347</v>
      </c>
      <c r="H1412" s="21">
        <v>5</v>
      </c>
      <c r="I1412" s="25">
        <v>0.11612295217391307</v>
      </c>
      <c r="J1412" s="21">
        <v>0.5</v>
      </c>
      <c r="K1412" s="21">
        <v>0.3276770833333334</v>
      </c>
      <c r="L1412" s="21">
        <v>0</v>
      </c>
      <c r="M1412" s="17" t="s">
        <v>120</v>
      </c>
      <c r="N1412" s="17" t="s">
        <v>115</v>
      </c>
      <c r="O1412" s="21">
        <v>0.25</v>
      </c>
      <c r="P1412" s="21">
        <v>0</v>
      </c>
    </row>
    <row r="1413" spans="1:16" ht="16.5" x14ac:dyDescent="0.25">
      <c r="A1413" s="2"/>
      <c r="B1413" s="4"/>
      <c r="C1413" s="18"/>
      <c r="E1413" s="20">
        <v>44377</v>
      </c>
      <c r="F1413" s="17" t="s">
        <v>87</v>
      </c>
      <c r="G1413" s="21">
        <v>3.6693852391304347</v>
      </c>
      <c r="H1413" s="21">
        <v>4.9000000000000004</v>
      </c>
      <c r="I1413" s="25">
        <v>0.10114586956521747</v>
      </c>
      <c r="J1413" s="21">
        <v>0.49000000000000005</v>
      </c>
      <c r="K1413" s="21">
        <v>0.3276770833333334</v>
      </c>
      <c r="L1413" s="21">
        <v>0</v>
      </c>
      <c r="M1413" s="17" t="s">
        <v>113</v>
      </c>
      <c r="N1413" s="17" t="s">
        <v>115</v>
      </c>
      <c r="O1413" s="21">
        <v>0.24500000000000002</v>
      </c>
      <c r="P1413" s="21">
        <v>0</v>
      </c>
    </row>
    <row r="1414" spans="1:16" ht="16.5" x14ac:dyDescent="0.25">
      <c r="A1414" s="2"/>
      <c r="B1414" s="4"/>
      <c r="C1414" s="18"/>
      <c r="E1414" s="20">
        <v>44377</v>
      </c>
      <c r="F1414" s="17" t="s">
        <v>87</v>
      </c>
      <c r="G1414" s="21">
        <v>3.6693852391304347</v>
      </c>
      <c r="H1414" s="21">
        <v>4.9000000000000004</v>
      </c>
      <c r="I1414" s="25">
        <v>0.10114586956521747</v>
      </c>
      <c r="J1414" s="21">
        <v>0.49000000000000005</v>
      </c>
      <c r="K1414" s="21">
        <v>0.3276770833333334</v>
      </c>
      <c r="L1414" s="21">
        <v>0</v>
      </c>
      <c r="M1414" s="17" t="s">
        <v>122</v>
      </c>
      <c r="N1414" s="17" t="s">
        <v>115</v>
      </c>
      <c r="O1414" s="21">
        <v>0.24500000000000002</v>
      </c>
      <c r="P1414" s="21">
        <v>0</v>
      </c>
    </row>
    <row r="1415" spans="1:16" ht="16.5" x14ac:dyDescent="0.25">
      <c r="A1415" s="2"/>
      <c r="B1415" s="4"/>
      <c r="C1415" s="18"/>
      <c r="E1415" s="20">
        <v>44377</v>
      </c>
      <c r="F1415" s="17" t="s">
        <v>86</v>
      </c>
      <c r="G1415" s="21">
        <v>6.5170727391304348</v>
      </c>
      <c r="H1415" s="21">
        <v>11.5</v>
      </c>
      <c r="I1415" s="25">
        <v>0.15399802268430998</v>
      </c>
      <c r="J1415" s="21">
        <v>1.1500000000000001</v>
      </c>
      <c r="K1415" s="21">
        <v>0.64597916666666677</v>
      </c>
      <c r="L1415" s="21">
        <v>0.80500000000000005</v>
      </c>
      <c r="M1415" s="17" t="s">
        <v>122</v>
      </c>
      <c r="N1415" s="17" t="s">
        <v>117</v>
      </c>
      <c r="O1415" s="21">
        <v>0.57500000000000007</v>
      </c>
      <c r="P1415" s="21">
        <v>1.48695</v>
      </c>
    </row>
    <row r="1416" spans="1:16" ht="16.5" x14ac:dyDescent="0.25">
      <c r="A1416" s="2"/>
      <c r="B1416" s="4"/>
      <c r="C1416" s="18"/>
      <c r="E1416" s="20">
        <v>44377</v>
      </c>
      <c r="F1416" s="17" t="s">
        <v>86</v>
      </c>
      <c r="G1416" s="21">
        <v>6.5170727391304348</v>
      </c>
      <c r="H1416" s="21">
        <v>11.2</v>
      </c>
      <c r="I1416" s="25">
        <v>0.13881850543478258</v>
      </c>
      <c r="J1416" s="21">
        <v>1.1199999999999999</v>
      </c>
      <c r="K1416" s="21">
        <v>0.64597916666666677</v>
      </c>
      <c r="L1416" s="21">
        <v>0.78400000000000003</v>
      </c>
      <c r="M1416" s="17" t="s">
        <v>121</v>
      </c>
      <c r="N1416" s="17" t="s">
        <v>117</v>
      </c>
      <c r="O1416" s="21">
        <v>0.55999999999999994</v>
      </c>
      <c r="P1416" s="21">
        <v>1.4481599999999999</v>
      </c>
    </row>
    <row r="1417" spans="1:16" ht="16.5" x14ac:dyDescent="0.25">
      <c r="A1417" s="2"/>
      <c r="B1417" s="4"/>
      <c r="C1417" s="18"/>
      <c r="E1417" s="20">
        <v>44377</v>
      </c>
      <c r="F1417" s="17" t="s">
        <v>86</v>
      </c>
      <c r="G1417" s="21">
        <v>6.5170727391304348</v>
      </c>
      <c r="H1417" s="21">
        <v>11.3</v>
      </c>
      <c r="I1417" s="25">
        <v>0.14396789919199693</v>
      </c>
      <c r="J1417" s="21">
        <v>1.1300000000000001</v>
      </c>
      <c r="K1417" s="21">
        <v>0.64597916666666677</v>
      </c>
      <c r="L1417" s="21">
        <v>0.79100000000000015</v>
      </c>
      <c r="M1417" s="17" t="s">
        <v>122</v>
      </c>
      <c r="N1417" s="17" t="s">
        <v>117</v>
      </c>
      <c r="O1417" s="21">
        <v>0.56500000000000006</v>
      </c>
      <c r="P1417" s="21">
        <v>1.46109</v>
      </c>
    </row>
    <row r="1418" spans="1:16" ht="16.5" x14ac:dyDescent="0.25">
      <c r="A1418" s="2"/>
      <c r="B1418" s="4"/>
      <c r="C1418" s="18"/>
      <c r="E1418" s="20">
        <v>44377</v>
      </c>
      <c r="F1418" s="17" t="s">
        <v>86</v>
      </c>
      <c r="G1418" s="21">
        <v>6.5170727391304348</v>
      </c>
      <c r="H1418" s="21">
        <v>11.3</v>
      </c>
      <c r="I1418" s="25">
        <v>0.14396789919199693</v>
      </c>
      <c r="J1418" s="21">
        <v>1.1300000000000001</v>
      </c>
      <c r="K1418" s="21">
        <v>0.64597916666666677</v>
      </c>
      <c r="L1418" s="21">
        <v>0.79100000000000015</v>
      </c>
      <c r="M1418" s="17" t="s">
        <v>121</v>
      </c>
      <c r="N1418" s="17" t="s">
        <v>117</v>
      </c>
      <c r="O1418" s="21">
        <v>0.56500000000000006</v>
      </c>
      <c r="P1418" s="21">
        <v>1.46109</v>
      </c>
    </row>
    <row r="1419" spans="1:16" ht="16.5" x14ac:dyDescent="0.25">
      <c r="A1419" s="2"/>
      <c r="B1419" s="4"/>
      <c r="C1419" s="18"/>
      <c r="E1419" s="20">
        <v>44377</v>
      </c>
      <c r="F1419" s="17" t="s">
        <v>86</v>
      </c>
      <c r="G1419" s="21">
        <v>6.5170727391304348</v>
      </c>
      <c r="H1419" s="21">
        <v>11.2</v>
      </c>
      <c r="I1419" s="25">
        <v>0.13881850543478258</v>
      </c>
      <c r="J1419" s="21">
        <v>1.1199999999999999</v>
      </c>
      <c r="K1419" s="21">
        <v>0.64597916666666677</v>
      </c>
      <c r="L1419" s="21">
        <v>0.78400000000000003</v>
      </c>
      <c r="M1419" s="17" t="s">
        <v>121</v>
      </c>
      <c r="N1419" s="17" t="s">
        <v>117</v>
      </c>
      <c r="O1419" s="21">
        <v>0.55999999999999994</v>
      </c>
      <c r="P1419" s="21">
        <v>1.4481599999999999</v>
      </c>
    </row>
    <row r="1420" spans="1:16" ht="16.5" x14ac:dyDescent="0.25">
      <c r="A1420" s="2"/>
      <c r="B1420" s="4"/>
      <c r="C1420" s="18"/>
      <c r="E1420" s="20">
        <v>44377</v>
      </c>
      <c r="F1420" s="17" t="s">
        <v>86</v>
      </c>
      <c r="G1420" s="21">
        <v>6.5170727391304348</v>
      </c>
      <c r="H1420" s="21">
        <v>11</v>
      </c>
      <c r="I1420" s="25">
        <v>0.12823884189723322</v>
      </c>
      <c r="J1420" s="21">
        <v>1.1000000000000001</v>
      </c>
      <c r="K1420" s="21">
        <v>0.64597916666666677</v>
      </c>
      <c r="L1420" s="21">
        <v>0.77</v>
      </c>
      <c r="M1420" s="17" t="s">
        <v>120</v>
      </c>
      <c r="N1420" s="17" t="s">
        <v>117</v>
      </c>
      <c r="O1420" s="21">
        <v>0.55000000000000004</v>
      </c>
      <c r="P1420" s="21">
        <v>1.4222999999999999</v>
      </c>
    </row>
    <row r="1421" spans="1:16" ht="16.5" x14ac:dyDescent="0.25">
      <c r="A1421" s="2"/>
      <c r="B1421" s="4"/>
      <c r="C1421" s="18"/>
      <c r="E1421" s="20">
        <v>44377</v>
      </c>
      <c r="F1421" s="17" t="s">
        <v>86</v>
      </c>
      <c r="G1421" s="21">
        <v>6.5170727391304348</v>
      </c>
      <c r="H1421" s="21">
        <v>10.8</v>
      </c>
      <c r="I1421" s="25">
        <v>0.11726733896940422</v>
      </c>
      <c r="J1421" s="21">
        <v>1.08</v>
      </c>
      <c r="K1421" s="21">
        <v>0.64597916666666677</v>
      </c>
      <c r="L1421" s="21">
        <v>0.75600000000000012</v>
      </c>
      <c r="M1421" s="17" t="s">
        <v>113</v>
      </c>
      <c r="N1421" s="17" t="s">
        <v>117</v>
      </c>
      <c r="O1421" s="21">
        <v>0.54</v>
      </c>
      <c r="P1421" s="21">
        <v>1.3964400000000001</v>
      </c>
    </row>
    <row r="1422" spans="1:16" ht="16.5" x14ac:dyDescent="0.25">
      <c r="A1422" s="2"/>
      <c r="B1422" s="4"/>
      <c r="C1422" s="18"/>
      <c r="E1422" s="20">
        <v>44377</v>
      </c>
      <c r="F1422" s="17" t="s">
        <v>86</v>
      </c>
      <c r="G1422" s="21">
        <v>6.5170727391304348</v>
      </c>
      <c r="H1422" s="21">
        <v>10.7</v>
      </c>
      <c r="I1422" s="25">
        <v>0.11162778138967897</v>
      </c>
      <c r="J1422" s="21">
        <v>1.07</v>
      </c>
      <c r="K1422" s="21">
        <v>0.64597916666666677</v>
      </c>
      <c r="L1422" s="21">
        <v>0.749</v>
      </c>
      <c r="M1422" s="17" t="s">
        <v>120</v>
      </c>
      <c r="N1422" s="17" t="s">
        <v>117</v>
      </c>
      <c r="O1422" s="21">
        <v>0.53500000000000003</v>
      </c>
      <c r="P1422" s="21">
        <v>1.3835099999999998</v>
      </c>
    </row>
    <row r="1423" spans="1:16" ht="16.5" x14ac:dyDescent="0.25">
      <c r="A1423" s="2"/>
      <c r="B1423" s="4"/>
      <c r="C1423" s="18"/>
      <c r="E1423" s="20">
        <v>44377</v>
      </c>
      <c r="F1423" s="17" t="s">
        <v>86</v>
      </c>
      <c r="G1423" s="21">
        <v>6.5170727391304348</v>
      </c>
      <c r="H1423" s="21">
        <v>10.6</v>
      </c>
      <c r="I1423" s="25">
        <v>0.10588181706316643</v>
      </c>
      <c r="J1423" s="21">
        <v>1.06</v>
      </c>
      <c r="K1423" s="21">
        <v>0.64597916666666677</v>
      </c>
      <c r="L1423" s="21">
        <v>0.74199999999999999</v>
      </c>
      <c r="M1423" s="17" t="s">
        <v>113</v>
      </c>
      <c r="N1423" s="17" t="s">
        <v>117</v>
      </c>
      <c r="O1423" s="21">
        <v>0.53</v>
      </c>
      <c r="P1423" s="21">
        <v>1.3705799999999999</v>
      </c>
    </row>
    <row r="1424" spans="1:16" ht="16.5" x14ac:dyDescent="0.25">
      <c r="A1424" s="2"/>
      <c r="B1424" s="4"/>
      <c r="C1424" s="18"/>
      <c r="E1424" s="20">
        <v>44377</v>
      </c>
      <c r="F1424" s="17" t="s">
        <v>86</v>
      </c>
      <c r="G1424" s="21">
        <v>6.5170727391304348</v>
      </c>
      <c r="H1424" s="21">
        <v>10.8</v>
      </c>
      <c r="I1424" s="25">
        <v>0.11726733896940422</v>
      </c>
      <c r="J1424" s="21">
        <v>1.08</v>
      </c>
      <c r="K1424" s="21">
        <v>0.64597916666666677</v>
      </c>
      <c r="L1424" s="21">
        <v>0.75600000000000012</v>
      </c>
      <c r="M1424" s="17" t="s">
        <v>122</v>
      </c>
      <c r="N1424" s="17" t="s">
        <v>117</v>
      </c>
      <c r="O1424" s="21">
        <v>0.54</v>
      </c>
      <c r="P1424" s="21">
        <v>1.3964400000000001</v>
      </c>
    </row>
    <row r="1425" spans="1:16" ht="16.5" x14ac:dyDescent="0.25">
      <c r="A1425" s="2"/>
      <c r="B1425" s="4"/>
      <c r="C1425" s="18"/>
      <c r="E1425" s="20">
        <v>44377</v>
      </c>
      <c r="F1425" s="17" t="s">
        <v>86</v>
      </c>
      <c r="G1425" s="21">
        <v>6.5170727391304348</v>
      </c>
      <c r="H1425" s="21">
        <v>9.5</v>
      </c>
      <c r="I1425" s="25">
        <v>0.16399234324942788</v>
      </c>
      <c r="J1425" s="21">
        <v>0.95000000000000007</v>
      </c>
      <c r="K1425" s="21">
        <v>0.64597916666666677</v>
      </c>
      <c r="L1425" s="21">
        <v>0</v>
      </c>
      <c r="M1425" s="17" t="s">
        <v>122</v>
      </c>
      <c r="N1425" s="17" t="s">
        <v>115</v>
      </c>
      <c r="O1425" s="21">
        <v>0.47500000000000003</v>
      </c>
      <c r="P1425" s="21">
        <v>0</v>
      </c>
    </row>
    <row r="1426" spans="1:16" ht="16.5" x14ac:dyDescent="0.25">
      <c r="A1426" s="2"/>
      <c r="B1426" s="4"/>
      <c r="C1426" s="18"/>
      <c r="E1426" s="20">
        <v>44377</v>
      </c>
      <c r="F1426" s="17" t="s">
        <v>86</v>
      </c>
      <c r="G1426" s="21">
        <v>6.5170727391304348</v>
      </c>
      <c r="H1426" s="21">
        <v>9.4</v>
      </c>
      <c r="I1426" s="25">
        <v>0.15669438945420908</v>
      </c>
      <c r="J1426" s="21">
        <v>0.94000000000000006</v>
      </c>
      <c r="K1426" s="21">
        <v>0.64597916666666677</v>
      </c>
      <c r="L1426" s="21">
        <v>0</v>
      </c>
      <c r="M1426" s="17" t="s">
        <v>121</v>
      </c>
      <c r="N1426" s="17" t="s">
        <v>115</v>
      </c>
      <c r="O1426" s="21">
        <v>0.47000000000000003</v>
      </c>
      <c r="P1426" s="21">
        <v>0</v>
      </c>
    </row>
    <row r="1427" spans="1:16" ht="16.5" x14ac:dyDescent="0.25">
      <c r="A1427" s="2"/>
      <c r="B1427" s="4"/>
      <c r="C1427" s="18"/>
      <c r="E1427" s="20">
        <v>44377</v>
      </c>
      <c r="F1427" s="17" t="s">
        <v>86</v>
      </c>
      <c r="G1427" s="21">
        <v>6.5170727391304348</v>
      </c>
      <c r="H1427" s="21">
        <v>9.1999999999999993</v>
      </c>
      <c r="I1427" s="25">
        <v>0.14162252835538747</v>
      </c>
      <c r="J1427" s="21">
        <v>0.91999999999999993</v>
      </c>
      <c r="K1427" s="21">
        <v>0.64597916666666677</v>
      </c>
      <c r="L1427" s="21">
        <v>0</v>
      </c>
      <c r="M1427" s="17" t="s">
        <v>120</v>
      </c>
      <c r="N1427" s="17" t="s">
        <v>115</v>
      </c>
      <c r="O1427" s="21">
        <v>0.45999999999999996</v>
      </c>
      <c r="P1427" s="21">
        <v>0</v>
      </c>
    </row>
    <row r="1428" spans="1:16" ht="16.5" x14ac:dyDescent="0.25">
      <c r="A1428" s="2"/>
      <c r="B1428" s="4"/>
      <c r="C1428" s="18"/>
      <c r="E1428" s="20">
        <v>44377</v>
      </c>
      <c r="F1428" s="17" t="s">
        <v>86</v>
      </c>
      <c r="G1428" s="21">
        <v>6.5170727391304348</v>
      </c>
      <c r="H1428" s="21">
        <v>10.5</v>
      </c>
      <c r="I1428" s="25">
        <v>0.22932640579710142</v>
      </c>
      <c r="J1428" s="21">
        <v>1.05</v>
      </c>
      <c r="K1428" s="21">
        <v>0.64597916666666677</v>
      </c>
      <c r="L1428" s="21">
        <v>0</v>
      </c>
      <c r="M1428" s="17" t="s">
        <v>122</v>
      </c>
      <c r="N1428" s="17" t="s">
        <v>115</v>
      </c>
      <c r="O1428" s="21">
        <v>0.52500000000000002</v>
      </c>
      <c r="P1428" s="21">
        <v>0</v>
      </c>
    </row>
    <row r="1429" spans="1:16" ht="16.5" x14ac:dyDescent="0.25">
      <c r="A1429" s="2"/>
      <c r="B1429" s="4"/>
      <c r="C1429" s="18"/>
      <c r="E1429" s="20">
        <v>44377</v>
      </c>
      <c r="F1429" s="17" t="s">
        <v>86</v>
      </c>
      <c r="G1429" s="21">
        <v>6.5170727391304348</v>
      </c>
      <c r="H1429" s="21">
        <v>9.4</v>
      </c>
      <c r="I1429" s="25">
        <v>0.15669438945420908</v>
      </c>
      <c r="J1429" s="21">
        <v>0.94000000000000006</v>
      </c>
      <c r="K1429" s="21">
        <v>0.64597916666666677</v>
      </c>
      <c r="L1429" s="21">
        <v>0</v>
      </c>
      <c r="M1429" s="17" t="s">
        <v>120</v>
      </c>
      <c r="N1429" s="17" t="s">
        <v>115</v>
      </c>
      <c r="O1429" s="21">
        <v>0.47000000000000003</v>
      </c>
      <c r="P1429" s="21">
        <v>0</v>
      </c>
    </row>
    <row r="1430" spans="1:16" ht="16.5" x14ac:dyDescent="0.25">
      <c r="A1430" s="2"/>
      <c r="B1430" s="4"/>
      <c r="C1430" s="18"/>
      <c r="E1430" s="20">
        <v>44377</v>
      </c>
      <c r="F1430" s="17" t="s">
        <v>86</v>
      </c>
      <c r="G1430" s="21">
        <v>6.5170727391304348</v>
      </c>
      <c r="H1430" s="21">
        <v>9.9</v>
      </c>
      <c r="I1430" s="25">
        <v>0.1917098243302591</v>
      </c>
      <c r="J1430" s="21">
        <v>0.9900000000000001</v>
      </c>
      <c r="K1430" s="21">
        <v>0.64597916666666677</v>
      </c>
      <c r="L1430" s="21">
        <v>0</v>
      </c>
      <c r="M1430" s="17" t="s">
        <v>121</v>
      </c>
      <c r="N1430" s="17" t="s">
        <v>115</v>
      </c>
      <c r="O1430" s="21">
        <v>0.49500000000000005</v>
      </c>
      <c r="P1430" s="21">
        <v>0</v>
      </c>
    </row>
    <row r="1431" spans="1:16" ht="16.5" x14ac:dyDescent="0.25">
      <c r="A1431" s="2"/>
      <c r="B1431" s="4"/>
      <c r="C1431" s="18"/>
      <c r="E1431" s="20">
        <v>44377</v>
      </c>
      <c r="F1431" s="17" t="s">
        <v>86</v>
      </c>
      <c r="G1431" s="21">
        <v>6.5170727391304348</v>
      </c>
      <c r="H1431" s="21">
        <v>9.9</v>
      </c>
      <c r="I1431" s="25">
        <v>0.1917098243302591</v>
      </c>
      <c r="J1431" s="21">
        <v>0.9900000000000001</v>
      </c>
      <c r="K1431" s="21">
        <v>0.64597916666666677</v>
      </c>
      <c r="L1431" s="21">
        <v>0</v>
      </c>
      <c r="M1431" s="17" t="s">
        <v>120</v>
      </c>
      <c r="N1431" s="17" t="s">
        <v>115</v>
      </c>
      <c r="O1431" s="21">
        <v>0.49500000000000005</v>
      </c>
      <c r="P1431" s="21">
        <v>0</v>
      </c>
    </row>
    <row r="1432" spans="1:16" ht="16.5" x14ac:dyDescent="0.25">
      <c r="A1432" s="2"/>
      <c r="B1432" s="4"/>
      <c r="C1432" s="18"/>
      <c r="E1432" s="20">
        <v>44377</v>
      </c>
      <c r="F1432" s="17" t="s">
        <v>86</v>
      </c>
      <c r="G1432" s="21">
        <v>6.5170727391304348</v>
      </c>
      <c r="H1432" s="21">
        <v>9.4</v>
      </c>
      <c r="I1432" s="25">
        <v>0.15669438945420908</v>
      </c>
      <c r="J1432" s="21">
        <v>0.94000000000000006</v>
      </c>
      <c r="K1432" s="21">
        <v>0.64597916666666677</v>
      </c>
      <c r="L1432" s="21">
        <v>0</v>
      </c>
      <c r="M1432" s="17" t="s">
        <v>120</v>
      </c>
      <c r="N1432" s="17" t="s">
        <v>115</v>
      </c>
      <c r="O1432" s="21">
        <v>0.47000000000000003</v>
      </c>
      <c r="P1432" s="21">
        <v>0</v>
      </c>
    </row>
    <row r="1433" spans="1:16" ht="16.5" x14ac:dyDescent="0.25">
      <c r="A1433" s="2"/>
      <c r="B1433" s="4"/>
      <c r="C1433" s="18"/>
      <c r="E1433" s="20">
        <v>44377</v>
      </c>
      <c r="F1433" s="17" t="s">
        <v>86</v>
      </c>
      <c r="G1433" s="21">
        <v>6.5170727391304348</v>
      </c>
      <c r="H1433" s="21">
        <v>9</v>
      </c>
      <c r="I1433" s="25">
        <v>0.125880806763285</v>
      </c>
      <c r="J1433" s="21">
        <v>0.9</v>
      </c>
      <c r="K1433" s="21">
        <v>0.64597916666666677</v>
      </c>
      <c r="L1433" s="21">
        <v>0</v>
      </c>
      <c r="M1433" s="17" t="s">
        <v>113</v>
      </c>
      <c r="N1433" s="17" t="s">
        <v>115</v>
      </c>
      <c r="O1433" s="21">
        <v>0.45</v>
      </c>
      <c r="P1433" s="21">
        <v>0</v>
      </c>
    </row>
    <row r="1434" spans="1:16" ht="16.5" x14ac:dyDescent="0.25">
      <c r="A1434" s="2"/>
      <c r="B1434" s="4"/>
      <c r="C1434" s="18"/>
      <c r="E1434" s="20">
        <v>44377</v>
      </c>
      <c r="F1434" s="17" t="s">
        <v>86</v>
      </c>
      <c r="G1434" s="21">
        <v>6.5170727391304348</v>
      </c>
      <c r="H1434" s="21">
        <v>10.9</v>
      </c>
      <c r="I1434" s="25">
        <v>0.25210341842840051</v>
      </c>
      <c r="J1434" s="21">
        <v>1.0900000000000001</v>
      </c>
      <c r="K1434" s="21">
        <v>0.64597916666666677</v>
      </c>
      <c r="L1434" s="21">
        <v>0</v>
      </c>
      <c r="M1434" s="17" t="s">
        <v>121</v>
      </c>
      <c r="N1434" s="17" t="s">
        <v>115</v>
      </c>
      <c r="O1434" s="21">
        <v>0.54500000000000004</v>
      </c>
      <c r="P1434" s="21">
        <v>0</v>
      </c>
    </row>
    <row r="1435" spans="1:16" ht="16.5" x14ac:dyDescent="0.25">
      <c r="A1435" s="2"/>
      <c r="B1435" s="4"/>
      <c r="C1435" s="18"/>
      <c r="E1435" s="20">
        <v>44377</v>
      </c>
      <c r="F1435" s="17" t="s">
        <v>86</v>
      </c>
      <c r="G1435" s="21">
        <v>6.5170727391304348</v>
      </c>
      <c r="H1435" s="21">
        <v>10</v>
      </c>
      <c r="I1435" s="25">
        <v>0.19829272608695653</v>
      </c>
      <c r="J1435" s="21">
        <v>1</v>
      </c>
      <c r="K1435" s="21">
        <v>0.64597916666666677</v>
      </c>
      <c r="L1435" s="21">
        <v>0</v>
      </c>
      <c r="M1435" s="17" t="s">
        <v>121</v>
      </c>
      <c r="N1435" s="17" t="s">
        <v>115</v>
      </c>
      <c r="O1435" s="21">
        <v>0.5</v>
      </c>
      <c r="P1435" s="21">
        <v>0</v>
      </c>
    </row>
    <row r="1436" spans="1:16" ht="16.5" x14ac:dyDescent="0.25">
      <c r="A1436" s="2"/>
      <c r="B1436" s="4"/>
      <c r="C1436" s="18"/>
      <c r="E1436" s="20">
        <v>44377</v>
      </c>
      <c r="F1436" s="17" t="s">
        <v>86</v>
      </c>
      <c r="G1436" s="21">
        <v>6.5170727391304348</v>
      </c>
      <c r="H1436" s="21">
        <v>9.4</v>
      </c>
      <c r="I1436" s="25">
        <v>0.15669438945420908</v>
      </c>
      <c r="J1436" s="21">
        <v>0.94000000000000006</v>
      </c>
      <c r="K1436" s="21">
        <v>0.64597916666666677</v>
      </c>
      <c r="L1436" s="21">
        <v>0</v>
      </c>
      <c r="M1436" s="17" t="s">
        <v>120</v>
      </c>
      <c r="N1436" s="17" t="s">
        <v>115</v>
      </c>
      <c r="O1436" s="21">
        <v>0.47000000000000003</v>
      </c>
      <c r="P1436" s="21">
        <v>0</v>
      </c>
    </row>
    <row r="1437" spans="1:16" ht="16.5" x14ac:dyDescent="0.25">
      <c r="A1437" s="2"/>
      <c r="B1437" s="4"/>
      <c r="C1437" s="18"/>
      <c r="E1437" s="20">
        <v>44377</v>
      </c>
      <c r="F1437" s="17" t="s">
        <v>86</v>
      </c>
      <c r="G1437" s="21">
        <v>6.5170727391304348</v>
      </c>
      <c r="H1437" s="21">
        <v>9</v>
      </c>
      <c r="I1437" s="25">
        <v>0.125880806763285</v>
      </c>
      <c r="J1437" s="21">
        <v>0.9</v>
      </c>
      <c r="K1437" s="21">
        <v>0.64597916666666677</v>
      </c>
      <c r="L1437" s="21">
        <v>0</v>
      </c>
      <c r="M1437" s="17" t="s">
        <v>113</v>
      </c>
      <c r="N1437" s="17" t="s">
        <v>115</v>
      </c>
      <c r="O1437" s="21">
        <v>0.45</v>
      </c>
      <c r="P1437" s="21">
        <v>0</v>
      </c>
    </row>
    <row r="1438" spans="1:16" ht="16.5" x14ac:dyDescent="0.25">
      <c r="A1438" s="2"/>
      <c r="B1438" s="4"/>
      <c r="C1438" s="18"/>
      <c r="E1438" s="20">
        <v>44377</v>
      </c>
      <c r="F1438" s="17" t="s">
        <v>86</v>
      </c>
      <c r="G1438" s="21">
        <v>6.5170727391304348</v>
      </c>
      <c r="H1438" s="21">
        <v>9</v>
      </c>
      <c r="I1438" s="25">
        <v>0.125880806763285</v>
      </c>
      <c r="J1438" s="21">
        <v>0.9</v>
      </c>
      <c r="K1438" s="21">
        <v>0.64597916666666677</v>
      </c>
      <c r="L1438" s="21">
        <v>0</v>
      </c>
      <c r="M1438" s="17" t="s">
        <v>122</v>
      </c>
      <c r="N1438" s="17" t="s">
        <v>115</v>
      </c>
      <c r="O1438" s="21">
        <v>0.45</v>
      </c>
      <c r="P1438" s="21">
        <v>0</v>
      </c>
    </row>
    <row r="1439" spans="1:16" ht="16.5" x14ac:dyDescent="0.25">
      <c r="A1439" s="2"/>
      <c r="B1439" s="4"/>
      <c r="C1439" s="18"/>
      <c r="E1439" s="20">
        <v>44377</v>
      </c>
      <c r="F1439" s="17" t="s">
        <v>97</v>
      </c>
      <c r="G1439" s="21">
        <v>7.7800000000000011</v>
      </c>
      <c r="H1439" s="21">
        <v>13</v>
      </c>
      <c r="I1439" s="25">
        <v>0.25153846153846143</v>
      </c>
      <c r="J1439" s="21">
        <v>1.3</v>
      </c>
      <c r="K1439" s="21">
        <v>1.02</v>
      </c>
      <c r="L1439" s="21">
        <v>0</v>
      </c>
      <c r="M1439" s="17" t="s">
        <v>122</v>
      </c>
      <c r="N1439" s="17" t="s">
        <v>115</v>
      </c>
      <c r="O1439" s="21">
        <v>0.65</v>
      </c>
      <c r="P1439" s="21">
        <v>0</v>
      </c>
    </row>
    <row r="1440" spans="1:16" ht="16.5" x14ac:dyDescent="0.25">
      <c r="A1440" s="2"/>
      <c r="B1440" s="4"/>
      <c r="C1440" s="18"/>
      <c r="E1440" s="20">
        <v>44377</v>
      </c>
      <c r="F1440" s="17" t="s">
        <v>97</v>
      </c>
      <c r="G1440" s="21">
        <v>7.7800000000000011</v>
      </c>
      <c r="H1440" s="21">
        <v>12</v>
      </c>
      <c r="I1440" s="25">
        <v>0.20166666666666655</v>
      </c>
      <c r="J1440" s="21">
        <v>1.2000000000000002</v>
      </c>
      <c r="K1440" s="21">
        <v>1.02</v>
      </c>
      <c r="L1440" s="21">
        <v>0</v>
      </c>
      <c r="M1440" s="17" t="s">
        <v>121</v>
      </c>
      <c r="N1440" s="17" t="s">
        <v>115</v>
      </c>
      <c r="O1440" s="21">
        <v>0.60000000000000009</v>
      </c>
      <c r="P1440" s="21">
        <v>0</v>
      </c>
    </row>
    <row r="1441" spans="1:16" ht="16.5" x14ac:dyDescent="0.25">
      <c r="A1441" s="2"/>
      <c r="B1441" s="4"/>
      <c r="C1441" s="18"/>
      <c r="E1441" s="20">
        <v>44377</v>
      </c>
      <c r="F1441" s="17" t="s">
        <v>97</v>
      </c>
      <c r="G1441" s="21">
        <v>7.7800000000000011</v>
      </c>
      <c r="H1441" s="21">
        <v>11.1</v>
      </c>
      <c r="I1441" s="25">
        <v>0.14909909909909894</v>
      </c>
      <c r="J1441" s="21">
        <v>1.1100000000000001</v>
      </c>
      <c r="K1441" s="21">
        <v>1.02</v>
      </c>
      <c r="L1441" s="21">
        <v>0</v>
      </c>
      <c r="M1441" s="17" t="s">
        <v>120</v>
      </c>
      <c r="N1441" s="17" t="s">
        <v>115</v>
      </c>
      <c r="O1441" s="21">
        <v>0.55500000000000005</v>
      </c>
      <c r="P1441" s="21">
        <v>0</v>
      </c>
    </row>
    <row r="1442" spans="1:16" ht="16.5" x14ac:dyDescent="0.25">
      <c r="A1442" s="2"/>
      <c r="B1442" s="4"/>
      <c r="C1442" s="18"/>
      <c r="E1442" s="20">
        <v>44377</v>
      </c>
      <c r="F1442" s="17" t="s">
        <v>97</v>
      </c>
      <c r="G1442" s="21">
        <v>7.7800000000000011</v>
      </c>
      <c r="H1442" s="21">
        <v>10.5</v>
      </c>
      <c r="I1442" s="25">
        <v>0.10904761904761895</v>
      </c>
      <c r="J1442" s="21">
        <v>1.05</v>
      </c>
      <c r="K1442" s="21">
        <v>1.02</v>
      </c>
      <c r="L1442" s="21">
        <v>0</v>
      </c>
      <c r="M1442" s="17" t="s">
        <v>113</v>
      </c>
      <c r="N1442" s="17" t="s">
        <v>115</v>
      </c>
      <c r="O1442" s="21">
        <v>0.52500000000000002</v>
      </c>
      <c r="P1442" s="21">
        <v>0</v>
      </c>
    </row>
    <row r="1443" spans="1:16" ht="16.5" x14ac:dyDescent="0.25">
      <c r="A1443" s="2"/>
      <c r="B1443" s="4"/>
      <c r="C1443" s="18"/>
      <c r="E1443" s="20">
        <v>44377</v>
      </c>
      <c r="F1443" s="17" t="s">
        <v>98</v>
      </c>
      <c r="G1443" s="21">
        <v>5.9320000000000004</v>
      </c>
      <c r="H1443" s="21">
        <v>12.6</v>
      </c>
      <c r="I1443" s="25">
        <v>0.19990634920634912</v>
      </c>
      <c r="J1443" s="21">
        <v>1.26</v>
      </c>
      <c r="K1443" s="21">
        <v>0.76800000000000002</v>
      </c>
      <c r="L1443" s="21">
        <v>1.512</v>
      </c>
      <c r="M1443" s="17" t="s">
        <v>122</v>
      </c>
      <c r="N1443" s="17" t="s">
        <v>117</v>
      </c>
      <c r="O1443" s="21">
        <v>0.63</v>
      </c>
      <c r="P1443" s="21">
        <v>2.2591800000000002</v>
      </c>
    </row>
    <row r="1444" spans="1:16" ht="16.5" x14ac:dyDescent="0.25">
      <c r="A1444" s="2"/>
      <c r="B1444" s="4"/>
      <c r="C1444" s="18"/>
      <c r="E1444" s="20">
        <v>44377</v>
      </c>
      <c r="F1444" s="17" t="s">
        <v>98</v>
      </c>
      <c r="G1444" s="21">
        <v>5.9320000000000004</v>
      </c>
      <c r="H1444" s="21">
        <v>11.4</v>
      </c>
      <c r="I1444" s="25">
        <v>0.15034912280701754</v>
      </c>
      <c r="J1444" s="21">
        <v>1.1400000000000001</v>
      </c>
      <c r="K1444" s="21">
        <v>0.76800000000000002</v>
      </c>
      <c r="L1444" s="21">
        <v>1.3679999999999999</v>
      </c>
      <c r="M1444" s="17" t="s">
        <v>121</v>
      </c>
      <c r="N1444" s="17" t="s">
        <v>117</v>
      </c>
      <c r="O1444" s="21">
        <v>0.57000000000000006</v>
      </c>
      <c r="P1444" s="21">
        <v>2.0440200000000002</v>
      </c>
    </row>
    <row r="1445" spans="1:16" ht="16.5" x14ac:dyDescent="0.25">
      <c r="A1445" s="2"/>
      <c r="B1445" s="4"/>
      <c r="C1445" s="18"/>
      <c r="E1445" s="20">
        <v>44377</v>
      </c>
      <c r="F1445" s="17" t="s">
        <v>98</v>
      </c>
      <c r="G1445" s="21">
        <v>5.9320000000000004</v>
      </c>
      <c r="H1445" s="21">
        <v>10.4</v>
      </c>
      <c r="I1445" s="25">
        <v>0.10031538461538458</v>
      </c>
      <c r="J1445" s="21">
        <v>1.04</v>
      </c>
      <c r="K1445" s="21">
        <v>0.76800000000000002</v>
      </c>
      <c r="L1445" s="21">
        <v>1.248</v>
      </c>
      <c r="M1445" s="17" t="s">
        <v>120</v>
      </c>
      <c r="N1445" s="17" t="s">
        <v>117</v>
      </c>
      <c r="O1445" s="21">
        <v>0.52</v>
      </c>
      <c r="P1445" s="21">
        <v>1.8647200000000002</v>
      </c>
    </row>
    <row r="1446" spans="1:16" ht="16.5" x14ac:dyDescent="0.25">
      <c r="A1446" s="2"/>
      <c r="B1446" s="4"/>
      <c r="C1446" s="18"/>
      <c r="E1446" s="20">
        <v>44377</v>
      </c>
      <c r="F1446" s="17" t="s">
        <v>98</v>
      </c>
      <c r="G1446" s="21">
        <v>5.9320000000000004</v>
      </c>
      <c r="H1446" s="21">
        <v>9.6</v>
      </c>
      <c r="I1446" s="25">
        <v>5.2783333333333252E-2</v>
      </c>
      <c r="J1446" s="21">
        <v>0.96</v>
      </c>
      <c r="K1446" s="21">
        <v>0.76800000000000002</v>
      </c>
      <c r="L1446" s="21">
        <v>1.1519999999999999</v>
      </c>
      <c r="M1446" s="17" t="s">
        <v>113</v>
      </c>
      <c r="N1446" s="17" t="s">
        <v>117</v>
      </c>
      <c r="O1446" s="21">
        <v>0.48</v>
      </c>
      <c r="P1446" s="21">
        <v>1.7212800000000001</v>
      </c>
    </row>
    <row r="1447" spans="1:16" ht="16.5" x14ac:dyDescent="0.25">
      <c r="A1447" s="2"/>
      <c r="B1447" s="4"/>
      <c r="C1447" s="18"/>
      <c r="E1447" s="20">
        <v>44377</v>
      </c>
      <c r="F1447" s="17" t="s">
        <v>98</v>
      </c>
      <c r="G1447" s="21">
        <v>5.9320000000000004</v>
      </c>
      <c r="H1447" s="21">
        <v>14.1</v>
      </c>
      <c r="I1447" s="25">
        <v>0.24999078014184398</v>
      </c>
      <c r="J1447" s="21">
        <v>1.4100000000000001</v>
      </c>
      <c r="K1447" s="21">
        <v>0.76800000000000002</v>
      </c>
      <c r="L1447" s="21">
        <v>1.6919999999999999</v>
      </c>
      <c r="M1447" s="17" t="s">
        <v>122</v>
      </c>
      <c r="N1447" s="17" t="s">
        <v>117</v>
      </c>
      <c r="O1447" s="21">
        <v>0.70500000000000007</v>
      </c>
      <c r="P1447" s="21">
        <v>2.52813</v>
      </c>
    </row>
    <row r="1448" spans="1:16" ht="16.5" x14ac:dyDescent="0.25">
      <c r="A1448" s="2"/>
      <c r="B1448" s="4"/>
      <c r="C1448" s="18"/>
      <c r="E1448" s="20">
        <v>44377</v>
      </c>
      <c r="F1448" s="17" t="s">
        <v>98</v>
      </c>
      <c r="G1448" s="21">
        <v>5.9320000000000004</v>
      </c>
      <c r="H1448" s="21">
        <v>12.6</v>
      </c>
      <c r="I1448" s="25">
        <v>0.19990634920634912</v>
      </c>
      <c r="J1448" s="21">
        <v>1.26</v>
      </c>
      <c r="K1448" s="21">
        <v>0.76800000000000002</v>
      </c>
      <c r="L1448" s="21">
        <v>1.512</v>
      </c>
      <c r="M1448" s="17" t="s">
        <v>121</v>
      </c>
      <c r="N1448" s="17" t="s">
        <v>117</v>
      </c>
      <c r="O1448" s="21">
        <v>0.63</v>
      </c>
      <c r="P1448" s="21">
        <v>2.2591800000000002</v>
      </c>
    </row>
    <row r="1449" spans="1:16" ht="16.5" x14ac:dyDescent="0.25">
      <c r="A1449" s="2"/>
      <c r="B1449" s="4"/>
      <c r="C1449" s="18"/>
      <c r="E1449" s="20">
        <v>44377</v>
      </c>
      <c r="F1449" s="17" t="s">
        <v>98</v>
      </c>
      <c r="G1449" s="21">
        <v>5.9320000000000004</v>
      </c>
      <c r="H1449" s="21">
        <v>11.4</v>
      </c>
      <c r="I1449" s="25">
        <v>0.15034912280701754</v>
      </c>
      <c r="J1449" s="21">
        <v>1.1400000000000001</v>
      </c>
      <c r="K1449" s="21">
        <v>0.76800000000000002</v>
      </c>
      <c r="L1449" s="21">
        <v>1.3679999999999999</v>
      </c>
      <c r="M1449" s="17" t="s">
        <v>120</v>
      </c>
      <c r="N1449" s="17" t="s">
        <v>117</v>
      </c>
      <c r="O1449" s="21">
        <v>0.57000000000000006</v>
      </c>
      <c r="P1449" s="21">
        <v>2.0440200000000002</v>
      </c>
    </row>
    <row r="1450" spans="1:16" ht="16.5" x14ac:dyDescent="0.25">
      <c r="A1450" s="2"/>
      <c r="B1450" s="4"/>
      <c r="C1450" s="18"/>
      <c r="E1450" s="20">
        <v>44377</v>
      </c>
      <c r="F1450" s="17" t="s">
        <v>98</v>
      </c>
      <c r="G1450" s="21">
        <v>5.9320000000000004</v>
      </c>
      <c r="H1450" s="21">
        <v>10.4</v>
      </c>
      <c r="I1450" s="25">
        <v>0.10031538461538458</v>
      </c>
      <c r="J1450" s="21">
        <v>1.04</v>
      </c>
      <c r="K1450" s="21">
        <v>0.76800000000000002</v>
      </c>
      <c r="L1450" s="21">
        <v>1.248</v>
      </c>
      <c r="M1450" s="17" t="s">
        <v>113</v>
      </c>
      <c r="N1450" s="17" t="s">
        <v>117</v>
      </c>
      <c r="O1450" s="21">
        <v>0.52</v>
      </c>
      <c r="P1450" s="21">
        <v>1.8647200000000002</v>
      </c>
    </row>
    <row r="1451" spans="1:16" ht="16.5" x14ac:dyDescent="0.25">
      <c r="A1451" s="2"/>
      <c r="B1451" s="4"/>
      <c r="C1451" s="18"/>
      <c r="E1451" s="20">
        <v>44377</v>
      </c>
      <c r="F1451" s="17" t="s">
        <v>98</v>
      </c>
      <c r="G1451" s="21">
        <v>5.9320000000000004</v>
      </c>
      <c r="H1451" s="21">
        <v>10.4</v>
      </c>
      <c r="I1451" s="25">
        <v>0.10031538461538458</v>
      </c>
      <c r="J1451" s="21">
        <v>1.04</v>
      </c>
      <c r="K1451" s="21">
        <v>0.76800000000000002</v>
      </c>
      <c r="L1451" s="21">
        <v>1.248</v>
      </c>
      <c r="M1451" s="17" t="s">
        <v>122</v>
      </c>
      <c r="N1451" s="17" t="s">
        <v>117</v>
      </c>
      <c r="O1451" s="21">
        <v>0.52</v>
      </c>
      <c r="P1451" s="21">
        <v>1.8647200000000002</v>
      </c>
    </row>
    <row r="1452" spans="1:16" ht="16.5" x14ac:dyDescent="0.25">
      <c r="A1452" s="2"/>
      <c r="B1452" s="4"/>
      <c r="C1452" s="18"/>
      <c r="E1452" s="20">
        <v>44377</v>
      </c>
      <c r="F1452" s="17" t="s">
        <v>98</v>
      </c>
      <c r="G1452" s="21">
        <v>5.9320000000000004</v>
      </c>
      <c r="H1452" s="21">
        <v>10.8</v>
      </c>
      <c r="I1452" s="25">
        <v>0.30074074074074075</v>
      </c>
      <c r="J1452" s="21">
        <v>1.08</v>
      </c>
      <c r="K1452" s="21">
        <v>0.76800000000000002</v>
      </c>
      <c r="L1452" s="21">
        <v>0</v>
      </c>
      <c r="M1452" s="17" t="s">
        <v>122</v>
      </c>
      <c r="N1452" s="17" t="s">
        <v>115</v>
      </c>
      <c r="O1452" s="21">
        <v>0.54</v>
      </c>
      <c r="P1452" s="21">
        <v>0</v>
      </c>
    </row>
    <row r="1453" spans="1:16" ht="16.5" x14ac:dyDescent="0.25">
      <c r="A1453" s="2"/>
      <c r="B1453" s="4"/>
      <c r="C1453" s="18"/>
      <c r="E1453" s="20">
        <v>44377</v>
      </c>
      <c r="F1453" s="17" t="s">
        <v>98</v>
      </c>
      <c r="G1453" s="21">
        <v>5.9320000000000004</v>
      </c>
      <c r="H1453" s="21">
        <v>9.9</v>
      </c>
      <c r="I1453" s="25">
        <v>0.25080808080808076</v>
      </c>
      <c r="J1453" s="21">
        <v>0.9900000000000001</v>
      </c>
      <c r="K1453" s="21">
        <v>0.76800000000000002</v>
      </c>
      <c r="L1453" s="21">
        <v>0</v>
      </c>
      <c r="M1453" s="17" t="s">
        <v>121</v>
      </c>
      <c r="N1453" s="17" t="s">
        <v>115</v>
      </c>
      <c r="O1453" s="21">
        <v>0.49500000000000005</v>
      </c>
      <c r="P1453" s="21">
        <v>0</v>
      </c>
    </row>
    <row r="1454" spans="1:16" ht="16.5" x14ac:dyDescent="0.25">
      <c r="A1454" s="2"/>
      <c r="B1454" s="4"/>
      <c r="C1454" s="18"/>
      <c r="E1454" s="20">
        <v>44377</v>
      </c>
      <c r="F1454" s="17" t="s">
        <v>98</v>
      </c>
      <c r="G1454" s="21">
        <v>5.9320000000000004</v>
      </c>
      <c r="H1454" s="21">
        <v>9.1</v>
      </c>
      <c r="I1454" s="25">
        <v>0.19813186813186803</v>
      </c>
      <c r="J1454" s="21">
        <v>0.91</v>
      </c>
      <c r="K1454" s="21">
        <v>0.76800000000000002</v>
      </c>
      <c r="L1454" s="21">
        <v>0</v>
      </c>
      <c r="M1454" s="17" t="s">
        <v>120</v>
      </c>
      <c r="N1454" s="17" t="s">
        <v>115</v>
      </c>
      <c r="O1454" s="21">
        <v>0.45500000000000002</v>
      </c>
      <c r="P1454" s="21">
        <v>0</v>
      </c>
    </row>
    <row r="1455" spans="1:16" ht="16.5" x14ac:dyDescent="0.25">
      <c r="A1455" s="2"/>
      <c r="B1455" s="4"/>
      <c r="C1455" s="18"/>
      <c r="E1455" s="20">
        <v>44377</v>
      </c>
      <c r="F1455" s="17" t="s">
        <v>98</v>
      </c>
      <c r="G1455" s="21">
        <v>5.9320000000000004</v>
      </c>
      <c r="H1455" s="21">
        <v>8.5</v>
      </c>
      <c r="I1455" s="25">
        <v>0.1521176470588235</v>
      </c>
      <c r="J1455" s="21">
        <v>0.85000000000000009</v>
      </c>
      <c r="K1455" s="21">
        <v>0.76800000000000002</v>
      </c>
      <c r="L1455" s="21">
        <v>0</v>
      </c>
      <c r="M1455" s="17" t="s">
        <v>113</v>
      </c>
      <c r="N1455" s="17" t="s">
        <v>115</v>
      </c>
      <c r="O1455" s="21">
        <v>0.42500000000000004</v>
      </c>
      <c r="P1455" s="21">
        <v>0</v>
      </c>
    </row>
    <row r="1456" spans="1:16" ht="16.5" x14ac:dyDescent="0.25">
      <c r="A1456" s="2"/>
      <c r="B1456" s="4"/>
      <c r="C1456" s="18"/>
      <c r="E1456" s="20">
        <v>44377</v>
      </c>
      <c r="F1456" s="17" t="s">
        <v>97</v>
      </c>
      <c r="G1456" s="21">
        <v>7.7800000000000011</v>
      </c>
      <c r="H1456" s="21">
        <v>16.5</v>
      </c>
      <c r="I1456" s="25">
        <v>0.19918484848484844</v>
      </c>
      <c r="J1456" s="21">
        <v>1.6500000000000001</v>
      </c>
      <c r="K1456" s="21">
        <v>1.02</v>
      </c>
      <c r="L1456" s="21">
        <v>1.98</v>
      </c>
      <c r="M1456" s="17" t="s">
        <v>122</v>
      </c>
      <c r="N1456" s="17" t="s">
        <v>117</v>
      </c>
      <c r="O1456" s="21">
        <v>0.82500000000000007</v>
      </c>
      <c r="P1456" s="21">
        <v>2.95845</v>
      </c>
    </row>
    <row r="1457" spans="1:16" ht="16.5" x14ac:dyDescent="0.25">
      <c r="A1457" s="2"/>
      <c r="B1457" s="4"/>
      <c r="C1457" s="18"/>
      <c r="E1457" s="20">
        <v>44377</v>
      </c>
      <c r="F1457" s="17" t="s">
        <v>97</v>
      </c>
      <c r="G1457" s="21">
        <v>7.7800000000000011</v>
      </c>
      <c r="H1457" s="21">
        <v>14.9</v>
      </c>
      <c r="I1457" s="25">
        <v>0.14855234899328845</v>
      </c>
      <c r="J1457" s="21">
        <v>1.4900000000000002</v>
      </c>
      <c r="K1457" s="21">
        <v>1.02</v>
      </c>
      <c r="L1457" s="21">
        <v>1.788</v>
      </c>
      <c r="M1457" s="17" t="s">
        <v>121</v>
      </c>
      <c r="N1457" s="17" t="s">
        <v>117</v>
      </c>
      <c r="O1457" s="21">
        <v>0.74500000000000011</v>
      </c>
      <c r="P1457" s="21">
        <v>2.6715700000000004</v>
      </c>
    </row>
    <row r="1458" spans="1:16" ht="16.5" x14ac:dyDescent="0.25">
      <c r="A1458" s="2"/>
      <c r="B1458" s="4"/>
      <c r="C1458" s="18"/>
      <c r="E1458" s="20">
        <v>44377</v>
      </c>
      <c r="F1458" s="17" t="s">
        <v>97</v>
      </c>
      <c r="G1458" s="21">
        <v>7.7800000000000011</v>
      </c>
      <c r="H1458" s="21">
        <v>13.6</v>
      </c>
      <c r="I1458" s="25">
        <v>9.8641176470588093E-2</v>
      </c>
      <c r="J1458" s="21">
        <v>1.36</v>
      </c>
      <c r="K1458" s="21">
        <v>1.02</v>
      </c>
      <c r="L1458" s="21">
        <v>1.6319999999999999</v>
      </c>
      <c r="M1458" s="17" t="s">
        <v>120</v>
      </c>
      <c r="N1458" s="17" t="s">
        <v>117</v>
      </c>
      <c r="O1458" s="21">
        <v>0.68</v>
      </c>
      <c r="P1458" s="21">
        <v>2.4384800000000002</v>
      </c>
    </row>
    <row r="1459" spans="1:16" ht="16.5" x14ac:dyDescent="0.25">
      <c r="A1459" s="2"/>
      <c r="B1459" s="4"/>
      <c r="C1459" s="18"/>
      <c r="E1459" s="20">
        <v>44377</v>
      </c>
      <c r="F1459" s="17" t="s">
        <v>97</v>
      </c>
      <c r="G1459" s="21">
        <v>7.7800000000000011</v>
      </c>
      <c r="H1459" s="21">
        <v>12.5</v>
      </c>
      <c r="I1459" s="25">
        <v>4.8299999999999843E-2</v>
      </c>
      <c r="J1459" s="21">
        <v>1.25</v>
      </c>
      <c r="K1459" s="21">
        <v>1.02</v>
      </c>
      <c r="L1459" s="21">
        <v>1.5</v>
      </c>
      <c r="M1459" s="17" t="s">
        <v>113</v>
      </c>
      <c r="N1459" s="17" t="s">
        <v>117</v>
      </c>
      <c r="O1459" s="21">
        <v>0.625</v>
      </c>
      <c r="P1459" s="21">
        <v>2.24125</v>
      </c>
    </row>
    <row r="1460" spans="1:16" ht="16.5" x14ac:dyDescent="0.25">
      <c r="A1460" s="2"/>
      <c r="B1460" s="4"/>
      <c r="C1460" s="18"/>
      <c r="E1460" s="20">
        <v>44377</v>
      </c>
      <c r="F1460" s="17" t="s">
        <v>97</v>
      </c>
      <c r="G1460" s="21">
        <v>7.7800000000000011</v>
      </c>
      <c r="H1460" s="21">
        <v>12</v>
      </c>
      <c r="I1460" s="25">
        <v>0.20166666666666655</v>
      </c>
      <c r="J1460" s="21">
        <v>1.2000000000000002</v>
      </c>
      <c r="K1460" s="21">
        <v>1.02</v>
      </c>
      <c r="L1460" s="21">
        <v>0</v>
      </c>
      <c r="M1460" s="17" t="s">
        <v>122</v>
      </c>
      <c r="N1460" s="17" t="s">
        <v>115</v>
      </c>
      <c r="O1460" s="21">
        <v>0.60000000000000009</v>
      </c>
      <c r="P1460" s="21">
        <v>0</v>
      </c>
    </row>
    <row r="1461" spans="1:16" ht="16.5" x14ac:dyDescent="0.25">
      <c r="A1461" s="2"/>
      <c r="B1461" s="4"/>
      <c r="C1461" s="18"/>
      <c r="E1461" s="20">
        <v>44377</v>
      </c>
      <c r="F1461" s="17" t="s">
        <v>97</v>
      </c>
      <c r="G1461" s="21">
        <v>7.7800000000000011</v>
      </c>
      <c r="H1461" s="21">
        <v>11.1</v>
      </c>
      <c r="I1461" s="25">
        <v>0.14909909909909894</v>
      </c>
      <c r="J1461" s="21">
        <v>1.1100000000000001</v>
      </c>
      <c r="K1461" s="21">
        <v>1.02</v>
      </c>
      <c r="L1461" s="21">
        <v>0</v>
      </c>
      <c r="M1461" s="17" t="s">
        <v>121</v>
      </c>
      <c r="N1461" s="17" t="s">
        <v>115</v>
      </c>
      <c r="O1461" s="21">
        <v>0.55500000000000005</v>
      </c>
      <c r="P1461" s="21">
        <v>0</v>
      </c>
    </row>
    <row r="1462" spans="1:16" ht="16.5" x14ac:dyDescent="0.25">
      <c r="A1462" s="2"/>
      <c r="B1462" s="4"/>
      <c r="C1462" s="18"/>
      <c r="E1462" s="20">
        <v>44377</v>
      </c>
      <c r="F1462" s="17" t="s">
        <v>97</v>
      </c>
      <c r="G1462" s="21">
        <v>7.7800000000000011</v>
      </c>
      <c r="H1462" s="21">
        <v>10.4</v>
      </c>
      <c r="I1462" s="25">
        <v>0.10192307692307684</v>
      </c>
      <c r="J1462" s="21">
        <v>1.04</v>
      </c>
      <c r="K1462" s="21">
        <v>1.02</v>
      </c>
      <c r="L1462" s="21">
        <v>0</v>
      </c>
      <c r="M1462" s="17" t="s">
        <v>120</v>
      </c>
      <c r="N1462" s="17" t="s">
        <v>115</v>
      </c>
      <c r="O1462" s="21">
        <v>0.52</v>
      </c>
      <c r="P1462" s="21">
        <v>0</v>
      </c>
    </row>
    <row r="1463" spans="1:16" ht="16.5" x14ac:dyDescent="0.25">
      <c r="A1463" s="2"/>
      <c r="B1463" s="4"/>
      <c r="C1463" s="18"/>
      <c r="E1463" s="20">
        <v>44377</v>
      </c>
      <c r="F1463" s="17" t="s">
        <v>97</v>
      </c>
      <c r="G1463" s="21">
        <v>7.7800000000000011</v>
      </c>
      <c r="H1463" s="21">
        <v>9.9</v>
      </c>
      <c r="I1463" s="25">
        <v>6.4141414141414041E-2</v>
      </c>
      <c r="J1463" s="21">
        <v>0.9900000000000001</v>
      </c>
      <c r="K1463" s="21">
        <v>1.02</v>
      </c>
      <c r="L1463" s="21">
        <v>0</v>
      </c>
      <c r="M1463" s="17" t="s">
        <v>113</v>
      </c>
      <c r="N1463" s="17" t="s">
        <v>115</v>
      </c>
      <c r="O1463" s="21">
        <v>0.49500000000000005</v>
      </c>
      <c r="P1463" s="21">
        <v>0</v>
      </c>
    </row>
    <row r="1464" spans="1:16" ht="16.5" x14ac:dyDescent="0.25">
      <c r="A1464" s="2"/>
      <c r="B1464" s="4"/>
      <c r="C1464" s="18"/>
      <c r="E1464" s="20">
        <v>44377</v>
      </c>
      <c r="F1464" s="17" t="s">
        <v>97</v>
      </c>
      <c r="G1464" s="21">
        <v>7.7800000000000011</v>
      </c>
      <c r="H1464" s="21">
        <v>14.9</v>
      </c>
      <c r="I1464" s="25">
        <v>0.19855234899328852</v>
      </c>
      <c r="J1464" s="21">
        <v>1.4900000000000002</v>
      </c>
      <c r="K1464" s="21">
        <v>1.02</v>
      </c>
      <c r="L1464" s="21">
        <v>1.0430000000000001</v>
      </c>
      <c r="M1464" s="17" t="s">
        <v>122</v>
      </c>
      <c r="N1464" s="17" t="s">
        <v>115</v>
      </c>
      <c r="O1464" s="21">
        <v>0.74500000000000011</v>
      </c>
      <c r="P1464" s="21">
        <v>1.9265700000000001</v>
      </c>
    </row>
    <row r="1465" spans="1:16" ht="16.5" x14ac:dyDescent="0.25">
      <c r="A1465" s="2"/>
      <c r="B1465" s="4"/>
      <c r="C1465" s="18"/>
      <c r="E1465" s="20">
        <v>44377</v>
      </c>
      <c r="F1465" s="17" t="s">
        <v>97</v>
      </c>
      <c r="G1465" s="21">
        <v>7.7800000000000011</v>
      </c>
      <c r="H1465" s="21">
        <v>13.6</v>
      </c>
      <c r="I1465" s="25">
        <v>0.14864117647058808</v>
      </c>
      <c r="J1465" s="21">
        <v>1.36</v>
      </c>
      <c r="K1465" s="21">
        <v>1.02</v>
      </c>
      <c r="L1465" s="21">
        <v>0.95200000000000007</v>
      </c>
      <c r="M1465" s="17" t="s">
        <v>121</v>
      </c>
      <c r="N1465" s="17" t="s">
        <v>115</v>
      </c>
      <c r="O1465" s="21">
        <v>0.68</v>
      </c>
      <c r="P1465" s="21">
        <v>1.7584799999999998</v>
      </c>
    </row>
    <row r="1466" spans="1:16" ht="16.5" x14ac:dyDescent="0.25">
      <c r="A1466" s="2"/>
      <c r="B1466" s="4"/>
      <c r="C1466" s="18"/>
      <c r="E1466" s="20">
        <v>44377</v>
      </c>
      <c r="F1466" s="17" t="s">
        <v>97</v>
      </c>
      <c r="G1466" s="21">
        <v>7.7800000000000011</v>
      </c>
      <c r="H1466" s="21">
        <v>12.5</v>
      </c>
      <c r="I1466" s="25">
        <v>9.8299999999999846E-2</v>
      </c>
      <c r="J1466" s="21">
        <v>1.25</v>
      </c>
      <c r="K1466" s="21">
        <v>1.02</v>
      </c>
      <c r="L1466" s="21">
        <v>0.87500000000000011</v>
      </c>
      <c r="M1466" s="17" t="s">
        <v>120</v>
      </c>
      <c r="N1466" s="17" t="s">
        <v>115</v>
      </c>
      <c r="O1466" s="21">
        <v>0.625</v>
      </c>
      <c r="P1466" s="21">
        <v>1.61625</v>
      </c>
    </row>
    <row r="1467" spans="1:16" ht="16.5" x14ac:dyDescent="0.25">
      <c r="A1467" s="2"/>
      <c r="B1467" s="4"/>
      <c r="C1467" s="18"/>
      <c r="E1467" s="20">
        <v>44377</v>
      </c>
      <c r="F1467" s="17" t="s">
        <v>97</v>
      </c>
      <c r="G1467" s="21">
        <v>7.7800000000000011</v>
      </c>
      <c r="H1467" s="21">
        <v>11.5</v>
      </c>
      <c r="I1467" s="25">
        <v>4.417826086956507E-2</v>
      </c>
      <c r="J1467" s="21">
        <v>1.1500000000000001</v>
      </c>
      <c r="K1467" s="21">
        <v>1.02</v>
      </c>
      <c r="L1467" s="21">
        <v>0.80500000000000005</v>
      </c>
      <c r="M1467" s="17" t="s">
        <v>113</v>
      </c>
      <c r="N1467" s="17" t="s">
        <v>115</v>
      </c>
      <c r="O1467" s="21">
        <v>0.57500000000000007</v>
      </c>
      <c r="P1467" s="21">
        <v>1.48695</v>
      </c>
    </row>
    <row r="1468" spans="1:16" ht="16.5" x14ac:dyDescent="0.25">
      <c r="A1468" s="2"/>
      <c r="B1468" s="4"/>
      <c r="C1468" s="18"/>
      <c r="E1468" s="20">
        <v>44371</v>
      </c>
      <c r="F1468" s="17" t="s">
        <v>102</v>
      </c>
      <c r="G1468" s="21">
        <v>15.172000000000001</v>
      </c>
      <c r="H1468" s="21">
        <v>32.200000000000003</v>
      </c>
      <c r="I1468" s="25">
        <v>0.24951987577639753</v>
      </c>
      <c r="J1468" s="21">
        <v>3.2200000000000006</v>
      </c>
      <c r="K1468" s="21">
        <v>2.0279999999999996</v>
      </c>
      <c r="L1468" s="21">
        <v>2.2540000000000004</v>
      </c>
      <c r="M1468" s="17" t="s">
        <v>122</v>
      </c>
      <c r="N1468" s="17" t="s">
        <v>117</v>
      </c>
      <c r="O1468" s="21">
        <v>1.6100000000000003</v>
      </c>
      <c r="P1468" s="21">
        <v>4.1634600000000006</v>
      </c>
    </row>
    <row r="1469" spans="1:16" ht="16.5" x14ac:dyDescent="0.25">
      <c r="A1469" s="2"/>
      <c r="B1469" s="4"/>
      <c r="C1469" s="18"/>
      <c r="E1469" s="20">
        <v>44371</v>
      </c>
      <c r="F1469" s="17" t="s">
        <v>102</v>
      </c>
      <c r="G1469" s="21">
        <v>15.172000000000001</v>
      </c>
      <c r="H1469" s="21">
        <v>29.1</v>
      </c>
      <c r="I1469" s="25">
        <v>0.19932542955326457</v>
      </c>
      <c r="J1469" s="21">
        <v>2.91</v>
      </c>
      <c r="K1469" s="21">
        <v>2.0279999999999996</v>
      </c>
      <c r="L1469" s="21">
        <v>2.0370000000000004</v>
      </c>
      <c r="M1469" s="17" t="s">
        <v>121</v>
      </c>
      <c r="N1469" s="17" t="s">
        <v>117</v>
      </c>
      <c r="O1469" s="21">
        <v>1.4550000000000001</v>
      </c>
      <c r="P1469" s="21">
        <v>3.7626300000000001</v>
      </c>
    </row>
    <row r="1470" spans="1:16" ht="16.5" x14ac:dyDescent="0.25">
      <c r="A1470" s="2"/>
      <c r="B1470" s="4"/>
      <c r="C1470" s="18"/>
      <c r="E1470" s="20">
        <v>44371</v>
      </c>
      <c r="F1470" s="17" t="s">
        <v>102</v>
      </c>
      <c r="G1470" s="21">
        <v>15.172000000000001</v>
      </c>
      <c r="H1470" s="21">
        <v>26.6</v>
      </c>
      <c r="I1470" s="25">
        <v>0.15032406015037597</v>
      </c>
      <c r="J1470" s="21">
        <v>2.66</v>
      </c>
      <c r="K1470" s="21">
        <v>2.0279999999999996</v>
      </c>
      <c r="L1470" s="21">
        <v>1.8620000000000003</v>
      </c>
      <c r="M1470" s="17" t="s">
        <v>120</v>
      </c>
      <c r="N1470" s="17" t="s">
        <v>117</v>
      </c>
      <c r="O1470" s="21">
        <v>1.33</v>
      </c>
      <c r="P1470" s="21">
        <v>3.4393800000000003</v>
      </c>
    </row>
    <row r="1471" spans="1:16" ht="16.5" x14ac:dyDescent="0.25">
      <c r="A1471" s="2"/>
      <c r="B1471" s="4"/>
      <c r="C1471" s="18"/>
      <c r="E1471" s="20">
        <v>44371</v>
      </c>
      <c r="F1471" s="17" t="s">
        <v>102</v>
      </c>
      <c r="G1471" s="21">
        <v>15.172000000000001</v>
      </c>
      <c r="H1471" s="21">
        <v>24.6</v>
      </c>
      <c r="I1471" s="25">
        <v>0.10395203252032525</v>
      </c>
      <c r="J1471" s="21">
        <v>2.4600000000000004</v>
      </c>
      <c r="K1471" s="21">
        <v>2.0279999999999996</v>
      </c>
      <c r="L1471" s="21">
        <v>1.7220000000000002</v>
      </c>
      <c r="M1471" s="17" t="s">
        <v>113</v>
      </c>
      <c r="N1471" s="17" t="s">
        <v>117</v>
      </c>
      <c r="O1471" s="21">
        <v>1.2300000000000002</v>
      </c>
      <c r="P1471" s="21">
        <v>3.1807799999999999</v>
      </c>
    </row>
    <row r="1472" spans="1:16" ht="16.5" x14ac:dyDescent="0.25">
      <c r="A1472" s="2"/>
      <c r="B1472" s="4"/>
      <c r="C1472" s="18"/>
      <c r="E1472" s="20">
        <v>44371</v>
      </c>
      <c r="F1472" s="17" t="s">
        <v>100</v>
      </c>
      <c r="G1472" s="21">
        <v>15.625</v>
      </c>
      <c r="H1472" s="21">
        <v>33.200000000000003</v>
      </c>
      <c r="I1472" s="25">
        <v>0.25006746987951811</v>
      </c>
      <c r="J1472" s="21">
        <v>1.6600000000000001</v>
      </c>
      <c r="K1472" s="21">
        <v>0.1875</v>
      </c>
      <c r="L1472" s="21">
        <v>3.984</v>
      </c>
      <c r="M1472" s="17" t="s">
        <v>122</v>
      </c>
      <c r="N1472" s="17" t="s">
        <v>117</v>
      </c>
      <c r="O1472" s="21">
        <v>1.6600000000000001</v>
      </c>
      <c r="P1472" s="21">
        <v>5.9527600000000014</v>
      </c>
    </row>
    <row r="1473" spans="1:16" ht="16.5" x14ac:dyDescent="0.25">
      <c r="A1473" s="2"/>
      <c r="B1473" s="4"/>
      <c r="C1473" s="18"/>
      <c r="E1473" s="20">
        <v>44371</v>
      </c>
      <c r="F1473" s="17" t="s">
        <v>100</v>
      </c>
      <c r="G1473" s="21">
        <v>15.625</v>
      </c>
      <c r="H1473" s="21">
        <v>30</v>
      </c>
      <c r="I1473" s="25">
        <v>0.19986666666666661</v>
      </c>
      <c r="J1473" s="21">
        <v>1.5</v>
      </c>
      <c r="K1473" s="21">
        <v>0.1875</v>
      </c>
      <c r="L1473" s="21">
        <v>3.5999999999999996</v>
      </c>
      <c r="M1473" s="17" t="s">
        <v>121</v>
      </c>
      <c r="N1473" s="17" t="s">
        <v>117</v>
      </c>
      <c r="O1473" s="21">
        <v>1.5</v>
      </c>
      <c r="P1473" s="21">
        <v>5.3790000000000004</v>
      </c>
    </row>
    <row r="1474" spans="1:16" ht="16.5" x14ac:dyDescent="0.25">
      <c r="A1474" s="2"/>
      <c r="B1474" s="4"/>
      <c r="C1474" s="18"/>
      <c r="E1474" s="20">
        <v>44371</v>
      </c>
      <c r="F1474" s="17" t="s">
        <v>100</v>
      </c>
      <c r="G1474" s="21">
        <v>15.625</v>
      </c>
      <c r="H1474" s="21">
        <v>27.4</v>
      </c>
      <c r="I1474" s="25">
        <v>0.1504445255474452</v>
      </c>
      <c r="J1474" s="21">
        <v>1.37</v>
      </c>
      <c r="K1474" s="21">
        <v>0.1875</v>
      </c>
      <c r="L1474" s="21">
        <v>3.2879999999999998</v>
      </c>
      <c r="M1474" s="17" t="s">
        <v>120</v>
      </c>
      <c r="N1474" s="17" t="s">
        <v>117</v>
      </c>
      <c r="O1474" s="21">
        <v>1.37</v>
      </c>
      <c r="P1474" s="21">
        <v>4.91282</v>
      </c>
    </row>
    <row r="1475" spans="1:16" ht="16.5" x14ac:dyDescent="0.25">
      <c r="A1475" s="2"/>
      <c r="B1475" s="4"/>
      <c r="C1475" s="18"/>
      <c r="E1475" s="20">
        <v>44371</v>
      </c>
      <c r="F1475" s="17" t="s">
        <v>100</v>
      </c>
      <c r="G1475" s="21">
        <v>15.625</v>
      </c>
      <c r="H1475" s="21">
        <v>25.2</v>
      </c>
      <c r="I1475" s="25">
        <v>0.10066031746031741</v>
      </c>
      <c r="J1475" s="21">
        <v>1.26</v>
      </c>
      <c r="K1475" s="21">
        <v>0.1875</v>
      </c>
      <c r="L1475" s="21">
        <v>3.024</v>
      </c>
      <c r="M1475" s="17" t="s">
        <v>113</v>
      </c>
      <c r="N1475" s="17" t="s">
        <v>117</v>
      </c>
      <c r="O1475" s="21">
        <v>1.26</v>
      </c>
      <c r="P1475" s="21">
        <v>4.5183600000000004</v>
      </c>
    </row>
    <row r="1476" spans="1:16" ht="16.5" x14ac:dyDescent="0.25">
      <c r="A1476" s="2"/>
      <c r="B1476" s="4"/>
      <c r="C1476" s="18"/>
      <c r="E1476" s="20">
        <v>44371</v>
      </c>
      <c r="F1476" s="17" t="s">
        <v>100</v>
      </c>
      <c r="G1476" s="21">
        <v>15.625</v>
      </c>
      <c r="H1476" s="21">
        <v>20.8</v>
      </c>
      <c r="I1476" s="25">
        <v>9.8798076923076947E-2</v>
      </c>
      <c r="J1476" s="21">
        <v>2.08</v>
      </c>
      <c r="K1476" s="21">
        <v>0.1875</v>
      </c>
      <c r="L1476" s="21">
        <v>0</v>
      </c>
      <c r="M1476" s="17" t="s">
        <v>113</v>
      </c>
      <c r="N1476" s="17" t="s">
        <v>115</v>
      </c>
      <c r="O1476" s="21">
        <v>1.04</v>
      </c>
      <c r="P1476" s="21">
        <v>0</v>
      </c>
    </row>
    <row r="1477" spans="1:16" ht="16.5" x14ac:dyDescent="0.25">
      <c r="A1477" s="2"/>
      <c r="B1477" s="4"/>
      <c r="C1477" s="18"/>
      <c r="E1477" s="20">
        <v>44335</v>
      </c>
      <c r="F1477" s="17" t="s">
        <v>103</v>
      </c>
      <c r="G1477" s="21">
        <v>7.6920000000000011</v>
      </c>
      <c r="H1477" s="21">
        <v>16.3</v>
      </c>
      <c r="I1477" s="25">
        <v>0.24879815950920239</v>
      </c>
      <c r="J1477" s="21">
        <v>1.6300000000000001</v>
      </c>
      <c r="K1477" s="21">
        <v>1.008</v>
      </c>
      <c r="L1477" s="21">
        <v>1.1410000000000002</v>
      </c>
      <c r="M1477" s="17" t="s">
        <v>122</v>
      </c>
      <c r="N1477" s="17" t="s">
        <v>117</v>
      </c>
      <c r="O1477" s="21">
        <v>0.81500000000000006</v>
      </c>
      <c r="P1477" s="21">
        <v>2.1075900000000001</v>
      </c>
    </row>
    <row r="1478" spans="1:16" ht="16.5" x14ac:dyDescent="0.25">
      <c r="A1478" s="2"/>
      <c r="B1478" s="4"/>
      <c r="C1478" s="18"/>
      <c r="E1478" s="20">
        <v>44335</v>
      </c>
      <c r="F1478" s="17" t="s">
        <v>103</v>
      </c>
      <c r="G1478" s="21">
        <v>7.6920000000000011</v>
      </c>
      <c r="H1478" s="21">
        <v>14.8</v>
      </c>
      <c r="I1478" s="25">
        <v>0.20097027027027015</v>
      </c>
      <c r="J1478" s="21">
        <v>1.4800000000000002</v>
      </c>
      <c r="K1478" s="21">
        <v>1.008</v>
      </c>
      <c r="L1478" s="21">
        <v>1.0360000000000003</v>
      </c>
      <c r="M1478" s="17" t="s">
        <v>121</v>
      </c>
      <c r="N1478" s="17" t="s">
        <v>117</v>
      </c>
      <c r="O1478" s="21">
        <v>0.7400000000000001</v>
      </c>
      <c r="P1478" s="21">
        <v>1.91364</v>
      </c>
    </row>
    <row r="1479" spans="1:16" ht="16.5" x14ac:dyDescent="0.25">
      <c r="A1479" s="2"/>
      <c r="B1479" s="4"/>
      <c r="C1479" s="18"/>
      <c r="E1479" s="20">
        <v>44335</v>
      </c>
      <c r="F1479" s="17" t="s">
        <v>103</v>
      </c>
      <c r="G1479" s="21">
        <v>7.6920000000000011</v>
      </c>
      <c r="H1479" s="21">
        <v>13.5</v>
      </c>
      <c r="I1479" s="25">
        <v>0.15092222222222218</v>
      </c>
      <c r="J1479" s="21">
        <v>1.35</v>
      </c>
      <c r="K1479" s="21">
        <v>1.008</v>
      </c>
      <c r="L1479" s="21">
        <v>0.94500000000000006</v>
      </c>
      <c r="M1479" s="17" t="s">
        <v>120</v>
      </c>
      <c r="N1479" s="17" t="s">
        <v>117</v>
      </c>
      <c r="O1479" s="21">
        <v>0.67500000000000004</v>
      </c>
      <c r="P1479" s="21">
        <v>1.7455499999999999</v>
      </c>
    </row>
    <row r="1480" spans="1:16" ht="16.5" x14ac:dyDescent="0.25">
      <c r="A1480" s="2"/>
      <c r="B1480" s="4"/>
      <c r="C1480" s="18"/>
      <c r="E1480" s="20">
        <v>44335</v>
      </c>
      <c r="F1480" s="17" t="s">
        <v>103</v>
      </c>
      <c r="G1480" s="21">
        <v>7.6920000000000011</v>
      </c>
      <c r="H1480" s="21">
        <v>12.4</v>
      </c>
      <c r="I1480" s="25">
        <v>0.10037741935483861</v>
      </c>
      <c r="J1480" s="21">
        <v>1.2400000000000002</v>
      </c>
      <c r="K1480" s="21">
        <v>1.008</v>
      </c>
      <c r="L1480" s="21">
        <v>0.8680000000000001</v>
      </c>
      <c r="M1480" s="17" t="s">
        <v>113</v>
      </c>
      <c r="N1480" s="17" t="s">
        <v>117</v>
      </c>
      <c r="O1480" s="21">
        <v>0.62000000000000011</v>
      </c>
      <c r="P1480" s="21">
        <v>1.6033200000000001</v>
      </c>
    </row>
    <row r="1481" spans="1:16" ht="16.5" x14ac:dyDescent="0.25">
      <c r="A1481" s="2"/>
      <c r="B1481" s="4"/>
      <c r="C1481" s="18"/>
      <c r="E1481" s="20">
        <v>44335</v>
      </c>
      <c r="F1481" s="17" t="s">
        <v>102</v>
      </c>
      <c r="G1481" s="21">
        <v>13.192</v>
      </c>
      <c r="H1481" s="21">
        <v>28</v>
      </c>
      <c r="I1481" s="25">
        <v>0.24955714285714281</v>
      </c>
      <c r="J1481" s="21">
        <v>2.8000000000000003</v>
      </c>
      <c r="K1481" s="21">
        <v>1.758</v>
      </c>
      <c r="L1481" s="21">
        <v>1.9600000000000002</v>
      </c>
      <c r="M1481" s="17" t="s">
        <v>122</v>
      </c>
      <c r="N1481" s="17" t="s">
        <v>117</v>
      </c>
      <c r="O1481" s="21">
        <v>1.4000000000000001</v>
      </c>
      <c r="P1481" s="21">
        <v>3.6204000000000001</v>
      </c>
    </row>
    <row r="1482" spans="1:16" ht="16.5" x14ac:dyDescent="0.25">
      <c r="A1482" s="2"/>
      <c r="B1482" s="4"/>
      <c r="C1482" s="18"/>
      <c r="E1482" s="20">
        <v>44335</v>
      </c>
      <c r="F1482" s="17" t="s">
        <v>102</v>
      </c>
      <c r="G1482" s="21">
        <v>13.192</v>
      </c>
      <c r="H1482" s="21">
        <v>25.3</v>
      </c>
      <c r="I1482" s="25">
        <v>0.1992770750988142</v>
      </c>
      <c r="J1482" s="21">
        <v>2.5300000000000002</v>
      </c>
      <c r="K1482" s="21">
        <v>1.758</v>
      </c>
      <c r="L1482" s="21">
        <v>1.7710000000000001</v>
      </c>
      <c r="M1482" s="17" t="s">
        <v>121</v>
      </c>
      <c r="N1482" s="17" t="s">
        <v>117</v>
      </c>
      <c r="O1482" s="21">
        <v>1.2650000000000001</v>
      </c>
      <c r="P1482" s="21">
        <v>3.27129</v>
      </c>
    </row>
    <row r="1483" spans="1:16" ht="16.5" x14ac:dyDescent="0.25">
      <c r="A1483" s="2"/>
      <c r="B1483" s="4"/>
      <c r="C1483" s="18"/>
      <c r="E1483" s="20">
        <v>44335</v>
      </c>
      <c r="F1483" s="17" t="s">
        <v>102</v>
      </c>
      <c r="G1483" s="21">
        <v>13.192</v>
      </c>
      <c r="H1483" s="21">
        <v>23.1</v>
      </c>
      <c r="I1483" s="25">
        <v>0.1496177489177489</v>
      </c>
      <c r="J1483" s="21">
        <v>2.31</v>
      </c>
      <c r="K1483" s="21">
        <v>1.758</v>
      </c>
      <c r="L1483" s="21">
        <v>1.6170000000000002</v>
      </c>
      <c r="M1483" s="17" t="s">
        <v>120</v>
      </c>
      <c r="N1483" s="17" t="s">
        <v>117</v>
      </c>
      <c r="O1483" s="21">
        <v>1.155</v>
      </c>
      <c r="P1483" s="21">
        <v>2.9868300000000003</v>
      </c>
    </row>
    <row r="1484" spans="1:16" ht="16.5" x14ac:dyDescent="0.25">
      <c r="A1484" s="2"/>
      <c r="B1484" s="4"/>
      <c r="C1484" s="18"/>
      <c r="E1484" s="20">
        <v>44335</v>
      </c>
      <c r="F1484" s="17" t="s">
        <v>102</v>
      </c>
      <c r="G1484" s="21">
        <v>13.192</v>
      </c>
      <c r="H1484" s="21">
        <v>21.3</v>
      </c>
      <c r="I1484" s="25">
        <v>0.10135727699530508</v>
      </c>
      <c r="J1484" s="21">
        <v>2.1300000000000003</v>
      </c>
      <c r="K1484" s="21">
        <v>1.758</v>
      </c>
      <c r="L1484" s="21">
        <v>1.4910000000000001</v>
      </c>
      <c r="M1484" s="17" t="s">
        <v>113</v>
      </c>
      <c r="N1484" s="17" t="s">
        <v>117</v>
      </c>
      <c r="O1484" s="21">
        <v>1.0650000000000002</v>
      </c>
      <c r="P1484" s="21">
        <v>2.7540900000000001</v>
      </c>
    </row>
    <row r="1485" spans="1:16" ht="16.5" x14ac:dyDescent="0.25">
      <c r="A1485" s="2"/>
      <c r="B1485" s="4"/>
      <c r="C1485" s="18"/>
      <c r="E1485" s="20">
        <v>44335</v>
      </c>
      <c r="F1485" s="17" t="s">
        <v>101</v>
      </c>
      <c r="G1485" s="21">
        <v>8.4400000000000013</v>
      </c>
      <c r="H1485" s="21">
        <v>17.899999999999999</v>
      </c>
      <c r="I1485" s="25">
        <v>0.24919162011173174</v>
      </c>
      <c r="J1485" s="21">
        <v>1.79</v>
      </c>
      <c r="K1485" s="21">
        <v>1.1099999999999999</v>
      </c>
      <c r="L1485" s="21">
        <v>1.2530000000000001</v>
      </c>
      <c r="M1485" s="17" t="s">
        <v>122</v>
      </c>
      <c r="N1485" s="17" t="s">
        <v>117</v>
      </c>
      <c r="O1485" s="21">
        <v>0.89500000000000002</v>
      </c>
      <c r="P1485" s="21">
        <v>2.3144699999999996</v>
      </c>
    </row>
    <row r="1486" spans="1:16" ht="16.5" x14ac:dyDescent="0.25">
      <c r="A1486" s="2"/>
      <c r="B1486" s="4"/>
      <c r="C1486" s="18"/>
      <c r="E1486" s="20">
        <v>44335</v>
      </c>
      <c r="F1486" s="17" t="s">
        <v>101</v>
      </c>
      <c r="G1486" s="21">
        <v>8.4400000000000013</v>
      </c>
      <c r="H1486" s="21">
        <v>16.2</v>
      </c>
      <c r="I1486" s="25">
        <v>0.19971234567901225</v>
      </c>
      <c r="J1486" s="21">
        <v>1.62</v>
      </c>
      <c r="K1486" s="21">
        <v>1.1099999999999999</v>
      </c>
      <c r="L1486" s="21">
        <v>1.1340000000000001</v>
      </c>
      <c r="M1486" s="17" t="s">
        <v>121</v>
      </c>
      <c r="N1486" s="17" t="s">
        <v>117</v>
      </c>
      <c r="O1486" s="21">
        <v>0.81</v>
      </c>
      <c r="P1486" s="21">
        <v>2.0946599999999997</v>
      </c>
    </row>
    <row r="1487" spans="1:16" ht="16.5" x14ac:dyDescent="0.25">
      <c r="A1487" s="2"/>
      <c r="B1487" s="4"/>
      <c r="C1487" s="18"/>
      <c r="E1487" s="20">
        <v>44335</v>
      </c>
      <c r="F1487" s="17" t="s">
        <v>101</v>
      </c>
      <c r="G1487" s="21">
        <v>8.4400000000000013</v>
      </c>
      <c r="H1487" s="21">
        <v>14.8</v>
      </c>
      <c r="I1487" s="25">
        <v>0.15042972972972957</v>
      </c>
      <c r="J1487" s="21">
        <v>1.4800000000000002</v>
      </c>
      <c r="K1487" s="21">
        <v>1.1099999999999999</v>
      </c>
      <c r="L1487" s="21">
        <v>1.0360000000000003</v>
      </c>
      <c r="M1487" s="17" t="s">
        <v>120</v>
      </c>
      <c r="N1487" s="17" t="s">
        <v>117</v>
      </c>
      <c r="O1487" s="21">
        <v>0.7400000000000001</v>
      </c>
      <c r="P1487" s="21">
        <v>1.91364</v>
      </c>
    </row>
    <row r="1488" spans="1:16" ht="16.5" x14ac:dyDescent="0.25">
      <c r="A1488" s="2"/>
      <c r="B1488" s="4"/>
      <c r="C1488" s="18"/>
      <c r="E1488" s="20">
        <v>44335</v>
      </c>
      <c r="F1488" s="17" t="s">
        <v>101</v>
      </c>
      <c r="G1488" s="21">
        <v>8.4400000000000013</v>
      </c>
      <c r="H1488" s="21">
        <v>13.6</v>
      </c>
      <c r="I1488" s="25">
        <v>0.10011176470588218</v>
      </c>
      <c r="J1488" s="21">
        <v>1.36</v>
      </c>
      <c r="K1488" s="21">
        <v>1.1099999999999999</v>
      </c>
      <c r="L1488" s="21">
        <v>0.95200000000000007</v>
      </c>
      <c r="M1488" s="17" t="s">
        <v>113</v>
      </c>
      <c r="N1488" s="17" t="s">
        <v>117</v>
      </c>
      <c r="O1488" s="21">
        <v>0.68</v>
      </c>
      <c r="P1488" s="21">
        <v>1.7584799999999998</v>
      </c>
    </row>
    <row r="1489" spans="1:16" ht="16.5" x14ac:dyDescent="0.25">
      <c r="A1489" s="2"/>
      <c r="B1489" s="4"/>
      <c r="C1489" s="18"/>
      <c r="E1489" s="20">
        <v>44335</v>
      </c>
      <c r="F1489" s="17" t="s">
        <v>101</v>
      </c>
      <c r="G1489" s="21">
        <v>8.4400000000000013</v>
      </c>
      <c r="H1489" s="21">
        <v>14.8</v>
      </c>
      <c r="I1489" s="25">
        <v>0.15042972972972957</v>
      </c>
      <c r="J1489" s="21">
        <v>1.4800000000000002</v>
      </c>
      <c r="K1489" s="21">
        <v>1.1099999999999999</v>
      </c>
      <c r="L1489" s="21">
        <v>1.0360000000000003</v>
      </c>
      <c r="M1489" s="17" t="s">
        <v>120</v>
      </c>
      <c r="N1489" s="17" t="s">
        <v>117</v>
      </c>
      <c r="O1489" s="21">
        <v>0.7400000000000001</v>
      </c>
      <c r="P1489" s="21">
        <v>1.91364</v>
      </c>
    </row>
    <row r="1490" spans="1:16" ht="16.5" x14ac:dyDescent="0.25">
      <c r="A1490" s="2"/>
      <c r="B1490" s="4"/>
      <c r="C1490" s="18"/>
      <c r="E1490" s="20">
        <v>44335</v>
      </c>
      <c r="F1490" s="17" t="s">
        <v>101</v>
      </c>
      <c r="G1490" s="21">
        <v>8.4400000000000013</v>
      </c>
      <c r="H1490" s="21">
        <v>13.6</v>
      </c>
      <c r="I1490" s="25">
        <v>0.10011176470588218</v>
      </c>
      <c r="J1490" s="21">
        <v>1.36</v>
      </c>
      <c r="K1490" s="21">
        <v>1.1099999999999999</v>
      </c>
      <c r="L1490" s="21">
        <v>0.95200000000000007</v>
      </c>
      <c r="M1490" s="17" t="s">
        <v>113</v>
      </c>
      <c r="N1490" s="17" t="s">
        <v>117</v>
      </c>
      <c r="O1490" s="21">
        <v>0.68</v>
      </c>
      <c r="P1490" s="21">
        <v>1.7584799999999998</v>
      </c>
    </row>
    <row r="1491" spans="1:16" ht="16.5" x14ac:dyDescent="0.25">
      <c r="A1491" s="2"/>
      <c r="B1491" s="4"/>
      <c r="C1491" s="18"/>
      <c r="E1491" s="20">
        <v>44322</v>
      </c>
      <c r="F1491" s="17" t="s">
        <v>86</v>
      </c>
      <c r="G1491" s="21">
        <v>6.9966039891304348</v>
      </c>
      <c r="H1491" s="21">
        <v>9.1</v>
      </c>
      <c r="I1491" s="25">
        <v>8.1142418776875253E-2</v>
      </c>
      <c r="J1491" s="21">
        <v>0.91</v>
      </c>
      <c r="K1491" s="21">
        <v>0.6820729166666667</v>
      </c>
      <c r="L1491" s="21">
        <v>0</v>
      </c>
      <c r="M1491" s="17" t="s">
        <v>121</v>
      </c>
      <c r="N1491" s="17" t="s">
        <v>115</v>
      </c>
      <c r="O1491" s="21">
        <v>0.45500000000000002</v>
      </c>
      <c r="P1491" s="21">
        <v>0</v>
      </c>
    </row>
    <row r="1492" spans="1:16" ht="16.5" x14ac:dyDescent="0.25">
      <c r="A1492" s="2"/>
      <c r="B1492" s="4"/>
      <c r="C1492" s="18"/>
      <c r="E1492" s="20">
        <v>44322</v>
      </c>
      <c r="F1492" s="17" t="s">
        <v>86</v>
      </c>
      <c r="G1492" s="21">
        <v>6.9966039891304348</v>
      </c>
      <c r="H1492" s="21">
        <v>9</v>
      </c>
      <c r="I1492" s="25">
        <v>7.2599556763285028E-2</v>
      </c>
      <c r="J1492" s="21">
        <v>0.9</v>
      </c>
      <c r="K1492" s="21">
        <v>0.6820729166666667</v>
      </c>
      <c r="L1492" s="21">
        <v>0</v>
      </c>
      <c r="M1492" s="17" t="s">
        <v>121</v>
      </c>
      <c r="N1492" s="17" t="s">
        <v>115</v>
      </c>
      <c r="O1492" s="21">
        <v>0.45</v>
      </c>
      <c r="P1492" s="21">
        <v>0</v>
      </c>
    </row>
    <row r="1493" spans="1:16" ht="16.5" x14ac:dyDescent="0.25">
      <c r="A1493" s="2"/>
      <c r="B1493" s="4"/>
      <c r="C1493" s="18"/>
      <c r="E1493" s="20">
        <v>44322</v>
      </c>
      <c r="F1493" s="17" t="s">
        <v>86</v>
      </c>
      <c r="G1493" s="21">
        <v>6.9966039891304348</v>
      </c>
      <c r="H1493" s="21">
        <v>8.9</v>
      </c>
      <c r="I1493" s="25">
        <v>6.3864720322423074E-2</v>
      </c>
      <c r="J1493" s="21">
        <v>0.89000000000000012</v>
      </c>
      <c r="K1493" s="21">
        <v>0.6820729166666667</v>
      </c>
      <c r="L1493" s="21">
        <v>0</v>
      </c>
      <c r="M1493" s="17" t="s">
        <v>120</v>
      </c>
      <c r="N1493" s="17" t="s">
        <v>115</v>
      </c>
      <c r="O1493" s="21">
        <v>0.44500000000000006</v>
      </c>
      <c r="P1493" s="21">
        <v>0</v>
      </c>
    </row>
    <row r="1494" spans="1:16" ht="16.5" x14ac:dyDescent="0.25">
      <c r="A1494" s="2"/>
      <c r="B1494" s="4"/>
      <c r="C1494" s="18"/>
      <c r="E1494" s="20">
        <v>44322</v>
      </c>
      <c r="F1494" s="17" t="s">
        <v>86</v>
      </c>
      <c r="G1494" s="21">
        <v>6.9966039891304348</v>
      </c>
      <c r="H1494" s="21">
        <v>8.6999999999999993</v>
      </c>
      <c r="I1494" s="25">
        <v>4.5792644927536146E-2</v>
      </c>
      <c r="J1494" s="21">
        <v>0.87</v>
      </c>
      <c r="K1494" s="21">
        <v>0.6820729166666667</v>
      </c>
      <c r="L1494" s="21">
        <v>0</v>
      </c>
      <c r="M1494" s="17" t="s">
        <v>113</v>
      </c>
      <c r="N1494" s="17" t="s">
        <v>115</v>
      </c>
      <c r="O1494" s="21">
        <v>0.435</v>
      </c>
      <c r="P1494" s="21">
        <v>0</v>
      </c>
    </row>
    <row r="1495" spans="1:16" ht="16.5" x14ac:dyDescent="0.25">
      <c r="A1495" s="2"/>
      <c r="B1495" s="4"/>
      <c r="C1495" s="18"/>
      <c r="E1495" s="20">
        <v>44322</v>
      </c>
      <c r="F1495" s="17" t="s">
        <v>86</v>
      </c>
      <c r="G1495" s="21">
        <v>6.9966039891304348</v>
      </c>
      <c r="H1495" s="21">
        <v>10.9</v>
      </c>
      <c r="I1495" s="25">
        <v>7.8809725767849961E-2</v>
      </c>
      <c r="J1495" s="21">
        <v>1.0900000000000001</v>
      </c>
      <c r="K1495" s="21">
        <v>0.6820729166666667</v>
      </c>
      <c r="L1495" s="21">
        <v>0.76300000000000012</v>
      </c>
      <c r="M1495" s="17" t="s">
        <v>122</v>
      </c>
      <c r="N1495" s="17" t="s">
        <v>117</v>
      </c>
      <c r="O1495" s="21">
        <v>0.54500000000000004</v>
      </c>
      <c r="P1495" s="21">
        <v>1.40937</v>
      </c>
    </row>
    <row r="1496" spans="1:16" ht="16.5" x14ac:dyDescent="0.25">
      <c r="A1496" s="2"/>
      <c r="B1496" s="4"/>
      <c r="C1496" s="18"/>
      <c r="E1496" s="20">
        <v>44322</v>
      </c>
      <c r="F1496" s="17" t="s">
        <v>86</v>
      </c>
      <c r="G1496" s="21">
        <v>6.9966039891304348</v>
      </c>
      <c r="H1496" s="21">
        <v>10.8</v>
      </c>
      <c r="I1496" s="25">
        <v>7.2866297302737554E-2</v>
      </c>
      <c r="J1496" s="21">
        <v>1.08</v>
      </c>
      <c r="K1496" s="21">
        <v>0.6820729166666667</v>
      </c>
      <c r="L1496" s="21">
        <v>0.75600000000000012</v>
      </c>
      <c r="M1496" s="17" t="s">
        <v>121</v>
      </c>
      <c r="N1496" s="17" t="s">
        <v>117</v>
      </c>
      <c r="O1496" s="21">
        <v>0.54</v>
      </c>
      <c r="P1496" s="21">
        <v>1.3964400000000001</v>
      </c>
    </row>
    <row r="1497" spans="1:16" ht="16.5" x14ac:dyDescent="0.25">
      <c r="A1497" s="2"/>
      <c r="B1497" s="4"/>
      <c r="C1497" s="18"/>
      <c r="E1497" s="20">
        <v>44322</v>
      </c>
      <c r="F1497" s="17" t="s">
        <v>86</v>
      </c>
      <c r="G1497" s="21">
        <v>6.9966039891304348</v>
      </c>
      <c r="H1497" s="21">
        <v>10.6</v>
      </c>
      <c r="I1497" s="25">
        <v>6.0643019893355132E-2</v>
      </c>
      <c r="J1497" s="21">
        <v>1.06</v>
      </c>
      <c r="K1497" s="21">
        <v>0.6820729166666667</v>
      </c>
      <c r="L1497" s="21">
        <v>0.74199999999999999</v>
      </c>
      <c r="M1497" s="17" t="s">
        <v>120</v>
      </c>
      <c r="N1497" s="17" t="s">
        <v>117</v>
      </c>
      <c r="O1497" s="21">
        <v>0.53</v>
      </c>
      <c r="P1497" s="21">
        <v>1.3705799999999999</v>
      </c>
    </row>
    <row r="1498" spans="1:16" ht="16.5" x14ac:dyDescent="0.25">
      <c r="A1498" s="2"/>
      <c r="B1498" s="4"/>
      <c r="C1498" s="18"/>
      <c r="E1498" s="20">
        <v>44322</v>
      </c>
      <c r="F1498" s="17" t="s">
        <v>86</v>
      </c>
      <c r="G1498" s="21">
        <v>6.9966039891304348</v>
      </c>
      <c r="H1498" s="21">
        <v>10.4</v>
      </c>
      <c r="I1498" s="25">
        <v>4.7949616429765855E-2</v>
      </c>
      <c r="J1498" s="21">
        <v>1.04</v>
      </c>
      <c r="K1498" s="21">
        <v>0.6820729166666667</v>
      </c>
      <c r="L1498" s="21">
        <v>0.72800000000000009</v>
      </c>
      <c r="M1498" s="17" t="s">
        <v>113</v>
      </c>
      <c r="N1498" s="17" t="s">
        <v>117</v>
      </c>
      <c r="O1498" s="21">
        <v>0.52</v>
      </c>
      <c r="P1498" s="21">
        <v>1.3447200000000001</v>
      </c>
    </row>
    <row r="1499" spans="1:16" ht="16.5" x14ac:dyDescent="0.25">
      <c r="A1499" s="2"/>
      <c r="B1499" s="4"/>
      <c r="C1499" s="18"/>
      <c r="E1499" s="20">
        <v>44322</v>
      </c>
      <c r="F1499" s="17" t="s">
        <v>86</v>
      </c>
      <c r="G1499" s="21">
        <v>6.9966039891304348</v>
      </c>
      <c r="H1499" s="21">
        <v>10.9</v>
      </c>
      <c r="I1499" s="25">
        <v>7.8809725767849961E-2</v>
      </c>
      <c r="J1499" s="21">
        <v>1.0900000000000001</v>
      </c>
      <c r="K1499" s="21">
        <v>0.6820729166666667</v>
      </c>
      <c r="L1499" s="21">
        <v>0.76300000000000012</v>
      </c>
      <c r="M1499" s="17" t="s">
        <v>121</v>
      </c>
      <c r="N1499" s="17" t="s">
        <v>117</v>
      </c>
      <c r="O1499" s="21">
        <v>0.54500000000000004</v>
      </c>
      <c r="P1499" s="21">
        <v>1.40937</v>
      </c>
    </row>
    <row r="1500" spans="1:16" ht="16.5" x14ac:dyDescent="0.25">
      <c r="A1500" s="2"/>
      <c r="B1500" s="4"/>
      <c r="C1500" s="18"/>
      <c r="E1500" s="20">
        <v>44322</v>
      </c>
      <c r="F1500" s="17" t="s">
        <v>86</v>
      </c>
      <c r="G1500" s="21">
        <v>6.9966039891304348</v>
      </c>
      <c r="H1500" s="21">
        <v>10.8</v>
      </c>
      <c r="I1500" s="25">
        <v>7.2866297302737554E-2</v>
      </c>
      <c r="J1500" s="21">
        <v>1.08</v>
      </c>
      <c r="K1500" s="21">
        <v>0.6820729166666667</v>
      </c>
      <c r="L1500" s="21">
        <v>0.75600000000000012</v>
      </c>
      <c r="M1500" s="17" t="s">
        <v>121</v>
      </c>
      <c r="N1500" s="17" t="s">
        <v>117</v>
      </c>
      <c r="O1500" s="21">
        <v>0.54</v>
      </c>
      <c r="P1500" s="21">
        <v>1.3964400000000001</v>
      </c>
    </row>
    <row r="1501" spans="1:16" ht="16.5" x14ac:dyDescent="0.25">
      <c r="A1501" s="2"/>
      <c r="B1501" s="4"/>
      <c r="C1501" s="18"/>
      <c r="E1501" s="20">
        <v>44322</v>
      </c>
      <c r="F1501" s="17" t="s">
        <v>86</v>
      </c>
      <c r="G1501" s="21">
        <v>6.9966039891304348</v>
      </c>
      <c r="H1501" s="21">
        <v>10.6</v>
      </c>
      <c r="I1501" s="25">
        <v>6.0643019893355132E-2</v>
      </c>
      <c r="J1501" s="21">
        <v>1.06</v>
      </c>
      <c r="K1501" s="21">
        <v>0.6820729166666667</v>
      </c>
      <c r="L1501" s="21">
        <v>0.74199999999999999</v>
      </c>
      <c r="M1501" s="17" t="s">
        <v>120</v>
      </c>
      <c r="N1501" s="17" t="s">
        <v>117</v>
      </c>
      <c r="O1501" s="21">
        <v>0.53</v>
      </c>
      <c r="P1501" s="21">
        <v>1.3705799999999999</v>
      </c>
    </row>
    <row r="1502" spans="1:16" ht="16.5" x14ac:dyDescent="0.25">
      <c r="A1502" s="2"/>
      <c r="B1502" s="4"/>
      <c r="C1502" s="18"/>
      <c r="E1502" s="20">
        <v>44322</v>
      </c>
      <c r="F1502" s="17" t="s">
        <v>86</v>
      </c>
      <c r="G1502" s="21">
        <v>6.9966039891304348</v>
      </c>
      <c r="H1502" s="21">
        <v>10.4</v>
      </c>
      <c r="I1502" s="25">
        <v>4.7949616429765855E-2</v>
      </c>
      <c r="J1502" s="21">
        <v>1.04</v>
      </c>
      <c r="K1502" s="21">
        <v>0.6820729166666667</v>
      </c>
      <c r="L1502" s="21">
        <v>0.72800000000000009</v>
      </c>
      <c r="M1502" s="17" t="s">
        <v>113</v>
      </c>
      <c r="N1502" s="17" t="s">
        <v>117</v>
      </c>
      <c r="O1502" s="21">
        <v>0.52</v>
      </c>
      <c r="P1502" s="21">
        <v>1.3447200000000001</v>
      </c>
    </row>
    <row r="1503" spans="1:16" ht="16.5" x14ac:dyDescent="0.25">
      <c r="A1503" s="2"/>
      <c r="B1503" s="4"/>
      <c r="C1503" s="18"/>
      <c r="E1503" s="20">
        <v>44279</v>
      </c>
      <c r="F1503" s="17" t="s">
        <v>86</v>
      </c>
      <c r="G1503" s="21">
        <v>6.4301914891304346</v>
      </c>
      <c r="H1503" s="21">
        <v>9.1999999999999993</v>
      </c>
      <c r="I1503" s="25">
        <v>0.30106614248582225</v>
      </c>
      <c r="J1503" s="21">
        <v>0</v>
      </c>
      <c r="K1503" s="21">
        <v>0.61036041666666674</v>
      </c>
      <c r="L1503" s="21">
        <v>0</v>
      </c>
      <c r="M1503" s="17" t="s">
        <v>122</v>
      </c>
      <c r="N1503" s="17" t="s">
        <v>115</v>
      </c>
      <c r="O1503" s="21">
        <v>0</v>
      </c>
      <c r="P1503" s="21">
        <v>0</v>
      </c>
    </row>
    <row r="1504" spans="1:16" ht="16.5" x14ac:dyDescent="0.25">
      <c r="A1504" s="2"/>
      <c r="B1504" s="4"/>
      <c r="C1504" s="18"/>
      <c r="E1504" s="20">
        <v>44279</v>
      </c>
      <c r="F1504" s="17" t="s">
        <v>87</v>
      </c>
      <c r="G1504" s="21">
        <v>3.4473133641304354</v>
      </c>
      <c r="H1504" s="21">
        <v>6.4</v>
      </c>
      <c r="I1504" s="25">
        <v>0.1820572868546195</v>
      </c>
      <c r="J1504" s="21">
        <v>0.64000000000000012</v>
      </c>
      <c r="K1504" s="21">
        <v>0.28818645833333334</v>
      </c>
      <c r="L1504" s="21">
        <v>0.44800000000000006</v>
      </c>
      <c r="M1504" s="17" t="s">
        <v>122</v>
      </c>
      <c r="N1504" s="17" t="s">
        <v>117</v>
      </c>
      <c r="O1504" s="21">
        <v>0.32000000000000006</v>
      </c>
      <c r="P1504" s="21">
        <v>0.82752000000000003</v>
      </c>
    </row>
    <row r="1505" spans="1:16" ht="16.5" x14ac:dyDescent="0.25">
      <c r="A1505" s="2"/>
      <c r="B1505" s="4"/>
      <c r="C1505" s="18"/>
      <c r="E1505" s="20">
        <v>44279</v>
      </c>
      <c r="F1505" s="17" t="s">
        <v>87</v>
      </c>
      <c r="G1505" s="21">
        <v>3.4473133641304354</v>
      </c>
      <c r="H1505" s="21">
        <v>6.2</v>
      </c>
      <c r="I1505" s="25">
        <v>0.164681715462833</v>
      </c>
      <c r="J1505" s="21">
        <v>0.62000000000000011</v>
      </c>
      <c r="K1505" s="21">
        <v>0.28818645833333334</v>
      </c>
      <c r="L1505" s="21">
        <v>0.43400000000000005</v>
      </c>
      <c r="M1505" s="17" t="s">
        <v>121</v>
      </c>
      <c r="N1505" s="17" t="s">
        <v>117</v>
      </c>
      <c r="O1505" s="21">
        <v>0.31000000000000005</v>
      </c>
      <c r="P1505" s="21">
        <v>0.80166000000000004</v>
      </c>
    </row>
    <row r="1506" spans="1:16" ht="16.5" x14ac:dyDescent="0.25">
      <c r="A1506" s="2"/>
      <c r="B1506" s="4"/>
      <c r="C1506" s="18"/>
      <c r="E1506" s="20">
        <v>44279</v>
      </c>
      <c r="F1506" s="17" t="s">
        <v>87</v>
      </c>
      <c r="G1506" s="21">
        <v>3.4473133641304354</v>
      </c>
      <c r="H1506" s="21">
        <v>6</v>
      </c>
      <c r="I1506" s="25">
        <v>0.14614777264492737</v>
      </c>
      <c r="J1506" s="21">
        <v>0.60000000000000009</v>
      </c>
      <c r="K1506" s="21">
        <v>0.28818645833333334</v>
      </c>
      <c r="L1506" s="21">
        <v>0.42000000000000004</v>
      </c>
      <c r="M1506" s="17" t="s">
        <v>121</v>
      </c>
      <c r="N1506" s="17" t="s">
        <v>117</v>
      </c>
      <c r="O1506" s="21">
        <v>0.30000000000000004</v>
      </c>
      <c r="P1506" s="21">
        <v>0.77580000000000005</v>
      </c>
    </row>
    <row r="1507" spans="1:16" ht="16.5" x14ac:dyDescent="0.25">
      <c r="A1507" s="2"/>
      <c r="B1507" s="4"/>
      <c r="C1507" s="18"/>
      <c r="E1507" s="20">
        <v>44279</v>
      </c>
      <c r="F1507" s="17" t="s">
        <v>87</v>
      </c>
      <c r="G1507" s="21">
        <v>3.4473133641304354</v>
      </c>
      <c r="H1507" s="21">
        <v>5.8</v>
      </c>
      <c r="I1507" s="25">
        <v>0.12633562687406291</v>
      </c>
      <c r="J1507" s="21">
        <v>0.57999999999999996</v>
      </c>
      <c r="K1507" s="21">
        <v>0.28818645833333334</v>
      </c>
      <c r="L1507" s="21">
        <v>0.40600000000000003</v>
      </c>
      <c r="M1507" s="17" t="s">
        <v>120</v>
      </c>
      <c r="N1507" s="17" t="s">
        <v>117</v>
      </c>
      <c r="O1507" s="21">
        <v>0.28999999999999998</v>
      </c>
      <c r="P1507" s="21">
        <v>0.74993999999999994</v>
      </c>
    </row>
    <row r="1508" spans="1:16" ht="16.5" x14ac:dyDescent="0.25">
      <c r="A1508" s="2"/>
      <c r="B1508" s="4"/>
      <c r="C1508" s="18"/>
      <c r="E1508" s="20">
        <v>44279</v>
      </c>
      <c r="F1508" s="17" t="s">
        <v>87</v>
      </c>
      <c r="G1508" s="21">
        <v>3.4473133641304354</v>
      </c>
      <c r="H1508" s="21">
        <v>5.6</v>
      </c>
      <c r="I1508" s="25">
        <v>0.1051083278338508</v>
      </c>
      <c r="J1508" s="21">
        <v>0.55999999999999994</v>
      </c>
      <c r="K1508" s="21">
        <v>0.28818645833333334</v>
      </c>
      <c r="L1508" s="21">
        <v>0.39200000000000002</v>
      </c>
      <c r="M1508" s="17" t="s">
        <v>113</v>
      </c>
      <c r="N1508" s="17" t="s">
        <v>117</v>
      </c>
      <c r="O1508" s="21">
        <v>0.27999999999999997</v>
      </c>
      <c r="P1508" s="21">
        <v>0.72407999999999995</v>
      </c>
    </row>
    <row r="1509" spans="1:16" ht="16.5" x14ac:dyDescent="0.25">
      <c r="A1509" s="2"/>
      <c r="B1509" s="4"/>
      <c r="C1509" s="18"/>
      <c r="E1509" s="20">
        <v>44279</v>
      </c>
      <c r="F1509" s="17" t="s">
        <v>87</v>
      </c>
      <c r="G1509" s="21">
        <v>3.4473133641304354</v>
      </c>
      <c r="H1509" s="21">
        <v>5.2</v>
      </c>
      <c r="I1509" s="25">
        <v>0.18705512228260859</v>
      </c>
      <c r="J1509" s="21">
        <v>0.52</v>
      </c>
      <c r="K1509" s="21">
        <v>0.28818645833333334</v>
      </c>
      <c r="L1509" s="21">
        <v>0</v>
      </c>
      <c r="M1509" s="17" t="s">
        <v>122</v>
      </c>
      <c r="N1509" s="17" t="s">
        <v>115</v>
      </c>
      <c r="O1509" s="21">
        <v>0.26</v>
      </c>
      <c r="P1509" s="21">
        <v>0</v>
      </c>
    </row>
    <row r="1510" spans="1:16" ht="16.5" x14ac:dyDescent="0.25">
      <c r="A1510" s="2"/>
      <c r="B1510" s="4"/>
      <c r="C1510" s="18"/>
      <c r="E1510" s="20">
        <v>44279</v>
      </c>
      <c r="F1510" s="17" t="s">
        <v>87</v>
      </c>
      <c r="G1510" s="21">
        <v>3.4473133641304354</v>
      </c>
      <c r="H1510" s="21">
        <v>5</v>
      </c>
      <c r="I1510" s="25">
        <v>0.16053732717391292</v>
      </c>
      <c r="J1510" s="21">
        <v>0.5</v>
      </c>
      <c r="K1510" s="21">
        <v>0.28818645833333334</v>
      </c>
      <c r="L1510" s="21">
        <v>0</v>
      </c>
      <c r="M1510" s="17" t="s">
        <v>121</v>
      </c>
      <c r="N1510" s="17" t="s">
        <v>115</v>
      </c>
      <c r="O1510" s="21">
        <v>0.25</v>
      </c>
      <c r="P1510" s="21">
        <v>0</v>
      </c>
    </row>
    <row r="1511" spans="1:16" ht="16.5" x14ac:dyDescent="0.25">
      <c r="A1511" s="2"/>
      <c r="B1511" s="4"/>
      <c r="C1511" s="18"/>
      <c r="E1511" s="20">
        <v>44279</v>
      </c>
      <c r="F1511" s="17" t="s">
        <v>87</v>
      </c>
      <c r="G1511" s="21">
        <v>3.4473133641304354</v>
      </c>
      <c r="H1511" s="21">
        <v>4.8</v>
      </c>
      <c r="I1511" s="25">
        <v>0.13180971580615927</v>
      </c>
      <c r="J1511" s="21">
        <v>0.48</v>
      </c>
      <c r="K1511" s="21">
        <v>0.28818645833333334</v>
      </c>
      <c r="L1511" s="21">
        <v>0</v>
      </c>
      <c r="M1511" s="17" t="s">
        <v>120</v>
      </c>
      <c r="N1511" s="17" t="s">
        <v>115</v>
      </c>
      <c r="O1511" s="21">
        <v>0.24</v>
      </c>
      <c r="P1511" s="21">
        <v>0</v>
      </c>
    </row>
    <row r="1512" spans="1:16" ht="16.5" x14ac:dyDescent="0.25">
      <c r="A1512" s="2"/>
      <c r="B1512" s="4"/>
      <c r="C1512" s="18"/>
      <c r="E1512" s="20">
        <v>44279</v>
      </c>
      <c r="F1512" s="17" t="s">
        <v>87</v>
      </c>
      <c r="G1512" s="21">
        <v>3.4473133641304354</v>
      </c>
      <c r="H1512" s="21">
        <v>4.5999999999999996</v>
      </c>
      <c r="I1512" s="25">
        <v>0.10058405127599224</v>
      </c>
      <c r="J1512" s="21">
        <v>0.45999999999999996</v>
      </c>
      <c r="K1512" s="21">
        <v>0.28818645833333334</v>
      </c>
      <c r="L1512" s="21">
        <v>0</v>
      </c>
      <c r="M1512" s="17" t="s">
        <v>113</v>
      </c>
      <c r="N1512" s="17" t="s">
        <v>115</v>
      </c>
      <c r="O1512" s="21">
        <v>0.22999999999999998</v>
      </c>
      <c r="P1512" s="21">
        <v>0</v>
      </c>
    </row>
    <row r="1513" spans="1:16" ht="16.5" x14ac:dyDescent="0.25">
      <c r="A1513" s="2"/>
      <c r="B1513" s="4"/>
      <c r="C1513" s="18"/>
      <c r="E1513" s="20">
        <v>44279</v>
      </c>
      <c r="F1513" s="17" t="s">
        <v>86</v>
      </c>
      <c r="G1513" s="21">
        <v>6.4301914891304346</v>
      </c>
      <c r="H1513" s="21">
        <v>8.9</v>
      </c>
      <c r="I1513" s="25">
        <v>0.12750657425500733</v>
      </c>
      <c r="J1513" s="21">
        <v>0.89000000000000012</v>
      </c>
      <c r="K1513" s="21">
        <v>0.61036041666666674</v>
      </c>
      <c r="L1513" s="21">
        <v>0</v>
      </c>
      <c r="M1513" s="17" t="s">
        <v>121</v>
      </c>
      <c r="N1513" s="17" t="s">
        <v>115</v>
      </c>
      <c r="O1513" s="21">
        <v>0.44500000000000006</v>
      </c>
      <c r="P1513" s="21">
        <v>0</v>
      </c>
    </row>
    <row r="1514" spans="1:16" ht="16.5" x14ac:dyDescent="0.25">
      <c r="A1514" s="2"/>
      <c r="B1514" s="4"/>
      <c r="C1514" s="18"/>
      <c r="E1514" s="20">
        <v>44279</v>
      </c>
      <c r="F1514" s="17" t="s">
        <v>86</v>
      </c>
      <c r="G1514" s="21">
        <v>6.4301914891304346</v>
      </c>
      <c r="H1514" s="21">
        <v>8.6999999999999993</v>
      </c>
      <c r="I1514" s="25">
        <v>0.11089752998500745</v>
      </c>
      <c r="J1514" s="21">
        <v>0.87</v>
      </c>
      <c r="K1514" s="21">
        <v>0.61036041666666674</v>
      </c>
      <c r="L1514" s="21">
        <v>0</v>
      </c>
      <c r="M1514" s="17" t="s">
        <v>121</v>
      </c>
      <c r="N1514" s="17" t="s">
        <v>115</v>
      </c>
      <c r="O1514" s="21">
        <v>0.435</v>
      </c>
      <c r="P1514" s="21">
        <v>0</v>
      </c>
    </row>
    <row r="1515" spans="1:16" ht="16.5" x14ac:dyDescent="0.25">
      <c r="A1515" s="2"/>
      <c r="B1515" s="4"/>
      <c r="C1515" s="18"/>
      <c r="E1515" s="20">
        <v>44279</v>
      </c>
      <c r="F1515" s="17" t="s">
        <v>86</v>
      </c>
      <c r="G1515" s="21">
        <v>6.4301914891304346</v>
      </c>
      <c r="H1515" s="21">
        <v>8.5</v>
      </c>
      <c r="I1515" s="25">
        <v>9.3506883631713555E-2</v>
      </c>
      <c r="J1515" s="21">
        <v>0.85000000000000009</v>
      </c>
      <c r="K1515" s="21">
        <v>0.61036041666666674</v>
      </c>
      <c r="L1515" s="21">
        <v>0</v>
      </c>
      <c r="M1515" s="17" t="s">
        <v>120</v>
      </c>
      <c r="N1515" s="17" t="s">
        <v>115</v>
      </c>
      <c r="O1515" s="21">
        <v>0.42500000000000004</v>
      </c>
      <c r="P1515" s="21">
        <v>0</v>
      </c>
    </row>
    <row r="1516" spans="1:16" ht="16.5" x14ac:dyDescent="0.25">
      <c r="A1516" s="2"/>
      <c r="B1516" s="4"/>
      <c r="C1516" s="18"/>
      <c r="E1516" s="20">
        <v>44279</v>
      </c>
      <c r="F1516" s="17" t="s">
        <v>86</v>
      </c>
      <c r="G1516" s="21">
        <v>6.4301914891304346</v>
      </c>
      <c r="H1516" s="21">
        <v>8.1999999999999993</v>
      </c>
      <c r="I1516" s="25">
        <v>6.5830306203605471E-2</v>
      </c>
      <c r="J1516" s="21">
        <v>0.82</v>
      </c>
      <c r="K1516" s="21">
        <v>0.61036041666666674</v>
      </c>
      <c r="L1516" s="21">
        <v>0</v>
      </c>
      <c r="M1516" s="17" t="s">
        <v>113</v>
      </c>
      <c r="N1516" s="17" t="s">
        <v>115</v>
      </c>
      <c r="O1516" s="21">
        <v>0.41</v>
      </c>
      <c r="P1516" s="21">
        <v>0</v>
      </c>
    </row>
    <row r="1517" spans="1:16" ht="16.5" x14ac:dyDescent="0.25">
      <c r="A1517" s="2"/>
      <c r="B1517" s="4"/>
      <c r="C1517" s="18"/>
      <c r="E1517" s="20">
        <v>44279</v>
      </c>
      <c r="F1517" s="17" t="s">
        <v>86</v>
      </c>
      <c r="G1517" s="21">
        <v>6.4301914891304346</v>
      </c>
      <c r="H1517" s="21">
        <v>10.4</v>
      </c>
      <c r="I1517" s="25">
        <v>0.10241235681438125</v>
      </c>
      <c r="J1517" s="21">
        <v>1.04</v>
      </c>
      <c r="K1517" s="21">
        <v>0.61036041666666674</v>
      </c>
      <c r="L1517" s="21">
        <v>0.72800000000000009</v>
      </c>
      <c r="M1517" s="17" t="s">
        <v>122</v>
      </c>
      <c r="N1517" s="17" t="s">
        <v>117</v>
      </c>
      <c r="O1517" s="21">
        <v>0.52</v>
      </c>
      <c r="P1517" s="21">
        <v>1.3447200000000001</v>
      </c>
    </row>
    <row r="1518" spans="1:16" ht="16.5" x14ac:dyDescent="0.25">
      <c r="A1518" s="2"/>
      <c r="B1518" s="4"/>
      <c r="C1518" s="18"/>
      <c r="E1518" s="20">
        <v>44279</v>
      </c>
      <c r="F1518" s="17" t="s">
        <v>86</v>
      </c>
      <c r="G1518" s="21">
        <v>6.4301914891304346</v>
      </c>
      <c r="H1518" s="21">
        <v>10.199999999999999</v>
      </c>
      <c r="I1518" s="25">
        <v>9.0289069693094498E-2</v>
      </c>
      <c r="J1518" s="21">
        <v>1.02</v>
      </c>
      <c r="K1518" s="21">
        <v>0.61036041666666674</v>
      </c>
      <c r="L1518" s="21">
        <v>0.71399999999999997</v>
      </c>
      <c r="M1518" s="17" t="s">
        <v>121</v>
      </c>
      <c r="N1518" s="17" t="s">
        <v>117</v>
      </c>
      <c r="O1518" s="21">
        <v>0.51</v>
      </c>
      <c r="P1518" s="21">
        <v>1.3188599999999999</v>
      </c>
    </row>
    <row r="1519" spans="1:16" ht="16.5" x14ac:dyDescent="0.25">
      <c r="A1519" s="2"/>
      <c r="B1519" s="4"/>
      <c r="C1519" s="18"/>
      <c r="E1519" s="20">
        <v>44279</v>
      </c>
      <c r="F1519" s="17" t="s">
        <v>86</v>
      </c>
      <c r="G1519" s="21">
        <v>6.4301914891304346</v>
      </c>
      <c r="H1519" s="21">
        <v>9.9</v>
      </c>
      <c r="I1519" s="25">
        <v>7.1185708168642961E-2</v>
      </c>
      <c r="J1519" s="21">
        <v>0.9900000000000001</v>
      </c>
      <c r="K1519" s="21">
        <v>0.61036041666666674</v>
      </c>
      <c r="L1519" s="21">
        <v>0.69300000000000006</v>
      </c>
      <c r="M1519" s="17" t="s">
        <v>120</v>
      </c>
      <c r="N1519" s="17" t="s">
        <v>117</v>
      </c>
      <c r="O1519" s="21">
        <v>0.49500000000000005</v>
      </c>
      <c r="P1519" s="21">
        <v>1.28007</v>
      </c>
    </row>
    <row r="1520" spans="1:16" ht="16.5" x14ac:dyDescent="0.25">
      <c r="A1520" s="2"/>
      <c r="B1520" s="4"/>
      <c r="C1520" s="18"/>
      <c r="E1520" s="20">
        <v>44279</v>
      </c>
      <c r="F1520" s="17" t="s">
        <v>86</v>
      </c>
      <c r="G1520" s="21">
        <v>6.4301914891304346</v>
      </c>
      <c r="H1520" s="21">
        <v>9.6</v>
      </c>
      <c r="I1520" s="25">
        <v>5.0888386548913062E-2</v>
      </c>
      <c r="J1520" s="21">
        <v>0.96</v>
      </c>
      <c r="K1520" s="21">
        <v>0.61036041666666674</v>
      </c>
      <c r="L1520" s="21">
        <v>0.67200000000000004</v>
      </c>
      <c r="M1520" s="17" t="s">
        <v>113</v>
      </c>
      <c r="N1520" s="17" t="s">
        <v>117</v>
      </c>
      <c r="O1520" s="21">
        <v>0.48</v>
      </c>
      <c r="P1520" s="21">
        <v>1.2412799999999999</v>
      </c>
    </row>
    <row r="1521" spans="1:16" ht="16.5" x14ac:dyDescent="0.25">
      <c r="A1521" s="2"/>
      <c r="B1521" s="4"/>
      <c r="C1521" s="18"/>
      <c r="E1521" s="20">
        <v>44266</v>
      </c>
      <c r="F1521" s="17" t="s">
        <v>100</v>
      </c>
      <c r="G1521" s="21">
        <v>14.608333333333333</v>
      </c>
      <c r="H1521" s="21">
        <v>24.997148072096735</v>
      </c>
      <c r="I1521" s="25">
        <v>8.6299999999999988E-2</v>
      </c>
      <c r="J1521" s="21">
        <v>2.4997148072096738</v>
      </c>
      <c r="K1521" s="21">
        <v>0.17500000000000002</v>
      </c>
      <c r="L1521" s="21">
        <v>2.9996577686516082</v>
      </c>
      <c r="M1521" s="17" t="s">
        <v>122</v>
      </c>
      <c r="N1521" s="17" t="s">
        <v>117</v>
      </c>
      <c r="O1521" s="21">
        <v>1.2498574036048369</v>
      </c>
      <c r="P1521" s="21">
        <v>4.4819886493269445</v>
      </c>
    </row>
    <row r="1522" spans="1:16" ht="16.5" x14ac:dyDescent="0.25">
      <c r="A1522" s="2"/>
      <c r="B1522" s="4"/>
      <c r="C1522" s="18"/>
      <c r="E1522" s="20">
        <v>44266</v>
      </c>
      <c r="F1522" s="17" t="s">
        <v>100</v>
      </c>
      <c r="G1522" s="21">
        <v>14.608333333333333</v>
      </c>
      <c r="H1522" s="21">
        <v>24.502404114950238</v>
      </c>
      <c r="I1522" s="25">
        <v>7.4500000000000052E-2</v>
      </c>
      <c r="J1522" s="21">
        <v>2.4502404114950238</v>
      </c>
      <c r="K1522" s="21">
        <v>0.17500000000000002</v>
      </c>
      <c r="L1522" s="21">
        <v>2.9402884937940286</v>
      </c>
      <c r="M1522" s="17" t="s">
        <v>121</v>
      </c>
      <c r="N1522" s="17" t="s">
        <v>117</v>
      </c>
      <c r="O1522" s="21">
        <v>1.2251202057475119</v>
      </c>
      <c r="P1522" s="21">
        <v>4.3932810578105777</v>
      </c>
    </row>
    <row r="1523" spans="1:16" ht="16.5" x14ac:dyDescent="0.25">
      <c r="A1523" s="2"/>
      <c r="B1523" s="4"/>
      <c r="C1523" s="18"/>
      <c r="E1523" s="20">
        <v>44266</v>
      </c>
      <c r="F1523" s="17" t="s">
        <v>100</v>
      </c>
      <c r="G1523" s="21">
        <v>14.608333333333333</v>
      </c>
      <c r="H1523" s="21">
        <v>23.999233338809482</v>
      </c>
      <c r="I1523" s="25">
        <v>6.1999999999999965E-2</v>
      </c>
      <c r="J1523" s="21">
        <v>2.3999233338809485</v>
      </c>
      <c r="K1523" s="21">
        <v>0.17500000000000002</v>
      </c>
      <c r="L1523" s="21">
        <v>2.8799080006571378</v>
      </c>
      <c r="M1523" s="17" t="s">
        <v>120</v>
      </c>
      <c r="N1523" s="17" t="s">
        <v>117</v>
      </c>
      <c r="O1523" s="21">
        <v>1.1999616669404742</v>
      </c>
      <c r="P1523" s="21">
        <v>4.3030625376485405</v>
      </c>
    </row>
    <row r="1524" spans="1:16" ht="16.5" x14ac:dyDescent="0.25">
      <c r="A1524" s="2"/>
      <c r="B1524" s="4"/>
      <c r="C1524" s="18"/>
      <c r="E1524" s="20">
        <v>44266</v>
      </c>
      <c r="F1524" s="17" t="s">
        <v>100</v>
      </c>
      <c r="G1524" s="21">
        <v>14.608333333333333</v>
      </c>
      <c r="H1524" s="21">
        <v>23.497399603238424</v>
      </c>
      <c r="I1524" s="25">
        <v>4.8999999999999731E-2</v>
      </c>
      <c r="J1524" s="21">
        <v>2.3497399603238427</v>
      </c>
      <c r="K1524" s="21">
        <v>0.17500000000000002</v>
      </c>
      <c r="L1524" s="21">
        <v>2.8196879523886107</v>
      </c>
      <c r="M1524" s="17" t="s">
        <v>113</v>
      </c>
      <c r="N1524" s="17" t="s">
        <v>117</v>
      </c>
      <c r="O1524" s="21">
        <v>1.1748699801619213</v>
      </c>
      <c r="P1524" s="21">
        <v>4.2130837488606501</v>
      </c>
    </row>
    <row r="1525" spans="1:16" ht="16.5" x14ac:dyDescent="0.25">
      <c r="A1525" s="2"/>
      <c r="B1525" s="4"/>
      <c r="C1525" s="18"/>
      <c r="E1525" s="20">
        <v>44266</v>
      </c>
      <c r="F1525" s="17" t="s">
        <v>100</v>
      </c>
      <c r="G1525" s="21">
        <v>14.608333333333333</v>
      </c>
      <c r="H1525" s="21">
        <v>19.503782821539829</v>
      </c>
      <c r="I1525" s="25">
        <v>0.10099999999999998</v>
      </c>
      <c r="J1525" s="21">
        <v>1.950378282153983</v>
      </c>
      <c r="K1525" s="21">
        <v>0.17500000000000002</v>
      </c>
      <c r="L1525" s="21">
        <v>0</v>
      </c>
      <c r="M1525" s="17" t="s">
        <v>122</v>
      </c>
      <c r="N1525" s="17" t="s">
        <v>115</v>
      </c>
      <c r="O1525" s="21">
        <v>0.97518914107699151</v>
      </c>
      <c r="P1525" s="21">
        <v>0</v>
      </c>
    </row>
    <row r="1526" spans="1:16" ht="16.5" x14ac:dyDescent="0.25">
      <c r="A1526" s="2"/>
      <c r="B1526" s="4"/>
      <c r="C1526" s="18"/>
      <c r="E1526" s="20">
        <v>44266</v>
      </c>
      <c r="F1526" s="17" t="s">
        <v>100</v>
      </c>
      <c r="G1526" s="21">
        <v>14.608333333333333</v>
      </c>
      <c r="H1526" s="21">
        <v>18.996532293021239</v>
      </c>
      <c r="I1526" s="25">
        <v>8.100000000000003E-2</v>
      </c>
      <c r="J1526" s="21">
        <v>1.899653229302124</v>
      </c>
      <c r="K1526" s="21">
        <v>0.17500000000000002</v>
      </c>
      <c r="L1526" s="21">
        <v>0</v>
      </c>
      <c r="M1526" s="17" t="s">
        <v>121</v>
      </c>
      <c r="N1526" s="17" t="s">
        <v>115</v>
      </c>
      <c r="O1526" s="21">
        <v>0.949826614651062</v>
      </c>
      <c r="P1526" s="21">
        <v>0</v>
      </c>
    </row>
    <row r="1527" spans="1:16" ht="16.5" x14ac:dyDescent="0.25">
      <c r="A1527" s="2"/>
      <c r="B1527" s="4"/>
      <c r="C1527" s="18"/>
      <c r="E1527" s="20">
        <v>44266</v>
      </c>
      <c r="F1527" s="17" t="s">
        <v>100</v>
      </c>
      <c r="G1527" s="21">
        <v>14.608333333333333</v>
      </c>
      <c r="H1527" s="21">
        <v>18.503272113151784</v>
      </c>
      <c r="I1527" s="25">
        <v>6.0500000000000033E-2</v>
      </c>
      <c r="J1527" s="21">
        <v>1.8503272113151785</v>
      </c>
      <c r="K1527" s="21">
        <v>0.17500000000000002</v>
      </c>
      <c r="L1527" s="21">
        <v>0</v>
      </c>
      <c r="M1527" s="17" t="s">
        <v>120</v>
      </c>
      <c r="N1527" s="17" t="s">
        <v>115</v>
      </c>
      <c r="O1527" s="21">
        <v>0.92516360565758926</v>
      </c>
      <c r="P1527" s="21">
        <v>0</v>
      </c>
    </row>
    <row r="1528" spans="1:16" ht="16.5" x14ac:dyDescent="0.25">
      <c r="A1528" s="2"/>
      <c r="B1528" s="4"/>
      <c r="C1528" s="18"/>
      <c r="E1528" s="20">
        <v>44266</v>
      </c>
      <c r="F1528" s="17" t="s">
        <v>100</v>
      </c>
      <c r="G1528" s="21">
        <v>14.608333333333333</v>
      </c>
      <c r="H1528" s="21">
        <v>18.001643047853769</v>
      </c>
      <c r="I1528" s="25">
        <v>3.850000000000002E-2</v>
      </c>
      <c r="J1528" s="21">
        <v>1.800164304785377</v>
      </c>
      <c r="K1528" s="21">
        <v>0.17500000000000002</v>
      </c>
      <c r="L1528" s="21">
        <v>0</v>
      </c>
      <c r="M1528" s="17" t="s">
        <v>113</v>
      </c>
      <c r="N1528" s="17" t="s">
        <v>115</v>
      </c>
      <c r="O1528" s="21">
        <v>0.90008215239268852</v>
      </c>
      <c r="P1528" s="21">
        <v>0</v>
      </c>
    </row>
    <row r="1529" spans="1:16" ht="16.5" x14ac:dyDescent="0.25">
      <c r="A1529" s="2"/>
      <c r="B1529" s="4"/>
      <c r="C1529" s="18"/>
      <c r="E1529" s="20">
        <v>44266</v>
      </c>
      <c r="F1529" s="17" t="s">
        <v>99</v>
      </c>
      <c r="G1529" s="21">
        <v>9.6708333333333325</v>
      </c>
      <c r="H1529" s="21">
        <v>17.002168307548054</v>
      </c>
      <c r="I1529" s="25">
        <v>0.10190000000000005</v>
      </c>
      <c r="J1529" s="21">
        <v>1.7002168307548056</v>
      </c>
      <c r="K1529" s="21">
        <v>0.1125</v>
      </c>
      <c r="L1529" s="21">
        <v>2.0402601969057663</v>
      </c>
      <c r="M1529" s="17" t="s">
        <v>122</v>
      </c>
      <c r="N1529" s="17" t="s">
        <v>117</v>
      </c>
      <c r="O1529" s="21">
        <v>0.85010841537740278</v>
      </c>
      <c r="P1529" s="21">
        <v>3.0484887775433664</v>
      </c>
    </row>
    <row r="1530" spans="1:16" ht="16.5" x14ac:dyDescent="0.25">
      <c r="A1530" s="2"/>
      <c r="B1530" s="4"/>
      <c r="C1530" s="18"/>
      <c r="E1530" s="20">
        <v>44266</v>
      </c>
      <c r="F1530" s="17" t="s">
        <v>99</v>
      </c>
      <c r="G1530" s="21">
        <v>9.6708333333333325</v>
      </c>
      <c r="H1530" s="21">
        <v>16.497498009780504</v>
      </c>
      <c r="I1530" s="25">
        <v>8.4499999999999936E-2</v>
      </c>
      <c r="J1530" s="21">
        <v>1.6497498009780505</v>
      </c>
      <c r="K1530" s="21">
        <v>0.1125</v>
      </c>
      <c r="L1530" s="21">
        <v>1.9796997611736604</v>
      </c>
      <c r="M1530" s="17" t="s">
        <v>121</v>
      </c>
      <c r="N1530" s="17" t="s">
        <v>117</v>
      </c>
      <c r="O1530" s="21">
        <v>0.82487490048902523</v>
      </c>
      <c r="P1530" s="21">
        <v>2.9580013931536446</v>
      </c>
    </row>
    <row r="1531" spans="1:16" ht="16.5" x14ac:dyDescent="0.25">
      <c r="A1531" s="2"/>
      <c r="B1531" s="4"/>
      <c r="C1531" s="18"/>
      <c r="E1531" s="20">
        <v>44266</v>
      </c>
      <c r="F1531" s="17" t="s">
        <v>99</v>
      </c>
      <c r="G1531" s="21">
        <v>9.6708333333333325</v>
      </c>
      <c r="H1531" s="21">
        <v>15.998070030328092</v>
      </c>
      <c r="I1531" s="25">
        <v>6.6199999999999912E-2</v>
      </c>
      <c r="J1531" s="21">
        <v>1.5998070030328093</v>
      </c>
      <c r="K1531" s="21">
        <v>0.1125</v>
      </c>
      <c r="L1531" s="21">
        <v>1.919768403639371</v>
      </c>
      <c r="M1531" s="17" t="s">
        <v>120</v>
      </c>
      <c r="N1531" s="17" t="s">
        <v>117</v>
      </c>
      <c r="O1531" s="21">
        <v>0.79990350151640466</v>
      </c>
      <c r="P1531" s="21">
        <v>2.8684539564378273</v>
      </c>
    </row>
    <row r="1532" spans="1:16" ht="16.5" x14ac:dyDescent="0.25">
      <c r="A1532" s="2"/>
      <c r="B1532" s="4"/>
      <c r="C1532" s="18"/>
      <c r="E1532" s="20">
        <v>44266</v>
      </c>
      <c r="F1532" s="17" t="s">
        <v>99</v>
      </c>
      <c r="G1532" s="21">
        <v>9.6708333333333325</v>
      </c>
      <c r="H1532" s="21">
        <v>15.495647065107084</v>
      </c>
      <c r="I1532" s="25">
        <v>4.6599999999999843E-2</v>
      </c>
      <c r="J1532" s="21">
        <v>1.5495647065107085</v>
      </c>
      <c r="K1532" s="21">
        <v>0.1125</v>
      </c>
      <c r="L1532" s="21">
        <v>1.8594776478128501</v>
      </c>
      <c r="M1532" s="17" t="s">
        <v>113</v>
      </c>
      <c r="N1532" s="17" t="s">
        <v>117</v>
      </c>
      <c r="O1532" s="21">
        <v>0.77478235325535427</v>
      </c>
      <c r="P1532" s="21">
        <v>2.7783695187737005</v>
      </c>
    </row>
    <row r="1533" spans="1:16" ht="16.5" x14ac:dyDescent="0.25">
      <c r="A1533" s="2"/>
      <c r="B1533" s="4"/>
      <c r="C1533" s="18"/>
      <c r="E1533" s="20">
        <v>44266</v>
      </c>
      <c r="F1533" s="17" t="s">
        <v>99</v>
      </c>
      <c r="G1533" s="21">
        <v>9.6708333333333325</v>
      </c>
      <c r="H1533" s="21">
        <v>12.89616393296884</v>
      </c>
      <c r="I1533" s="25">
        <v>0.10010000000000002</v>
      </c>
      <c r="J1533" s="21">
        <v>1.289616393296884</v>
      </c>
      <c r="K1533" s="21">
        <v>0.1125</v>
      </c>
      <c r="L1533" s="21">
        <v>0</v>
      </c>
      <c r="M1533" s="17" t="s">
        <v>122</v>
      </c>
      <c r="N1533" s="17" t="s">
        <v>115</v>
      </c>
      <c r="O1533" s="21">
        <v>0.64480819664844202</v>
      </c>
      <c r="P1533" s="21">
        <v>0</v>
      </c>
    </row>
    <row r="1534" spans="1:16" ht="16.5" x14ac:dyDescent="0.25">
      <c r="A1534" s="2"/>
      <c r="B1534" s="4"/>
      <c r="C1534" s="18"/>
      <c r="E1534" s="20">
        <v>44266</v>
      </c>
      <c r="F1534" s="17" t="s">
        <v>99</v>
      </c>
      <c r="G1534" s="21">
        <v>9.6708333333333325</v>
      </c>
      <c r="H1534" s="21">
        <v>12.502693385046326</v>
      </c>
      <c r="I1534" s="25">
        <v>7.6500000000000068E-2</v>
      </c>
      <c r="J1534" s="21">
        <v>1.2502693385046326</v>
      </c>
      <c r="K1534" s="21">
        <v>0.1125</v>
      </c>
      <c r="L1534" s="21">
        <v>0</v>
      </c>
      <c r="M1534" s="17" t="s">
        <v>121</v>
      </c>
      <c r="N1534" s="17" t="s">
        <v>115</v>
      </c>
      <c r="O1534" s="21">
        <v>0.62513466925231631</v>
      </c>
      <c r="P1534" s="21">
        <v>0</v>
      </c>
    </row>
    <row r="1535" spans="1:16" ht="16.5" x14ac:dyDescent="0.25">
      <c r="A1535" s="2"/>
      <c r="B1535" s="4"/>
      <c r="C1535" s="18"/>
      <c r="E1535" s="20">
        <v>44266</v>
      </c>
      <c r="F1535" s="17" t="s">
        <v>99</v>
      </c>
      <c r="G1535" s="21">
        <v>9.6708333333333325</v>
      </c>
      <c r="H1535" s="21">
        <v>12.303859202714163</v>
      </c>
      <c r="I1535" s="25">
        <v>6.3999999999999946E-2</v>
      </c>
      <c r="J1535" s="21">
        <v>1.2303859202714165</v>
      </c>
      <c r="K1535" s="21">
        <v>0.1125</v>
      </c>
      <c r="L1535" s="21">
        <v>0</v>
      </c>
      <c r="M1535" s="17" t="s">
        <v>120</v>
      </c>
      <c r="N1535" s="17" t="s">
        <v>115</v>
      </c>
      <c r="O1535" s="21">
        <v>0.61519296013570823</v>
      </c>
      <c r="P1535" s="21">
        <v>0</v>
      </c>
    </row>
    <row r="1536" spans="1:16" ht="16.5" x14ac:dyDescent="0.25">
      <c r="A1536" s="2"/>
      <c r="B1536" s="4"/>
      <c r="C1536" s="18"/>
      <c r="E1536" s="20">
        <v>44266</v>
      </c>
      <c r="F1536" s="17" t="s">
        <v>99</v>
      </c>
      <c r="G1536" s="21">
        <v>9.6708333333333325</v>
      </c>
      <c r="H1536" s="21">
        <v>11.998552522746069</v>
      </c>
      <c r="I1536" s="25">
        <v>4.3999999999999907E-2</v>
      </c>
      <c r="J1536" s="21">
        <v>1.1998552522746069</v>
      </c>
      <c r="K1536" s="21">
        <v>0.1125</v>
      </c>
      <c r="L1536" s="21">
        <v>0</v>
      </c>
      <c r="M1536" s="17" t="s">
        <v>113</v>
      </c>
      <c r="N1536" s="17" t="s">
        <v>115</v>
      </c>
      <c r="O1536" s="21">
        <v>0.59992762613730344</v>
      </c>
      <c r="P1536" s="21">
        <v>0</v>
      </c>
    </row>
    <row r="1537" spans="1:16" ht="16.5" x14ac:dyDescent="0.25">
      <c r="A1537" s="2"/>
      <c r="B1537" s="4"/>
      <c r="C1537" s="18"/>
      <c r="E1537" s="20">
        <v>44266</v>
      </c>
      <c r="F1537" s="17" t="s">
        <v>136</v>
      </c>
      <c r="G1537" s="21">
        <v>9.4866666666666681</v>
      </c>
      <c r="H1537" s="21">
        <v>16.99510330825272</v>
      </c>
      <c r="I1537" s="25">
        <v>0.14899999999999997</v>
      </c>
      <c r="J1537" s="21">
        <v>1.6995103308252721</v>
      </c>
      <c r="K1537" s="21">
        <v>1.2</v>
      </c>
      <c r="L1537" s="21">
        <v>2.0394123969903264</v>
      </c>
      <c r="M1537" s="17" t="s">
        <v>122</v>
      </c>
      <c r="N1537" s="17" t="s">
        <v>117</v>
      </c>
      <c r="O1537" s="21">
        <v>0.84975516541263607</v>
      </c>
      <c r="P1537" s="21">
        <v>2.4269007524184887</v>
      </c>
    </row>
    <row r="1538" spans="1:16" ht="16.5" x14ac:dyDescent="0.25">
      <c r="A1538" s="2"/>
      <c r="B1538" s="4"/>
      <c r="C1538" s="18"/>
      <c r="E1538" s="20">
        <v>44266</v>
      </c>
      <c r="F1538" s="17" t="s">
        <v>136</v>
      </c>
      <c r="G1538" s="21">
        <v>9.4866666666666681</v>
      </c>
      <c r="H1538" s="21">
        <v>16.504291347715149</v>
      </c>
      <c r="I1538" s="25">
        <v>0.13239999999999999</v>
      </c>
      <c r="J1538" s="21">
        <v>1.650429134771515</v>
      </c>
      <c r="K1538" s="21">
        <v>1.2</v>
      </c>
      <c r="L1538" s="21">
        <v>1.9805149617258178</v>
      </c>
      <c r="M1538" s="17" t="s">
        <v>121</v>
      </c>
      <c r="N1538" s="17" t="s">
        <v>117</v>
      </c>
      <c r="O1538" s="21">
        <v>0.82521456738575749</v>
      </c>
      <c r="P1538" s="21">
        <v>2.3568128044537233</v>
      </c>
    </row>
    <row r="1539" spans="1:16" ht="16.5" x14ac:dyDescent="0.25">
      <c r="A1539" s="2"/>
      <c r="B1539" s="4"/>
      <c r="C1539" s="18"/>
      <c r="E1539" s="20">
        <v>44266</v>
      </c>
      <c r="F1539" s="17" t="s">
        <v>136</v>
      </c>
      <c r="G1539" s="21">
        <v>9.4866666666666681</v>
      </c>
      <c r="H1539" s="21">
        <v>15.997751545812257</v>
      </c>
      <c r="I1539" s="25">
        <v>0.11420000000000008</v>
      </c>
      <c r="J1539" s="21">
        <v>1.5997751545812258</v>
      </c>
      <c r="K1539" s="21">
        <v>1.2</v>
      </c>
      <c r="L1539" s="21">
        <v>1.9197301854974707</v>
      </c>
      <c r="M1539" s="17" t="s">
        <v>120</v>
      </c>
      <c r="N1539" s="17" t="s">
        <v>117</v>
      </c>
      <c r="O1539" s="21">
        <v>0.79988757729061288</v>
      </c>
      <c r="P1539" s="21">
        <v>2.2844789207419902</v>
      </c>
    </row>
    <row r="1540" spans="1:16" ht="16.5" x14ac:dyDescent="0.25">
      <c r="A1540" s="2"/>
      <c r="B1540" s="4"/>
      <c r="C1540" s="18"/>
      <c r="E1540" s="20">
        <v>44266</v>
      </c>
      <c r="F1540" s="17" t="s">
        <v>136</v>
      </c>
      <c r="G1540" s="21">
        <v>9.4866666666666681</v>
      </c>
      <c r="H1540" s="21">
        <v>15.496025264074921</v>
      </c>
      <c r="I1540" s="25">
        <v>9.4999999999999946E-2</v>
      </c>
      <c r="J1540" s="21">
        <v>1.5496025264074922</v>
      </c>
      <c r="K1540" s="21">
        <v>1.2</v>
      </c>
      <c r="L1540" s="21">
        <v>1.8595230316889906</v>
      </c>
      <c r="M1540" s="17" t="s">
        <v>113</v>
      </c>
      <c r="N1540" s="17" t="s">
        <v>117</v>
      </c>
      <c r="O1540" s="21">
        <v>0.77480126320374609</v>
      </c>
      <c r="P1540" s="21">
        <v>2.2128324077098989</v>
      </c>
    </row>
    <row r="1541" spans="1:16" ht="16.5" x14ac:dyDescent="0.25">
      <c r="A1541" s="2"/>
      <c r="B1541" s="4"/>
      <c r="C1541" s="18"/>
      <c r="E1541" s="20">
        <v>44266</v>
      </c>
      <c r="F1541" s="17" t="s">
        <v>137</v>
      </c>
      <c r="G1541" s="21">
        <v>4.6466666666666665</v>
      </c>
      <c r="H1541" s="21">
        <v>8.0018368635554786</v>
      </c>
      <c r="I1541" s="25">
        <v>0.12649999999999995</v>
      </c>
      <c r="J1541" s="21">
        <v>0.80018368635554793</v>
      </c>
      <c r="K1541" s="21">
        <v>0.54</v>
      </c>
      <c r="L1541" s="21">
        <v>0.96022042362665738</v>
      </c>
      <c r="M1541" s="17" t="s">
        <v>122</v>
      </c>
      <c r="N1541" s="17" t="s">
        <v>117</v>
      </c>
      <c r="O1541" s="21">
        <v>0.40009184317777396</v>
      </c>
      <c r="P1541" s="21">
        <v>1.1426623041157224</v>
      </c>
    </row>
    <row r="1542" spans="1:16" ht="16.5" x14ac:dyDescent="0.25">
      <c r="A1542" s="2"/>
      <c r="B1542" s="4"/>
      <c r="C1542" s="18"/>
      <c r="E1542" s="20">
        <v>44266</v>
      </c>
      <c r="F1542" s="17" t="s">
        <v>137</v>
      </c>
      <c r="G1542" s="21">
        <v>4.6466666666666665</v>
      </c>
      <c r="H1542" s="21">
        <v>7.8998073217726388</v>
      </c>
      <c r="I1542" s="25">
        <v>0.11899999999999991</v>
      </c>
      <c r="J1542" s="21">
        <v>0.78998073217726394</v>
      </c>
      <c r="K1542" s="21">
        <v>0.54</v>
      </c>
      <c r="L1542" s="21">
        <v>0.94797687861271662</v>
      </c>
      <c r="M1542" s="17" t="s">
        <v>121</v>
      </c>
      <c r="N1542" s="17" t="s">
        <v>117</v>
      </c>
      <c r="O1542" s="21">
        <v>0.39499036608863197</v>
      </c>
      <c r="P1542" s="21">
        <v>1.128092485549133</v>
      </c>
    </row>
    <row r="1543" spans="1:16" ht="16.5" x14ac:dyDescent="0.25">
      <c r="A1543" s="2"/>
      <c r="B1543" s="4"/>
      <c r="C1543" s="18"/>
      <c r="E1543" s="20">
        <v>44266</v>
      </c>
      <c r="F1543" s="17" t="s">
        <v>137</v>
      </c>
      <c r="G1543" s="21">
        <v>4.6466666666666665</v>
      </c>
      <c r="H1543" s="21">
        <v>7.8003469307817115</v>
      </c>
      <c r="I1543" s="25">
        <v>0.11149999999999988</v>
      </c>
      <c r="J1543" s="21">
        <v>0.78003469307817119</v>
      </c>
      <c r="K1543" s="21">
        <v>0.54</v>
      </c>
      <c r="L1543" s="21">
        <v>0.93604163169380539</v>
      </c>
      <c r="M1543" s="17" t="s">
        <v>120</v>
      </c>
      <c r="N1543" s="17" t="s">
        <v>117</v>
      </c>
      <c r="O1543" s="21">
        <v>0.3900173465390856</v>
      </c>
      <c r="P1543" s="21">
        <v>1.1138895417156285</v>
      </c>
    </row>
    <row r="1544" spans="1:16" ht="16.5" x14ac:dyDescent="0.25">
      <c r="A1544" s="2"/>
      <c r="B1544" s="4"/>
      <c r="C1544" s="18"/>
      <c r="E1544" s="20">
        <v>44266</v>
      </c>
      <c r="F1544" s="17" t="s">
        <v>137</v>
      </c>
      <c r="G1544" s="21">
        <v>4.6466666666666665</v>
      </c>
      <c r="H1544" s="21">
        <v>7.6025305410122161</v>
      </c>
      <c r="I1544" s="25">
        <v>9.5999999999999974E-2</v>
      </c>
      <c r="J1544" s="21">
        <v>0.76025305410122168</v>
      </c>
      <c r="K1544" s="21">
        <v>0.54</v>
      </c>
      <c r="L1544" s="21">
        <v>0.91230366492146586</v>
      </c>
      <c r="M1544" s="17" t="s">
        <v>113</v>
      </c>
      <c r="N1544" s="17" t="s">
        <v>117</v>
      </c>
      <c r="O1544" s="21">
        <v>0.38012652705061084</v>
      </c>
      <c r="P1544" s="21">
        <v>1.0856413612565445</v>
      </c>
    </row>
    <row r="1545" spans="1:16" ht="16.5" x14ac:dyDescent="0.25">
      <c r="A1545" s="2"/>
      <c r="B1545" s="4"/>
      <c r="C1545" s="18"/>
      <c r="E1545" s="20">
        <v>44266</v>
      </c>
      <c r="F1545" s="17" t="s">
        <v>91</v>
      </c>
      <c r="G1545" s="21">
        <v>23.737500000000001</v>
      </c>
      <c r="H1545" s="21">
        <v>41.998407643312092</v>
      </c>
      <c r="I1545" s="25">
        <v>0.10549999999999979</v>
      </c>
      <c r="J1545" s="21">
        <v>4.199840764331209</v>
      </c>
      <c r="K1545" s="21">
        <v>0.28750000000000003</v>
      </c>
      <c r="L1545" s="21">
        <v>5.0398089171974512</v>
      </c>
      <c r="M1545" s="17" t="s">
        <v>122</v>
      </c>
      <c r="N1545" s="17" t="s">
        <v>117</v>
      </c>
      <c r="O1545" s="21">
        <v>2.0999203821656045</v>
      </c>
      <c r="P1545" s="21">
        <v>7.5303144904458588</v>
      </c>
    </row>
    <row r="1546" spans="1:16" ht="16.5" x14ac:dyDescent="0.25">
      <c r="A1546" s="2"/>
      <c r="B1546" s="4"/>
      <c r="C1546" s="18"/>
      <c r="E1546" s="20">
        <v>44266</v>
      </c>
      <c r="F1546" s="17" t="s">
        <v>91</v>
      </c>
      <c r="G1546" s="21">
        <v>23.737500000000001</v>
      </c>
      <c r="H1546" s="21">
        <v>41.004491276558994</v>
      </c>
      <c r="I1546" s="25">
        <v>9.180000000000002E-2</v>
      </c>
      <c r="J1546" s="21">
        <v>4.1004491276558994</v>
      </c>
      <c r="K1546" s="21">
        <v>0.28750000000000003</v>
      </c>
      <c r="L1546" s="21">
        <v>4.9205389531870791</v>
      </c>
      <c r="M1546" s="17" t="s">
        <v>121</v>
      </c>
      <c r="N1546" s="17" t="s">
        <v>117</v>
      </c>
      <c r="O1546" s="21">
        <v>2.0502245638279497</v>
      </c>
      <c r="P1546" s="21">
        <v>7.3521052858870286</v>
      </c>
    </row>
    <row r="1547" spans="1:16" ht="16.5" x14ac:dyDescent="0.25">
      <c r="A1547" s="2"/>
      <c r="B1547" s="4"/>
      <c r="C1547" s="18"/>
      <c r="E1547" s="20">
        <v>44266</v>
      </c>
      <c r="F1547" s="17" t="s">
        <v>91</v>
      </c>
      <c r="G1547" s="21">
        <v>23.737500000000001</v>
      </c>
      <c r="H1547" s="21">
        <v>39.995787700084236</v>
      </c>
      <c r="I1547" s="25">
        <v>7.7199999999999797E-2</v>
      </c>
      <c r="J1547" s="21">
        <v>3.9995787700084238</v>
      </c>
      <c r="K1547" s="21">
        <v>0.28750000000000003</v>
      </c>
      <c r="L1547" s="21">
        <v>4.7994945240101083</v>
      </c>
      <c r="M1547" s="17" t="s">
        <v>120</v>
      </c>
      <c r="N1547" s="17" t="s">
        <v>117</v>
      </c>
      <c r="O1547" s="21">
        <v>1.9997893850042119</v>
      </c>
      <c r="P1547" s="21">
        <v>7.1712447346251045</v>
      </c>
    </row>
    <row r="1548" spans="1:16" ht="16.5" x14ac:dyDescent="0.25">
      <c r="A1548" s="2"/>
      <c r="B1548" s="4"/>
      <c r="C1548" s="18"/>
      <c r="E1548" s="20">
        <v>44266</v>
      </c>
      <c r="F1548" s="17" t="s">
        <v>91</v>
      </c>
      <c r="G1548" s="21">
        <v>23.737500000000001</v>
      </c>
      <c r="H1548" s="21">
        <v>38.997042878265155</v>
      </c>
      <c r="I1548" s="25">
        <v>6.1999999999999958E-2</v>
      </c>
      <c r="J1548" s="21">
        <v>3.8997042878265158</v>
      </c>
      <c r="K1548" s="21">
        <v>0.28750000000000003</v>
      </c>
      <c r="L1548" s="21">
        <v>4.6796451453918184</v>
      </c>
      <c r="M1548" s="17" t="s">
        <v>113</v>
      </c>
      <c r="N1548" s="17" t="s">
        <v>117</v>
      </c>
      <c r="O1548" s="21">
        <v>1.9498521439132579</v>
      </c>
      <c r="P1548" s="21">
        <v>6.9921697880729425</v>
      </c>
    </row>
    <row r="1549" spans="1:16" ht="16.5" x14ac:dyDescent="0.25">
      <c r="A1549" s="2"/>
      <c r="B1549" s="4"/>
      <c r="C1549" s="18"/>
      <c r="E1549" s="20">
        <v>44266</v>
      </c>
      <c r="F1549" s="17" t="s">
        <v>91</v>
      </c>
      <c r="G1549" s="21">
        <v>23.737500000000001</v>
      </c>
      <c r="H1549" s="21">
        <v>38.997042878265155</v>
      </c>
      <c r="I1549" s="25">
        <v>6.1999999999999958E-2</v>
      </c>
      <c r="J1549" s="21">
        <v>3.8997042878265158</v>
      </c>
      <c r="K1549" s="21">
        <v>0.28750000000000003</v>
      </c>
      <c r="L1549" s="21">
        <v>4.6796451453918184</v>
      </c>
      <c r="M1549" s="17" t="s">
        <v>122</v>
      </c>
      <c r="N1549" s="17" t="s">
        <v>117</v>
      </c>
      <c r="O1549" s="21">
        <v>1.9498521439132579</v>
      </c>
      <c r="P1549" s="21">
        <v>6.9921697880729425</v>
      </c>
    </row>
    <row r="1550" spans="1:16" ht="16.5" x14ac:dyDescent="0.25">
      <c r="A1550" s="2"/>
      <c r="B1550" s="4"/>
      <c r="C1550" s="18"/>
      <c r="E1550" s="20">
        <v>44266</v>
      </c>
      <c r="F1550" s="17" t="s">
        <v>91</v>
      </c>
      <c r="G1550" s="21">
        <v>23.737500000000001</v>
      </c>
      <c r="H1550" s="21">
        <v>38.004322766570603</v>
      </c>
      <c r="I1550" s="25">
        <v>0.22539999999999991</v>
      </c>
      <c r="J1550" s="21">
        <v>3.8004322766570606</v>
      </c>
      <c r="K1550" s="21">
        <v>0.28750000000000003</v>
      </c>
      <c r="L1550" s="21">
        <v>0</v>
      </c>
      <c r="M1550" s="17" t="s">
        <v>122</v>
      </c>
      <c r="N1550" s="17" t="s">
        <v>115</v>
      </c>
      <c r="O1550" s="21">
        <v>1.9002161383285303</v>
      </c>
      <c r="P1550" s="21">
        <v>0</v>
      </c>
    </row>
    <row r="1551" spans="1:16" ht="16.5" x14ac:dyDescent="0.25">
      <c r="A1551" s="2"/>
      <c r="B1551" s="4"/>
      <c r="C1551" s="18"/>
      <c r="E1551" s="20">
        <v>44266</v>
      </c>
      <c r="F1551" s="17" t="s">
        <v>91</v>
      </c>
      <c r="G1551" s="21">
        <v>23.737500000000001</v>
      </c>
      <c r="H1551" s="21">
        <v>36.004095252540573</v>
      </c>
      <c r="I1551" s="25">
        <v>0.19069999999999995</v>
      </c>
      <c r="J1551" s="21">
        <v>3.6004095252540576</v>
      </c>
      <c r="K1551" s="21">
        <v>0.28750000000000003</v>
      </c>
      <c r="L1551" s="21">
        <v>0</v>
      </c>
      <c r="M1551" s="17" t="s">
        <v>121</v>
      </c>
      <c r="N1551" s="17" t="s">
        <v>115</v>
      </c>
      <c r="O1551" s="21">
        <v>1.8002047626270288</v>
      </c>
      <c r="P1551" s="21">
        <v>0</v>
      </c>
    </row>
    <row r="1552" spans="1:16" ht="16.5" x14ac:dyDescent="0.25">
      <c r="A1552" s="2"/>
      <c r="B1552" s="4"/>
      <c r="C1552" s="18"/>
      <c r="E1552" s="20">
        <v>44266</v>
      </c>
      <c r="F1552" s="17" t="s">
        <v>91</v>
      </c>
      <c r="G1552" s="21">
        <v>23.737500000000001</v>
      </c>
      <c r="H1552" s="21">
        <v>33.998138069321108</v>
      </c>
      <c r="I1552" s="25">
        <v>0.15179999999999991</v>
      </c>
      <c r="J1552" s="21">
        <v>3.3998138069321109</v>
      </c>
      <c r="K1552" s="21">
        <v>0.28750000000000003</v>
      </c>
      <c r="L1552" s="21">
        <v>0</v>
      </c>
      <c r="M1552" s="17" t="s">
        <v>120</v>
      </c>
      <c r="N1552" s="17" t="s">
        <v>115</v>
      </c>
      <c r="O1552" s="21">
        <v>1.6999069034660554</v>
      </c>
      <c r="P1552" s="21">
        <v>0</v>
      </c>
    </row>
    <row r="1553" spans="1:16" ht="16.5" x14ac:dyDescent="0.25">
      <c r="A1553" s="2"/>
      <c r="B1553" s="4"/>
      <c r="C1553" s="18"/>
      <c r="E1553" s="20">
        <v>44266</v>
      </c>
      <c r="F1553" s="17" t="s">
        <v>91</v>
      </c>
      <c r="G1553" s="21">
        <v>23.737500000000001</v>
      </c>
      <c r="H1553" s="21">
        <v>31.995551961180752</v>
      </c>
      <c r="I1553" s="25">
        <v>0.10809999999999997</v>
      </c>
      <c r="J1553" s="21">
        <v>3.1995551961180753</v>
      </c>
      <c r="K1553" s="21">
        <v>0.28750000000000003</v>
      </c>
      <c r="L1553" s="21">
        <v>0</v>
      </c>
      <c r="M1553" s="17" t="s">
        <v>113</v>
      </c>
      <c r="N1553" s="17" t="s">
        <v>115</v>
      </c>
      <c r="O1553" s="21">
        <v>1.5997775980590376</v>
      </c>
      <c r="P1553" s="21">
        <v>0</v>
      </c>
    </row>
    <row r="1554" spans="1:16" ht="16.5" x14ac:dyDescent="0.25">
      <c r="A1554" s="2"/>
      <c r="B1554" s="4"/>
      <c r="C1554" s="18"/>
      <c r="E1554" s="20">
        <v>44266</v>
      </c>
      <c r="F1554" s="17" t="s">
        <v>90</v>
      </c>
      <c r="G1554" s="21">
        <v>25.928194444444447</v>
      </c>
      <c r="H1554" s="21">
        <v>46.201344341490447</v>
      </c>
      <c r="I1554" s="25">
        <v>0.10949999999999988</v>
      </c>
      <c r="J1554" s="21">
        <v>4.6201344341490449</v>
      </c>
      <c r="K1554" s="21">
        <v>0.31625000000000003</v>
      </c>
      <c r="L1554" s="21">
        <v>5.5441613209788532</v>
      </c>
      <c r="M1554" s="17" t="s">
        <v>122</v>
      </c>
      <c r="N1554" s="17" t="s">
        <v>117</v>
      </c>
      <c r="O1554" s="21">
        <v>2.3100672170745224</v>
      </c>
      <c r="P1554" s="21">
        <v>8.283901040429237</v>
      </c>
    </row>
    <row r="1555" spans="1:16" ht="16.5" x14ac:dyDescent="0.25">
      <c r="A1555" s="2"/>
      <c r="B1555" s="4"/>
      <c r="C1555" s="18"/>
      <c r="E1555" s="20">
        <v>44266</v>
      </c>
      <c r="F1555" s="17" t="s">
        <v>90</v>
      </c>
      <c r="G1555" s="21">
        <v>25.928194444444447</v>
      </c>
      <c r="H1555" s="21">
        <v>45.100355617402066</v>
      </c>
      <c r="I1555" s="25">
        <v>9.5799999999999982E-2</v>
      </c>
      <c r="J1555" s="21">
        <v>4.5100355617402066</v>
      </c>
      <c r="K1555" s="21">
        <v>0.31625000000000003</v>
      </c>
      <c r="L1555" s="21">
        <v>5.4120426740882479</v>
      </c>
      <c r="M1555" s="17" t="s">
        <v>121</v>
      </c>
      <c r="N1555" s="17" t="s">
        <v>117</v>
      </c>
      <c r="O1555" s="21">
        <v>2.2550177808701033</v>
      </c>
      <c r="P1555" s="21">
        <v>8.0864937622001918</v>
      </c>
    </row>
    <row r="1556" spans="1:16" ht="16.5" x14ac:dyDescent="0.25">
      <c r="A1556" s="2"/>
      <c r="B1556" s="4"/>
      <c r="C1556" s="18"/>
      <c r="E1556" s="20">
        <v>44266</v>
      </c>
      <c r="F1556" s="17" t="s">
        <v>90</v>
      </c>
      <c r="G1556" s="21">
        <v>25.928194444444447</v>
      </c>
      <c r="H1556" s="21">
        <v>43.998293644059814</v>
      </c>
      <c r="I1556" s="25">
        <v>8.1400000000000028E-2</v>
      </c>
      <c r="J1556" s="21">
        <v>4.3998293644059814</v>
      </c>
      <c r="K1556" s="21">
        <v>0.31625000000000003</v>
      </c>
      <c r="L1556" s="21">
        <v>5.2797952372871775</v>
      </c>
      <c r="M1556" s="17" t="s">
        <v>120</v>
      </c>
      <c r="N1556" s="17" t="s">
        <v>117</v>
      </c>
      <c r="O1556" s="21">
        <v>2.1999146822029907</v>
      </c>
      <c r="P1556" s="21">
        <v>7.8888940503799256</v>
      </c>
    </row>
    <row r="1557" spans="1:16" ht="16.5" x14ac:dyDescent="0.25">
      <c r="A1557" s="2"/>
      <c r="B1557" s="4"/>
      <c r="C1557" s="18"/>
      <c r="E1557" s="20">
        <v>44266</v>
      </c>
      <c r="F1557" s="17" t="s">
        <v>90</v>
      </c>
      <c r="G1557" s="21">
        <v>25.928194444444447</v>
      </c>
      <c r="H1557" s="21">
        <v>42.899064269431577</v>
      </c>
      <c r="I1557" s="25">
        <v>6.6299999999999845E-2</v>
      </c>
      <c r="J1557" s="21">
        <v>4.2899064269431575</v>
      </c>
      <c r="K1557" s="21">
        <v>0.31625000000000003</v>
      </c>
      <c r="L1557" s="21">
        <v>5.147887712331789</v>
      </c>
      <c r="M1557" s="17" t="s">
        <v>113</v>
      </c>
      <c r="N1557" s="17" t="s">
        <v>117</v>
      </c>
      <c r="O1557" s="21">
        <v>2.1449532134715787</v>
      </c>
      <c r="P1557" s="21">
        <v>7.6918022235090824</v>
      </c>
    </row>
    <row r="1558" spans="1:16" ht="16.5" x14ac:dyDescent="0.25">
      <c r="A1558" s="2"/>
      <c r="B1558" s="4"/>
      <c r="C1558" s="18"/>
      <c r="E1558" s="20">
        <v>44266</v>
      </c>
      <c r="F1558" s="17" t="s">
        <v>90</v>
      </c>
      <c r="G1558" s="21">
        <v>25.928194444444447</v>
      </c>
      <c r="H1558" s="21">
        <v>42.498269864685206</v>
      </c>
      <c r="I1558" s="25">
        <v>6.0599999999999911E-2</v>
      </c>
      <c r="J1558" s="21">
        <v>4.2498269864685208</v>
      </c>
      <c r="K1558" s="21">
        <v>0.31625000000000003</v>
      </c>
      <c r="L1558" s="21">
        <v>5.0997923837622245</v>
      </c>
      <c r="M1558" s="17" t="s">
        <v>113</v>
      </c>
      <c r="N1558" s="17" t="s">
        <v>117</v>
      </c>
      <c r="O1558" s="21">
        <v>2.1249134932342604</v>
      </c>
      <c r="P1558" s="21">
        <v>7.6199397867380583</v>
      </c>
    </row>
    <row r="1559" spans="1:16" ht="16.5" x14ac:dyDescent="0.25">
      <c r="A1559" s="2"/>
      <c r="B1559" s="4"/>
      <c r="C1559" s="18"/>
      <c r="E1559" s="20">
        <v>44266</v>
      </c>
      <c r="F1559" s="17" t="s">
        <v>90</v>
      </c>
      <c r="G1559" s="21">
        <v>25.928194444444447</v>
      </c>
      <c r="H1559" s="21">
        <v>40.999674959589576</v>
      </c>
      <c r="I1559" s="25">
        <v>0.21760000000000004</v>
      </c>
      <c r="J1559" s="21">
        <v>4.0999674959589578</v>
      </c>
      <c r="K1559" s="21">
        <v>0.31625000000000003</v>
      </c>
      <c r="L1559" s="21">
        <v>0</v>
      </c>
      <c r="M1559" s="17" t="s">
        <v>122</v>
      </c>
      <c r="N1559" s="17" t="s">
        <v>115</v>
      </c>
      <c r="O1559" s="21">
        <v>2.0499837479794789</v>
      </c>
      <c r="P1559" s="21">
        <v>0</v>
      </c>
    </row>
    <row r="1560" spans="1:16" ht="16.5" x14ac:dyDescent="0.25">
      <c r="A1560" s="2"/>
      <c r="B1560" s="4"/>
      <c r="C1560" s="18"/>
      <c r="E1560" s="20">
        <v>44266</v>
      </c>
      <c r="F1560" s="17" t="s">
        <v>90</v>
      </c>
      <c r="G1560" s="21">
        <v>25.928194444444447</v>
      </c>
      <c r="H1560" s="21">
        <v>39.001495855060845</v>
      </c>
      <c r="I1560" s="25">
        <v>0.18520000000000006</v>
      </c>
      <c r="J1560" s="21">
        <v>3.9001495855060848</v>
      </c>
      <c r="K1560" s="21">
        <v>0.31625000000000003</v>
      </c>
      <c r="L1560" s="21">
        <v>0</v>
      </c>
      <c r="M1560" s="17" t="s">
        <v>121</v>
      </c>
      <c r="N1560" s="17" t="s">
        <v>115</v>
      </c>
      <c r="O1560" s="21">
        <v>1.9500747927530424</v>
      </c>
      <c r="P1560" s="21">
        <v>0</v>
      </c>
    </row>
    <row r="1561" spans="1:16" ht="16.5" x14ac:dyDescent="0.25">
      <c r="A1561" s="2"/>
      <c r="B1561" s="4"/>
      <c r="C1561" s="18"/>
      <c r="E1561" s="20">
        <v>44266</v>
      </c>
      <c r="F1561" s="17" t="s">
        <v>90</v>
      </c>
      <c r="G1561" s="21">
        <v>25.928194444444447</v>
      </c>
      <c r="H1561" s="21">
        <v>36.997994355657035</v>
      </c>
      <c r="I1561" s="25">
        <v>0.14920000000000008</v>
      </c>
      <c r="J1561" s="21">
        <v>3.6997994355657036</v>
      </c>
      <c r="K1561" s="21">
        <v>0.31625000000000003</v>
      </c>
      <c r="L1561" s="21">
        <v>0</v>
      </c>
      <c r="M1561" s="17" t="s">
        <v>120</v>
      </c>
      <c r="N1561" s="17" t="s">
        <v>115</v>
      </c>
      <c r="O1561" s="21">
        <v>1.8498997177828518</v>
      </c>
      <c r="P1561" s="21">
        <v>0</v>
      </c>
    </row>
    <row r="1562" spans="1:16" ht="16.5" x14ac:dyDescent="0.25">
      <c r="A1562" s="2"/>
      <c r="B1562" s="4"/>
      <c r="C1562" s="18"/>
      <c r="E1562" s="20">
        <v>44266</v>
      </c>
      <c r="F1562" s="17" t="s">
        <v>90</v>
      </c>
      <c r="G1562" s="21">
        <v>25.928194444444447</v>
      </c>
      <c r="H1562" s="21">
        <v>35.000262479001684</v>
      </c>
      <c r="I1562" s="25">
        <v>0.10920000000000002</v>
      </c>
      <c r="J1562" s="21">
        <v>3.5000262479001685</v>
      </c>
      <c r="K1562" s="21">
        <v>0.31625000000000003</v>
      </c>
      <c r="L1562" s="21">
        <v>0</v>
      </c>
      <c r="M1562" s="17" t="s">
        <v>113</v>
      </c>
      <c r="N1562" s="17" t="s">
        <v>115</v>
      </c>
      <c r="O1562" s="21">
        <v>1.7500131239500842</v>
      </c>
      <c r="P1562" s="21">
        <v>0</v>
      </c>
    </row>
    <row r="1563" spans="1:16" ht="16.5" x14ac:dyDescent="0.25">
      <c r="A1563" s="2"/>
      <c r="B1563" s="4"/>
      <c r="C1563" s="18"/>
      <c r="E1563" s="20">
        <v>44266</v>
      </c>
      <c r="F1563" s="17" t="s">
        <v>102</v>
      </c>
      <c r="G1563" s="21">
        <v>11.828000000000001</v>
      </c>
      <c r="H1563" s="21">
        <v>20.502686774137636</v>
      </c>
      <c r="I1563" s="25">
        <v>0.14380000000000009</v>
      </c>
      <c r="J1563" s="21">
        <v>2.0502686774137637</v>
      </c>
      <c r="K1563" s="21">
        <v>1.5719999999999998</v>
      </c>
      <c r="L1563" s="21">
        <v>1.4351880741896348</v>
      </c>
      <c r="M1563" s="17" t="s">
        <v>120</v>
      </c>
      <c r="N1563" s="17" t="s">
        <v>117</v>
      </c>
      <c r="O1563" s="21">
        <v>1.0251343387068819</v>
      </c>
      <c r="P1563" s="21">
        <v>2.6509973998959961</v>
      </c>
    </row>
    <row r="1564" spans="1:16" ht="16.5" x14ac:dyDescent="0.25">
      <c r="A1564" s="2"/>
      <c r="B1564" s="4"/>
      <c r="C1564" s="18"/>
      <c r="E1564" s="20">
        <v>44266</v>
      </c>
      <c r="F1564" s="17" t="s">
        <v>102</v>
      </c>
      <c r="G1564" s="21">
        <v>11.828000000000001</v>
      </c>
      <c r="H1564" s="21">
        <v>24.50383260824529</v>
      </c>
      <c r="I1564" s="25">
        <v>0.23799999999999999</v>
      </c>
      <c r="J1564" s="21">
        <v>2.4503832608245291</v>
      </c>
      <c r="K1564" s="21">
        <v>1.5719999999999998</v>
      </c>
      <c r="L1564" s="21">
        <v>1.7152682825771703</v>
      </c>
      <c r="M1564" s="17" t="s">
        <v>122</v>
      </c>
      <c r="N1564" s="17" t="s">
        <v>117</v>
      </c>
      <c r="O1564" s="21">
        <v>1.2251916304122645</v>
      </c>
      <c r="P1564" s="21">
        <v>3.1683455562461158</v>
      </c>
    </row>
    <row r="1565" spans="1:16" ht="16.5" x14ac:dyDescent="0.25">
      <c r="A1565" s="2"/>
      <c r="B1565" s="4"/>
      <c r="C1565" s="18"/>
      <c r="E1565" s="20">
        <v>44266</v>
      </c>
      <c r="F1565" s="17" t="s">
        <v>102</v>
      </c>
      <c r="G1565" s="21">
        <v>11.828000000000001</v>
      </c>
      <c r="H1565" s="21">
        <v>22.499524443599011</v>
      </c>
      <c r="I1565" s="25">
        <v>0.19499999999999987</v>
      </c>
      <c r="J1565" s="21">
        <v>2.2499524443599013</v>
      </c>
      <c r="K1565" s="21">
        <v>1.5719999999999998</v>
      </c>
      <c r="L1565" s="21">
        <v>1.574966711051931</v>
      </c>
      <c r="M1565" s="17" t="s">
        <v>121</v>
      </c>
      <c r="N1565" s="17" t="s">
        <v>117</v>
      </c>
      <c r="O1565" s="21">
        <v>1.1249762221799506</v>
      </c>
      <c r="P1565" s="21">
        <v>2.9091885105573523</v>
      </c>
    </row>
    <row r="1566" spans="1:16" ht="16.5" x14ac:dyDescent="0.25">
      <c r="A1566" s="2"/>
      <c r="B1566" s="4"/>
      <c r="C1566" s="18"/>
      <c r="E1566" s="20">
        <v>44266</v>
      </c>
      <c r="F1566" s="17" t="s">
        <v>102</v>
      </c>
      <c r="G1566" s="21">
        <v>11.828000000000001</v>
      </c>
      <c r="H1566" s="21">
        <v>18.903627936710887</v>
      </c>
      <c r="I1566" s="25">
        <v>9.500000000000014E-2</v>
      </c>
      <c r="J1566" s="21">
        <v>1.8903627936710887</v>
      </c>
      <c r="K1566" s="21">
        <v>1.5719999999999998</v>
      </c>
      <c r="L1566" s="21">
        <v>1.3232539555697622</v>
      </c>
      <c r="M1566" s="17" t="s">
        <v>113</v>
      </c>
      <c r="N1566" s="17" t="s">
        <v>117</v>
      </c>
      <c r="O1566" s="21">
        <v>0.94518139683554436</v>
      </c>
      <c r="P1566" s="21">
        <v>2.4442390922167174</v>
      </c>
    </row>
    <row r="1567" spans="1:16" ht="16.5" x14ac:dyDescent="0.25">
      <c r="A1567" s="2"/>
      <c r="B1567" s="4"/>
      <c r="C1567" s="18"/>
      <c r="E1567" s="20">
        <v>44266</v>
      </c>
      <c r="F1567" s="17" t="s">
        <v>96</v>
      </c>
      <c r="G1567" s="21">
        <v>9.9434666666666676</v>
      </c>
      <c r="H1567" s="21">
        <v>13.995026976307765</v>
      </c>
      <c r="I1567" s="25">
        <v>0.13949999999999996</v>
      </c>
      <c r="J1567" s="21">
        <v>1.3995026976307765</v>
      </c>
      <c r="K1567" s="21">
        <v>0.2432</v>
      </c>
      <c r="L1567" s="21">
        <v>0</v>
      </c>
      <c r="M1567" s="17" t="s">
        <v>122</v>
      </c>
      <c r="N1567" s="17" t="s">
        <v>115</v>
      </c>
      <c r="O1567" s="21">
        <v>0.69975134881538825</v>
      </c>
      <c r="P1567" s="21">
        <v>0</v>
      </c>
    </row>
    <row r="1568" spans="1:16" ht="16.5" x14ac:dyDescent="0.25">
      <c r="A1568" s="2"/>
      <c r="B1568" s="4"/>
      <c r="C1568" s="18"/>
      <c r="E1568" s="20">
        <v>44266</v>
      </c>
      <c r="F1568" s="17" t="s">
        <v>96</v>
      </c>
      <c r="G1568" s="21">
        <v>9.9434666666666676</v>
      </c>
      <c r="H1568" s="21">
        <v>13.500973070830508</v>
      </c>
      <c r="I1568" s="25">
        <v>0.11350000000000011</v>
      </c>
      <c r="J1568" s="21">
        <v>1.3500973070830509</v>
      </c>
      <c r="K1568" s="21">
        <v>0.2432</v>
      </c>
      <c r="L1568" s="21">
        <v>0</v>
      </c>
      <c r="M1568" s="17" t="s">
        <v>121</v>
      </c>
      <c r="N1568" s="17" t="s">
        <v>115</v>
      </c>
      <c r="O1568" s="21">
        <v>0.67504865354152543</v>
      </c>
      <c r="P1568" s="21">
        <v>0</v>
      </c>
    </row>
    <row r="1569" spans="1:16" ht="16.5" x14ac:dyDescent="0.25">
      <c r="A1569" s="2"/>
      <c r="B1569" s="4"/>
      <c r="C1569" s="18"/>
      <c r="E1569" s="20">
        <v>44266</v>
      </c>
      <c r="F1569" s="17" t="s">
        <v>96</v>
      </c>
      <c r="G1569" s="21">
        <v>9.9434666666666676</v>
      </c>
      <c r="H1569" s="21">
        <v>12.997995642701525</v>
      </c>
      <c r="I1569" s="25">
        <v>8.4999999999999951E-2</v>
      </c>
      <c r="J1569" s="21">
        <v>1.2997995642701525</v>
      </c>
      <c r="K1569" s="21">
        <v>0.2432</v>
      </c>
      <c r="L1569" s="21">
        <v>0</v>
      </c>
      <c r="M1569" s="17" t="s">
        <v>120</v>
      </c>
      <c r="N1569" s="17" t="s">
        <v>115</v>
      </c>
      <c r="O1569" s="21">
        <v>0.64989978213507626</v>
      </c>
      <c r="P1569" s="21">
        <v>0</v>
      </c>
    </row>
    <row r="1570" spans="1:16" ht="16.5" x14ac:dyDescent="0.25">
      <c r="A1570" s="2"/>
      <c r="B1570" s="4"/>
      <c r="C1570" s="18"/>
      <c r="E1570" s="20">
        <v>44266</v>
      </c>
      <c r="F1570" s="17" t="s">
        <v>96</v>
      </c>
      <c r="G1570" s="21">
        <v>9.9434666666666676</v>
      </c>
      <c r="H1570" s="21">
        <v>12.499643829876389</v>
      </c>
      <c r="I1570" s="25">
        <v>5.4499999999999951E-2</v>
      </c>
      <c r="J1570" s="21">
        <v>1.249964382987639</v>
      </c>
      <c r="K1570" s="21">
        <v>0.2432</v>
      </c>
      <c r="L1570" s="21">
        <v>0</v>
      </c>
      <c r="M1570" s="17" t="s">
        <v>113</v>
      </c>
      <c r="N1570" s="17" t="s">
        <v>115</v>
      </c>
      <c r="O1570" s="21">
        <v>0.62498219149381951</v>
      </c>
      <c r="P1570" s="21">
        <v>0</v>
      </c>
    </row>
    <row r="1571" spans="1:16" ht="16.5" x14ac:dyDescent="0.25">
      <c r="A1571" s="2"/>
      <c r="B1571" s="4"/>
      <c r="C1571" s="18"/>
      <c r="E1571" s="20">
        <v>44266</v>
      </c>
      <c r="F1571" s="17" t="s">
        <v>95</v>
      </c>
      <c r="G1571" s="21">
        <v>5.1217333333333332</v>
      </c>
      <c r="H1571" s="21">
        <v>7.2959164292497629</v>
      </c>
      <c r="I1571" s="25">
        <v>0.14800000000000002</v>
      </c>
      <c r="J1571" s="21">
        <v>0.72959164292497636</v>
      </c>
      <c r="K1571" s="21">
        <v>0.1216</v>
      </c>
      <c r="L1571" s="21">
        <v>0</v>
      </c>
      <c r="M1571" s="17" t="s">
        <v>122</v>
      </c>
      <c r="N1571" s="17" t="s">
        <v>115</v>
      </c>
      <c r="O1571" s="21">
        <v>0.36479582146248818</v>
      </c>
      <c r="P1571" s="21">
        <v>0</v>
      </c>
    </row>
    <row r="1572" spans="1:16" ht="16.5" x14ac:dyDescent="0.25">
      <c r="A1572" s="2"/>
      <c r="B1572" s="4"/>
      <c r="C1572" s="18"/>
      <c r="E1572" s="20">
        <v>44266</v>
      </c>
      <c r="F1572" s="17" t="s">
        <v>95</v>
      </c>
      <c r="G1572" s="21">
        <v>5.1217333333333332</v>
      </c>
      <c r="H1572" s="21">
        <v>6.902605570530099</v>
      </c>
      <c r="I1572" s="25">
        <v>0.10800000000000004</v>
      </c>
      <c r="J1572" s="21">
        <v>0.69026055705300993</v>
      </c>
      <c r="K1572" s="21">
        <v>0.1216</v>
      </c>
      <c r="L1572" s="21">
        <v>0</v>
      </c>
      <c r="M1572" s="17" t="s">
        <v>121</v>
      </c>
      <c r="N1572" s="17" t="s">
        <v>115</v>
      </c>
      <c r="O1572" s="21">
        <v>0.34513027852650496</v>
      </c>
      <c r="P1572" s="21">
        <v>0</v>
      </c>
    </row>
    <row r="1573" spans="1:16" ht="16.5" x14ac:dyDescent="0.25">
      <c r="A1573" s="2"/>
      <c r="B1573" s="4"/>
      <c r="C1573" s="18"/>
      <c r="E1573" s="20">
        <v>44266</v>
      </c>
      <c r="F1573" s="17" t="s">
        <v>95</v>
      </c>
      <c r="G1573" s="21">
        <v>5.1217333333333332</v>
      </c>
      <c r="H1573" s="21">
        <v>6.695076252723311</v>
      </c>
      <c r="I1573" s="25">
        <v>8.4999999999999951E-2</v>
      </c>
      <c r="J1573" s="21">
        <v>0.6695076252723311</v>
      </c>
      <c r="K1573" s="21">
        <v>0.1216</v>
      </c>
      <c r="L1573" s="21">
        <v>0</v>
      </c>
      <c r="M1573" s="17" t="s">
        <v>120</v>
      </c>
      <c r="N1573" s="17" t="s">
        <v>115</v>
      </c>
      <c r="O1573" s="21">
        <v>0.33475381263616555</v>
      </c>
      <c r="P1573" s="21">
        <v>0</v>
      </c>
    </row>
    <row r="1574" spans="1:16" ht="16.5" x14ac:dyDescent="0.25">
      <c r="A1574" s="2"/>
      <c r="B1574" s="4"/>
      <c r="C1574" s="18"/>
      <c r="E1574" s="20">
        <v>44266</v>
      </c>
      <c r="F1574" s="17" t="s">
        <v>95</v>
      </c>
      <c r="G1574" s="21">
        <v>5.1217333333333332</v>
      </c>
      <c r="H1574" s="21">
        <v>6.5037883597883601</v>
      </c>
      <c r="I1574" s="25">
        <v>6.2500000000000028E-2</v>
      </c>
      <c r="J1574" s="21">
        <v>0.65037883597883606</v>
      </c>
      <c r="K1574" s="21">
        <v>0.1216</v>
      </c>
      <c r="L1574" s="21">
        <v>0</v>
      </c>
      <c r="M1574" s="17" t="s">
        <v>113</v>
      </c>
      <c r="N1574" s="17" t="s">
        <v>115</v>
      </c>
      <c r="O1574" s="21">
        <v>0.32518941798941803</v>
      </c>
      <c r="P1574" s="21">
        <v>0</v>
      </c>
    </row>
    <row r="1575" spans="1:16" ht="16.5" x14ac:dyDescent="0.25">
      <c r="A1575" s="2"/>
      <c r="B1575" s="4"/>
      <c r="C1575" s="18"/>
      <c r="E1575" s="20">
        <v>44266</v>
      </c>
      <c r="F1575" s="17" t="s">
        <v>96</v>
      </c>
      <c r="G1575" s="21">
        <v>10.186666666666667</v>
      </c>
      <c r="H1575" s="21">
        <v>16.004189578423674</v>
      </c>
      <c r="I1575" s="25">
        <v>0.1585</v>
      </c>
      <c r="J1575" s="21">
        <v>1.6004189578423675</v>
      </c>
      <c r="K1575" s="21">
        <v>0.2432</v>
      </c>
      <c r="L1575" s="21">
        <v>0.8802304268133021</v>
      </c>
      <c r="M1575" s="17" t="s">
        <v>122</v>
      </c>
      <c r="N1575" s="17" t="s">
        <v>116</v>
      </c>
      <c r="O1575" s="21">
        <v>0.80020947892118377</v>
      </c>
      <c r="P1575" s="21">
        <v>0.8802304268133021</v>
      </c>
    </row>
    <row r="1576" spans="1:16" ht="16.5" x14ac:dyDescent="0.25">
      <c r="A1576" s="2"/>
      <c r="B1576" s="4"/>
      <c r="C1576" s="18"/>
      <c r="E1576" s="20">
        <v>44266</v>
      </c>
      <c r="F1576" s="17" t="s">
        <v>96</v>
      </c>
      <c r="G1576" s="21">
        <v>10.186666666666667</v>
      </c>
      <c r="H1576" s="21">
        <v>15.504819888381533</v>
      </c>
      <c r="I1576" s="25">
        <v>0.13799999999999996</v>
      </c>
      <c r="J1576" s="21">
        <v>1.5504819888381534</v>
      </c>
      <c r="K1576" s="21">
        <v>0.2432</v>
      </c>
      <c r="L1576" s="21">
        <v>0.85276509386098431</v>
      </c>
      <c r="M1576" s="17" t="s">
        <v>121</v>
      </c>
      <c r="N1576" s="17" t="s">
        <v>116</v>
      </c>
      <c r="O1576" s="21">
        <v>0.77524099441907668</v>
      </c>
      <c r="P1576" s="21">
        <v>0.85276509386098431</v>
      </c>
    </row>
    <row r="1577" spans="1:16" ht="16.5" x14ac:dyDescent="0.25">
      <c r="A1577" s="2"/>
      <c r="B1577" s="4"/>
      <c r="C1577" s="18"/>
      <c r="E1577" s="20">
        <v>44266</v>
      </c>
      <c r="F1577" s="17" t="s">
        <v>96</v>
      </c>
      <c r="G1577" s="21">
        <v>10.186666666666667</v>
      </c>
      <c r="H1577" s="21">
        <v>14.500593119810203</v>
      </c>
      <c r="I1577" s="25">
        <v>9.2500000000000054E-2</v>
      </c>
      <c r="J1577" s="21">
        <v>1.4500593119810203</v>
      </c>
      <c r="K1577" s="21">
        <v>0.2432</v>
      </c>
      <c r="L1577" s="21">
        <v>0.79753262158956117</v>
      </c>
      <c r="M1577" s="17" t="s">
        <v>120</v>
      </c>
      <c r="N1577" s="17" t="s">
        <v>116</v>
      </c>
      <c r="O1577" s="21">
        <v>0.72502965599051017</v>
      </c>
      <c r="P1577" s="21">
        <v>0.79753262158956117</v>
      </c>
    </row>
    <row r="1578" spans="1:16" ht="16.5" x14ac:dyDescent="0.25">
      <c r="A1578" s="2"/>
      <c r="B1578" s="4"/>
      <c r="C1578" s="18"/>
      <c r="E1578" s="20">
        <v>44266</v>
      </c>
      <c r="F1578" s="17" t="s">
        <v>96</v>
      </c>
      <c r="G1578" s="21">
        <v>10.186666666666667</v>
      </c>
      <c r="H1578" s="21">
        <v>14.002290950744559</v>
      </c>
      <c r="I1578" s="25">
        <v>6.7499999999999921E-2</v>
      </c>
      <c r="J1578" s="21">
        <v>1.400229095074456</v>
      </c>
      <c r="K1578" s="21">
        <v>0.2432</v>
      </c>
      <c r="L1578" s="21">
        <v>0.77012600229095074</v>
      </c>
      <c r="M1578" s="17" t="s">
        <v>113</v>
      </c>
      <c r="N1578" s="17" t="s">
        <v>116</v>
      </c>
      <c r="O1578" s="21">
        <v>0.70011454753722802</v>
      </c>
      <c r="P1578" s="21">
        <v>0.77012600229095074</v>
      </c>
    </row>
    <row r="1579" spans="1:16" ht="16.5" x14ac:dyDescent="0.25">
      <c r="A1579" s="2"/>
      <c r="B1579" s="4"/>
      <c r="C1579" s="18"/>
      <c r="E1579" s="20">
        <v>44266</v>
      </c>
      <c r="F1579" s="17" t="s">
        <v>95</v>
      </c>
      <c r="G1579" s="21">
        <v>5.2433333333333332</v>
      </c>
      <c r="H1579" s="21">
        <v>8.4981091301998912</v>
      </c>
      <c r="I1579" s="25">
        <v>0.17799999999999996</v>
      </c>
      <c r="J1579" s="21">
        <v>0.84981091301998912</v>
      </c>
      <c r="K1579" s="21">
        <v>0.1216</v>
      </c>
      <c r="L1579" s="21">
        <v>0.46739600216099403</v>
      </c>
      <c r="M1579" s="17" t="s">
        <v>122</v>
      </c>
      <c r="N1579" s="17" t="s">
        <v>116</v>
      </c>
      <c r="O1579" s="21">
        <v>0.42490545650999456</v>
      </c>
      <c r="P1579" s="21">
        <v>0.46739600216099403</v>
      </c>
    </row>
    <row r="1580" spans="1:16" ht="16.5" x14ac:dyDescent="0.25">
      <c r="A1580" s="2"/>
      <c r="B1580" s="4"/>
      <c r="C1580" s="18"/>
      <c r="E1580" s="20">
        <v>44266</v>
      </c>
      <c r="F1580" s="17" t="s">
        <v>95</v>
      </c>
      <c r="G1580" s="21">
        <v>5.2433333333333332</v>
      </c>
      <c r="H1580" s="21">
        <v>7.8965863453815253</v>
      </c>
      <c r="I1580" s="25">
        <v>0.13099999999999992</v>
      </c>
      <c r="J1580" s="21">
        <v>0.78965863453815255</v>
      </c>
      <c r="K1580" s="21">
        <v>0.1216</v>
      </c>
      <c r="L1580" s="21">
        <v>0.43431224899598392</v>
      </c>
      <c r="M1580" s="17" t="s">
        <v>121</v>
      </c>
      <c r="N1580" s="17" t="s">
        <v>116</v>
      </c>
      <c r="O1580" s="21">
        <v>0.39482931726907627</v>
      </c>
      <c r="P1580" s="21">
        <v>0.43431224899598392</v>
      </c>
    </row>
    <row r="1581" spans="1:16" ht="16.5" x14ac:dyDescent="0.25">
      <c r="A1581" s="2"/>
      <c r="B1581" s="4"/>
      <c r="C1581" s="18"/>
      <c r="E1581" s="20">
        <v>44266</v>
      </c>
      <c r="F1581" s="17" t="s">
        <v>95</v>
      </c>
      <c r="G1581" s="21">
        <v>5.2433333333333332</v>
      </c>
      <c r="H1581" s="21">
        <v>7.5011921793037679</v>
      </c>
      <c r="I1581" s="25">
        <v>9.6000000000000113E-2</v>
      </c>
      <c r="J1581" s="21">
        <v>0.75011921793037684</v>
      </c>
      <c r="K1581" s="21">
        <v>0.1216</v>
      </c>
      <c r="L1581" s="21">
        <v>0.41256556986170723</v>
      </c>
      <c r="M1581" s="17" t="s">
        <v>120</v>
      </c>
      <c r="N1581" s="17" t="s">
        <v>116</v>
      </c>
      <c r="O1581" s="21">
        <v>0.37505960896518842</v>
      </c>
      <c r="P1581" s="21">
        <v>0.41256556986170723</v>
      </c>
    </row>
    <row r="1582" spans="1:16" ht="16.5" x14ac:dyDescent="0.25">
      <c r="A1582" s="2"/>
      <c r="B1582" s="4"/>
      <c r="C1582" s="18"/>
      <c r="E1582" s="20">
        <v>44266</v>
      </c>
      <c r="F1582" s="17" t="s">
        <v>95</v>
      </c>
      <c r="G1582" s="21">
        <v>5.2433333333333332</v>
      </c>
      <c r="H1582" s="21">
        <v>7.2976107631639984</v>
      </c>
      <c r="I1582" s="25">
        <v>7.6499999999999971E-2</v>
      </c>
      <c r="J1582" s="21">
        <v>0.72976107631639986</v>
      </c>
      <c r="K1582" s="21">
        <v>0.1216</v>
      </c>
      <c r="L1582" s="21">
        <v>0.40136859197401992</v>
      </c>
      <c r="M1582" s="17" t="s">
        <v>113</v>
      </c>
      <c r="N1582" s="17" t="s">
        <v>116</v>
      </c>
      <c r="O1582" s="21">
        <v>0.36488053815819993</v>
      </c>
      <c r="P1582" s="21">
        <v>0.40136859197401992</v>
      </c>
    </row>
    <row r="1583" spans="1:16" ht="16.5" x14ac:dyDescent="0.25">
      <c r="A1583" s="2"/>
      <c r="B1583" s="4"/>
      <c r="C1583" s="18"/>
      <c r="E1583" s="20">
        <v>44266</v>
      </c>
      <c r="F1583" s="17" t="s">
        <v>94</v>
      </c>
      <c r="G1583" s="21">
        <v>2.7966666666666664</v>
      </c>
      <c r="H1583" s="21">
        <v>4.5997807017543852</v>
      </c>
      <c r="I1583" s="25">
        <v>0.18699999999999994</v>
      </c>
      <c r="J1583" s="21">
        <v>0.45997807017543857</v>
      </c>
      <c r="K1583" s="21">
        <v>6.1440000000000002E-2</v>
      </c>
      <c r="L1583" s="21">
        <v>0.25298793859649121</v>
      </c>
      <c r="M1583" s="17" t="s">
        <v>122</v>
      </c>
      <c r="N1583" s="17" t="s">
        <v>116</v>
      </c>
      <c r="O1583" s="21">
        <v>0.22998903508771928</v>
      </c>
      <c r="P1583" s="21">
        <v>0.25298793859649121</v>
      </c>
    </row>
    <row r="1584" spans="1:16" ht="16.5" x14ac:dyDescent="0.25">
      <c r="A1584" s="2"/>
      <c r="B1584" s="4"/>
      <c r="C1584" s="18"/>
      <c r="E1584" s="20">
        <v>44266</v>
      </c>
      <c r="F1584" s="17" t="s">
        <v>94</v>
      </c>
      <c r="G1584" s="21">
        <v>2.7966666666666664</v>
      </c>
      <c r="H1584" s="21">
        <v>4.4041994750656164</v>
      </c>
      <c r="I1584" s="25">
        <v>0.16000000000000003</v>
      </c>
      <c r="J1584" s="21">
        <v>0.44041994750656166</v>
      </c>
      <c r="K1584" s="21">
        <v>6.1440000000000002E-2</v>
      </c>
      <c r="L1584" s="21">
        <v>0.24223097112860889</v>
      </c>
      <c r="M1584" s="17" t="s">
        <v>121</v>
      </c>
      <c r="N1584" s="17" t="s">
        <v>116</v>
      </c>
      <c r="O1584" s="21">
        <v>0.22020997375328083</v>
      </c>
      <c r="P1584" s="21">
        <v>0.24223097112860889</v>
      </c>
    </row>
    <row r="1585" spans="1:16" ht="16.5" x14ac:dyDescent="0.25">
      <c r="A1585" s="2"/>
      <c r="B1585" s="4"/>
      <c r="C1585" s="18"/>
      <c r="E1585" s="20">
        <v>44266</v>
      </c>
      <c r="F1585" s="17" t="s">
        <v>94</v>
      </c>
      <c r="G1585" s="21">
        <v>2.7966666666666664</v>
      </c>
      <c r="H1585" s="21">
        <v>4.503488996242619</v>
      </c>
      <c r="I1585" s="25">
        <v>0.17399999999999999</v>
      </c>
      <c r="J1585" s="21">
        <v>0.45034889962426194</v>
      </c>
      <c r="K1585" s="21">
        <v>6.1440000000000002E-2</v>
      </c>
      <c r="L1585" s="21">
        <v>0.24769189479334405</v>
      </c>
      <c r="M1585" s="17" t="s">
        <v>121</v>
      </c>
      <c r="N1585" s="17" t="s">
        <v>116</v>
      </c>
      <c r="O1585" s="21">
        <v>0.22517444981213097</v>
      </c>
      <c r="P1585" s="21">
        <v>0.24769189479334405</v>
      </c>
    </row>
    <row r="1586" spans="1:16" ht="16.5" x14ac:dyDescent="0.25">
      <c r="A1586" s="2"/>
      <c r="B1586" s="4"/>
      <c r="C1586" s="18"/>
      <c r="E1586" s="20">
        <v>44266</v>
      </c>
      <c r="F1586" s="17" t="s">
        <v>94</v>
      </c>
      <c r="G1586" s="21">
        <v>2.7966666666666664</v>
      </c>
      <c r="H1586" s="21">
        <v>4.1991991991991986</v>
      </c>
      <c r="I1586" s="25">
        <v>0.12899999999999992</v>
      </c>
      <c r="J1586" s="21">
        <v>0.41991991991991989</v>
      </c>
      <c r="K1586" s="21">
        <v>6.1440000000000002E-2</v>
      </c>
      <c r="L1586" s="21">
        <v>0.23095595595595592</v>
      </c>
      <c r="M1586" s="17" t="s">
        <v>120</v>
      </c>
      <c r="N1586" s="17" t="s">
        <v>116</v>
      </c>
      <c r="O1586" s="21">
        <v>0.20995995995995995</v>
      </c>
      <c r="P1586" s="21">
        <v>0.23095595595595592</v>
      </c>
    </row>
    <row r="1587" spans="1:16" ht="16.5" x14ac:dyDescent="0.25">
      <c r="A1587" s="2"/>
      <c r="B1587" s="4"/>
      <c r="C1587" s="18"/>
      <c r="E1587" s="20">
        <v>44266</v>
      </c>
      <c r="F1587" s="17" t="s">
        <v>94</v>
      </c>
      <c r="G1587" s="21">
        <v>2.7966666666666664</v>
      </c>
      <c r="H1587" s="21">
        <v>3.9952380952380953</v>
      </c>
      <c r="I1587" s="25">
        <v>9.5000000000000057E-2</v>
      </c>
      <c r="J1587" s="21">
        <v>0.39952380952380956</v>
      </c>
      <c r="K1587" s="21">
        <v>6.1440000000000002E-2</v>
      </c>
      <c r="L1587" s="21">
        <v>0.21973809523809523</v>
      </c>
      <c r="M1587" s="17" t="s">
        <v>113</v>
      </c>
      <c r="N1587" s="17" t="s">
        <v>116</v>
      </c>
      <c r="O1587" s="21">
        <v>0.19976190476190478</v>
      </c>
      <c r="P1587" s="21">
        <v>0.21973809523809523</v>
      </c>
    </row>
    <row r="1588" spans="1:16" ht="16.5" x14ac:dyDescent="0.25">
      <c r="A1588" s="2"/>
      <c r="B1588" s="4"/>
      <c r="C1588" s="18"/>
      <c r="E1588" s="20">
        <v>44266</v>
      </c>
      <c r="F1588" s="17" t="s">
        <v>94</v>
      </c>
      <c r="G1588" s="21">
        <v>2.7352266666666663</v>
      </c>
      <c r="H1588" s="21">
        <v>4.1951329243353772</v>
      </c>
      <c r="I1588" s="25">
        <v>0.19799999999999993</v>
      </c>
      <c r="J1588" s="21">
        <v>0.41951329243353774</v>
      </c>
      <c r="K1588" s="21">
        <v>6.1440000000000002E-2</v>
      </c>
      <c r="L1588" s="21">
        <v>0</v>
      </c>
      <c r="M1588" s="17" t="s">
        <v>122</v>
      </c>
      <c r="N1588" s="17" t="s">
        <v>115</v>
      </c>
      <c r="O1588" s="21">
        <v>0.20975664621676887</v>
      </c>
      <c r="P1588" s="21">
        <v>0</v>
      </c>
    </row>
    <row r="1589" spans="1:16" ht="16.5" x14ac:dyDescent="0.25">
      <c r="A1589" s="2"/>
      <c r="B1589" s="4"/>
      <c r="C1589" s="18"/>
      <c r="E1589" s="20">
        <v>44266</v>
      </c>
      <c r="F1589" s="17" t="s">
        <v>94</v>
      </c>
      <c r="G1589" s="21">
        <v>2.7352266666666663</v>
      </c>
      <c r="H1589" s="21">
        <v>4.0047242557345042</v>
      </c>
      <c r="I1589" s="25">
        <v>0.16700000000000004</v>
      </c>
      <c r="J1589" s="21">
        <v>0.40047242557345042</v>
      </c>
      <c r="K1589" s="21">
        <v>6.1440000000000002E-2</v>
      </c>
      <c r="L1589" s="21">
        <v>0</v>
      </c>
      <c r="M1589" s="17" t="s">
        <v>121</v>
      </c>
      <c r="N1589" s="17" t="s">
        <v>115</v>
      </c>
      <c r="O1589" s="21">
        <v>0.20023621278672521</v>
      </c>
      <c r="P1589" s="21">
        <v>0</v>
      </c>
    </row>
    <row r="1590" spans="1:16" ht="16.5" x14ac:dyDescent="0.25">
      <c r="A1590" s="2"/>
      <c r="B1590" s="4"/>
      <c r="C1590" s="18"/>
      <c r="E1590" s="20">
        <v>44266</v>
      </c>
      <c r="F1590" s="17" t="s">
        <v>94</v>
      </c>
      <c r="G1590" s="21">
        <v>2.7352266666666663</v>
      </c>
      <c r="H1590" s="21">
        <v>3.796289613694193</v>
      </c>
      <c r="I1590" s="25">
        <v>0.12949999999999995</v>
      </c>
      <c r="J1590" s="21">
        <v>0.37962896136941932</v>
      </c>
      <c r="K1590" s="21">
        <v>6.1440000000000002E-2</v>
      </c>
      <c r="L1590" s="21">
        <v>0</v>
      </c>
      <c r="M1590" s="17" t="s">
        <v>120</v>
      </c>
      <c r="N1590" s="17" t="s">
        <v>115</v>
      </c>
      <c r="O1590" s="21">
        <v>0.18981448068470966</v>
      </c>
      <c r="P1590" s="21">
        <v>0</v>
      </c>
    </row>
    <row r="1591" spans="1:16" ht="16.5" x14ac:dyDescent="0.25">
      <c r="A1591" s="2"/>
      <c r="B1591" s="4"/>
      <c r="C1591" s="18"/>
      <c r="E1591" s="20">
        <v>44266</v>
      </c>
      <c r="F1591" s="17" t="s">
        <v>94</v>
      </c>
      <c r="G1591" s="21">
        <v>2.7352266666666663</v>
      </c>
      <c r="H1591" s="21">
        <v>3.7012539467749206</v>
      </c>
      <c r="I1591" s="25">
        <v>0.11100000000000002</v>
      </c>
      <c r="J1591" s="21">
        <v>0.37012539467749206</v>
      </c>
      <c r="K1591" s="21">
        <v>6.1440000000000002E-2</v>
      </c>
      <c r="L1591" s="21">
        <v>0</v>
      </c>
      <c r="M1591" s="17" t="s">
        <v>113</v>
      </c>
      <c r="N1591" s="17" t="s">
        <v>115</v>
      </c>
      <c r="O1591" s="21">
        <v>0.18506269733874603</v>
      </c>
      <c r="P1591" s="21">
        <v>0</v>
      </c>
    </row>
    <row r="1592" spans="1:16" ht="16.5" x14ac:dyDescent="0.25">
      <c r="A1592" s="2"/>
      <c r="B1592" s="4"/>
      <c r="C1592" s="18"/>
      <c r="E1592" s="20">
        <v>44266</v>
      </c>
      <c r="F1592" s="17" t="s">
        <v>96</v>
      </c>
      <c r="G1592" s="21">
        <v>9.9434666666666676</v>
      </c>
      <c r="H1592" s="21">
        <v>17.499941335210607</v>
      </c>
      <c r="I1592" s="25">
        <v>0.13899999999999996</v>
      </c>
      <c r="J1592" s="21">
        <v>1.7499941335210609</v>
      </c>
      <c r="K1592" s="21">
        <v>0.2432</v>
      </c>
      <c r="L1592" s="21">
        <v>2.0999929602252729</v>
      </c>
      <c r="M1592" s="17" t="s">
        <v>122</v>
      </c>
      <c r="N1592" s="17" t="s">
        <v>117</v>
      </c>
      <c r="O1592" s="21">
        <v>0.87499706676053046</v>
      </c>
      <c r="P1592" s="21">
        <v>2.4989916226680751</v>
      </c>
    </row>
    <row r="1593" spans="1:16" ht="16.5" x14ac:dyDescent="0.25">
      <c r="A1593" s="2"/>
      <c r="B1593" s="4"/>
      <c r="C1593" s="18"/>
      <c r="E1593" s="20">
        <v>44266</v>
      </c>
      <c r="F1593" s="17" t="s">
        <v>96</v>
      </c>
      <c r="G1593" s="21">
        <v>9.9434666666666676</v>
      </c>
      <c r="H1593" s="21">
        <v>17.000284948994132</v>
      </c>
      <c r="I1593" s="25">
        <v>0.12229999999999995</v>
      </c>
      <c r="J1593" s="21">
        <v>1.7000284948994133</v>
      </c>
      <c r="K1593" s="21">
        <v>0.2432</v>
      </c>
      <c r="L1593" s="21">
        <v>2.0400341938792956</v>
      </c>
      <c r="M1593" s="17" t="s">
        <v>121</v>
      </c>
      <c r="N1593" s="17" t="s">
        <v>117</v>
      </c>
      <c r="O1593" s="21">
        <v>0.85001424744970666</v>
      </c>
      <c r="P1593" s="21">
        <v>2.4276406907163621</v>
      </c>
    </row>
    <row r="1594" spans="1:16" ht="16.5" x14ac:dyDescent="0.25">
      <c r="A1594" s="2"/>
      <c r="B1594" s="4"/>
      <c r="C1594" s="18"/>
      <c r="E1594" s="20">
        <v>44266</v>
      </c>
      <c r="F1594" s="17" t="s">
        <v>96</v>
      </c>
      <c r="G1594" s="21">
        <v>9.9434666666666676</v>
      </c>
      <c r="H1594" s="21">
        <v>16.498202533045738</v>
      </c>
      <c r="I1594" s="25">
        <v>0.10449999999999988</v>
      </c>
      <c r="J1594" s="21">
        <v>1.6498202533045738</v>
      </c>
      <c r="K1594" s="21">
        <v>0.2432</v>
      </c>
      <c r="L1594" s="21">
        <v>1.9797843039654885</v>
      </c>
      <c r="M1594" s="17" t="s">
        <v>120</v>
      </c>
      <c r="N1594" s="17" t="s">
        <v>117</v>
      </c>
      <c r="O1594" s="21">
        <v>0.82491012665228691</v>
      </c>
      <c r="P1594" s="21">
        <v>2.3559433217189314</v>
      </c>
    </row>
    <row r="1595" spans="1:16" ht="16.5" x14ac:dyDescent="0.25">
      <c r="A1595" s="2"/>
      <c r="B1595" s="4"/>
      <c r="C1595" s="18"/>
      <c r="E1595" s="20">
        <v>44266</v>
      </c>
      <c r="F1595" s="17" t="s">
        <v>96</v>
      </c>
      <c r="G1595" s="21">
        <v>9.9434666666666676</v>
      </c>
      <c r="H1595" s="21">
        <v>16.004292075755139</v>
      </c>
      <c r="I1595" s="25">
        <v>8.5899999999999949E-2</v>
      </c>
      <c r="J1595" s="21">
        <v>1.600429207575514</v>
      </c>
      <c r="K1595" s="21">
        <v>0.2432</v>
      </c>
      <c r="L1595" s="21">
        <v>1.9205150490906167</v>
      </c>
      <c r="M1595" s="17" t="s">
        <v>113</v>
      </c>
      <c r="N1595" s="17" t="s">
        <v>117</v>
      </c>
      <c r="O1595" s="21">
        <v>0.800214603787757</v>
      </c>
      <c r="P1595" s="21">
        <v>2.2854129084178338</v>
      </c>
    </row>
    <row r="1596" spans="1:16" ht="16.5" x14ac:dyDescent="0.25">
      <c r="A1596" s="2"/>
      <c r="B1596" s="4"/>
      <c r="C1596" s="18"/>
      <c r="E1596" s="20">
        <v>44266</v>
      </c>
      <c r="F1596" s="17" t="s">
        <v>95</v>
      </c>
      <c r="G1596" s="21">
        <v>5.1217333333333332</v>
      </c>
      <c r="H1596" s="21">
        <v>8.9981260248301727</v>
      </c>
      <c r="I1596" s="25">
        <v>0.13800000000000012</v>
      </c>
      <c r="J1596" s="21">
        <v>0.89981260248301731</v>
      </c>
      <c r="K1596" s="21">
        <v>0.1216</v>
      </c>
      <c r="L1596" s="21">
        <v>1.0797751229796206</v>
      </c>
      <c r="M1596" s="17" t="s">
        <v>122</v>
      </c>
      <c r="N1596" s="17" t="s">
        <v>117</v>
      </c>
      <c r="O1596" s="21">
        <v>0.44990630124150865</v>
      </c>
      <c r="P1596" s="21">
        <v>1.2849323963457489</v>
      </c>
    </row>
    <row r="1597" spans="1:16" ht="16.5" x14ac:dyDescent="0.25">
      <c r="A1597" s="2"/>
      <c r="B1597" s="4"/>
      <c r="C1597" s="18"/>
      <c r="E1597" s="20">
        <v>44266</v>
      </c>
      <c r="F1597" s="17" t="s">
        <v>95</v>
      </c>
      <c r="G1597" s="21">
        <v>5.1217333333333332</v>
      </c>
      <c r="H1597" s="21">
        <v>8.7000736085159396</v>
      </c>
      <c r="I1597" s="25">
        <v>0.11849999999999994</v>
      </c>
      <c r="J1597" s="21">
        <v>0.87000736085159402</v>
      </c>
      <c r="K1597" s="21">
        <v>0.1216</v>
      </c>
      <c r="L1597" s="21">
        <v>1.0440088330219126</v>
      </c>
      <c r="M1597" s="17" t="s">
        <v>121</v>
      </c>
      <c r="N1597" s="17" t="s">
        <v>117</v>
      </c>
      <c r="O1597" s="21">
        <v>0.43500368042579701</v>
      </c>
      <c r="P1597" s="21">
        <v>1.2423705112960763</v>
      </c>
    </row>
    <row r="1598" spans="1:16" ht="16.5" x14ac:dyDescent="0.25">
      <c r="A1598" s="2"/>
      <c r="B1598" s="4"/>
      <c r="C1598" s="18"/>
      <c r="E1598" s="20">
        <v>44266</v>
      </c>
      <c r="F1598" s="17" t="s">
        <v>95</v>
      </c>
      <c r="G1598" s="21">
        <v>5.1217333333333332</v>
      </c>
      <c r="H1598" s="21">
        <v>8.4979813063436751</v>
      </c>
      <c r="I1598" s="25">
        <v>0.10449999999999997</v>
      </c>
      <c r="J1598" s="21">
        <v>0.8497981306343676</v>
      </c>
      <c r="K1598" s="21">
        <v>0.1216</v>
      </c>
      <c r="L1598" s="21">
        <v>1.019757756761241</v>
      </c>
      <c r="M1598" s="17" t="s">
        <v>120</v>
      </c>
      <c r="N1598" s="17" t="s">
        <v>117</v>
      </c>
      <c r="O1598" s="21">
        <v>0.4248990653171838</v>
      </c>
      <c r="P1598" s="21">
        <v>1.2135117305458769</v>
      </c>
    </row>
    <row r="1599" spans="1:16" ht="16.5" x14ac:dyDescent="0.25">
      <c r="A1599" s="2"/>
      <c r="B1599" s="4"/>
      <c r="C1599" s="18"/>
      <c r="E1599" s="20">
        <v>44266</v>
      </c>
      <c r="F1599" s="17" t="s">
        <v>95</v>
      </c>
      <c r="G1599" s="21">
        <v>5.1217333333333332</v>
      </c>
      <c r="H1599" s="21">
        <v>8.1987087135158205</v>
      </c>
      <c r="I1599" s="25">
        <v>8.2500000000000032E-2</v>
      </c>
      <c r="J1599" s="21">
        <v>0.8198708713515821</v>
      </c>
      <c r="K1599" s="21">
        <v>0.1216</v>
      </c>
      <c r="L1599" s="21">
        <v>0.98384504562189845</v>
      </c>
      <c r="M1599" s="17" t="s">
        <v>113</v>
      </c>
      <c r="N1599" s="17" t="s">
        <v>117</v>
      </c>
      <c r="O1599" s="21">
        <v>0.40993543567579105</v>
      </c>
      <c r="P1599" s="21">
        <v>1.1707756042900592</v>
      </c>
    </row>
    <row r="1600" spans="1:16" ht="16.5" x14ac:dyDescent="0.25">
      <c r="A1600" s="2"/>
      <c r="B1600" s="4"/>
      <c r="C1600" s="18"/>
      <c r="E1600" s="20">
        <v>44266</v>
      </c>
      <c r="F1600" s="17" t="s">
        <v>94</v>
      </c>
      <c r="G1600" s="21">
        <v>2.7352266666666663</v>
      </c>
      <c r="H1600" s="21">
        <v>4.9976734271271068</v>
      </c>
      <c r="I1600" s="25">
        <v>0.15989999999999979</v>
      </c>
      <c r="J1600" s="21">
        <v>0.49976734271271073</v>
      </c>
      <c r="K1600" s="21">
        <v>6.1440000000000002E-2</v>
      </c>
      <c r="L1600" s="21">
        <v>0.59972081125525278</v>
      </c>
      <c r="M1600" s="17" t="s">
        <v>122</v>
      </c>
      <c r="N1600" s="17" t="s">
        <v>117</v>
      </c>
      <c r="O1600" s="21">
        <v>0.24988367135635536</v>
      </c>
      <c r="P1600" s="21">
        <v>0.71366776539375087</v>
      </c>
    </row>
    <row r="1601" spans="1:16" ht="16.5" x14ac:dyDescent="0.25">
      <c r="A1601" s="2"/>
      <c r="B1601" s="4"/>
      <c r="C1601" s="18"/>
      <c r="E1601" s="20">
        <v>44266</v>
      </c>
      <c r="F1601" s="17" t="s">
        <v>94</v>
      </c>
      <c r="G1601" s="21">
        <v>2.7352266666666663</v>
      </c>
      <c r="H1601" s="21">
        <v>4.9000836020542211</v>
      </c>
      <c r="I1601" s="25">
        <v>0.14900000000000002</v>
      </c>
      <c r="J1601" s="21">
        <v>0.49000836020542216</v>
      </c>
      <c r="K1601" s="21">
        <v>6.1440000000000002E-2</v>
      </c>
      <c r="L1601" s="21">
        <v>0.5880100322465065</v>
      </c>
      <c r="M1601" s="17" t="s">
        <v>121</v>
      </c>
      <c r="N1601" s="17" t="s">
        <v>117</v>
      </c>
      <c r="O1601" s="21">
        <v>0.24500418010271108</v>
      </c>
      <c r="P1601" s="21">
        <v>0.6997319383733428</v>
      </c>
    </row>
    <row r="1602" spans="1:16" ht="16.5" x14ac:dyDescent="0.25">
      <c r="A1602" s="2"/>
      <c r="B1602" s="4"/>
      <c r="C1602" s="18"/>
      <c r="E1602" s="20">
        <v>44266</v>
      </c>
      <c r="F1602" s="17" t="s">
        <v>94</v>
      </c>
      <c r="G1602" s="21">
        <v>2.7352266666666663</v>
      </c>
      <c r="H1602" s="21">
        <v>4.698087713271498</v>
      </c>
      <c r="I1602" s="25">
        <v>0.12500000000000003</v>
      </c>
      <c r="J1602" s="21">
        <v>0.46980877132714982</v>
      </c>
      <c r="K1602" s="21">
        <v>6.1440000000000002E-2</v>
      </c>
      <c r="L1602" s="21">
        <v>0.56377052559257979</v>
      </c>
      <c r="M1602" s="17" t="s">
        <v>120</v>
      </c>
      <c r="N1602" s="17" t="s">
        <v>117</v>
      </c>
      <c r="O1602" s="21">
        <v>0.23490438566357491</v>
      </c>
      <c r="P1602" s="21">
        <v>0.67088692545516992</v>
      </c>
    </row>
    <row r="1603" spans="1:16" ht="16.5" x14ac:dyDescent="0.25">
      <c r="A1603" s="2"/>
      <c r="B1603" s="4"/>
      <c r="C1603" s="18"/>
      <c r="E1603" s="20">
        <v>44266</v>
      </c>
      <c r="F1603" s="17" t="s">
        <v>94</v>
      </c>
      <c r="G1603" s="21">
        <v>2.7352266666666663</v>
      </c>
      <c r="H1603" s="21">
        <v>4.497248712046475</v>
      </c>
      <c r="I1603" s="25">
        <v>9.899999999999988E-2</v>
      </c>
      <c r="J1603" s="21">
        <v>0.44972487120464755</v>
      </c>
      <c r="K1603" s="21">
        <v>6.1440000000000002E-2</v>
      </c>
      <c r="L1603" s="21">
        <v>0.53966984544557695</v>
      </c>
      <c r="M1603" s="17" t="s">
        <v>113</v>
      </c>
      <c r="N1603" s="17" t="s">
        <v>117</v>
      </c>
      <c r="O1603" s="21">
        <v>0.22486243560232377</v>
      </c>
      <c r="P1603" s="21">
        <v>0.64220711608023673</v>
      </c>
    </row>
    <row r="1604" spans="1:16" ht="16.5" x14ac:dyDescent="0.25">
      <c r="A1604" s="2"/>
      <c r="B1604" s="4"/>
      <c r="C1604" s="18"/>
      <c r="E1604" s="20">
        <v>44265</v>
      </c>
      <c r="F1604" s="17" t="s">
        <v>90</v>
      </c>
      <c r="G1604" s="21">
        <v>25.928194444444447</v>
      </c>
      <c r="H1604" s="21">
        <v>35.19505150596504</v>
      </c>
      <c r="I1604" s="25">
        <v>0.11329999999999993</v>
      </c>
      <c r="J1604" s="21">
        <v>3.5195051505965043</v>
      </c>
      <c r="K1604" s="21">
        <v>0.31625000000000003</v>
      </c>
      <c r="L1604" s="21">
        <v>0</v>
      </c>
      <c r="M1604" s="17" t="s">
        <v>113</v>
      </c>
      <c r="N1604" s="17" t="s">
        <v>115</v>
      </c>
      <c r="O1604" s="21">
        <v>1.7597525752982521</v>
      </c>
      <c r="P1604" s="21">
        <v>0</v>
      </c>
    </row>
    <row r="1605" spans="1:16" ht="16.5" x14ac:dyDescent="0.25">
      <c r="A1605" s="2"/>
      <c r="B1605" s="4"/>
      <c r="C1605" s="18"/>
      <c r="E1605" s="20">
        <v>44265</v>
      </c>
      <c r="F1605" s="17" t="s">
        <v>89</v>
      </c>
      <c r="G1605" s="21">
        <v>12.042916666666667</v>
      </c>
      <c r="H1605" s="21">
        <v>20.998982853821559</v>
      </c>
      <c r="I1605" s="25">
        <v>9.7199999999999856E-2</v>
      </c>
      <c r="J1605" s="21">
        <v>2.0998982853821562</v>
      </c>
      <c r="K1605" s="21">
        <v>0.14375000000000002</v>
      </c>
      <c r="L1605" s="21">
        <v>2.5198779424585869</v>
      </c>
      <c r="M1605" s="17" t="s">
        <v>122</v>
      </c>
      <c r="N1605" s="17" t="s">
        <v>117</v>
      </c>
      <c r="O1605" s="21">
        <v>1.0499491426910781</v>
      </c>
      <c r="P1605" s="21">
        <v>3.7651176256902059</v>
      </c>
    </row>
    <row r="1606" spans="1:16" ht="16.5" x14ac:dyDescent="0.25">
      <c r="A1606" s="2"/>
      <c r="B1606" s="4"/>
      <c r="C1606" s="18"/>
      <c r="E1606" s="20">
        <v>44265</v>
      </c>
      <c r="F1606" s="17" t="s">
        <v>89</v>
      </c>
      <c r="G1606" s="21">
        <v>12.042916666666667</v>
      </c>
      <c r="H1606" s="21">
        <v>20.498581560283682</v>
      </c>
      <c r="I1606" s="25">
        <v>8.3199999999999844E-2</v>
      </c>
      <c r="J1606" s="21">
        <v>2.0498581560283684</v>
      </c>
      <c r="K1606" s="21">
        <v>0.14375000000000002</v>
      </c>
      <c r="L1606" s="21">
        <v>2.459829787234042</v>
      </c>
      <c r="M1606" s="17" t="s">
        <v>121</v>
      </c>
      <c r="N1606" s="17" t="s">
        <v>117</v>
      </c>
      <c r="O1606" s="21">
        <v>1.0249290780141842</v>
      </c>
      <c r="P1606" s="21">
        <v>3.6753956737588647</v>
      </c>
    </row>
    <row r="1607" spans="1:16" ht="16.5" x14ac:dyDescent="0.25">
      <c r="A1607" s="2"/>
      <c r="B1607" s="4"/>
      <c r="C1607" s="18"/>
      <c r="E1607" s="20">
        <v>44265</v>
      </c>
      <c r="F1607" s="17" t="s">
        <v>89</v>
      </c>
      <c r="G1607" s="21">
        <v>12.042916666666667</v>
      </c>
      <c r="H1607" s="21">
        <v>19.998201040628803</v>
      </c>
      <c r="I1607" s="25">
        <v>6.8499999999999991E-2</v>
      </c>
      <c r="J1607" s="21">
        <v>1.9998201040628805</v>
      </c>
      <c r="K1607" s="21">
        <v>0.14375000000000002</v>
      </c>
      <c r="L1607" s="21">
        <v>2.3997841248754561</v>
      </c>
      <c r="M1607" s="17" t="s">
        <v>120</v>
      </c>
      <c r="N1607" s="17" t="s">
        <v>117</v>
      </c>
      <c r="O1607" s="21">
        <v>0.99991005203144023</v>
      </c>
      <c r="P1607" s="21">
        <v>3.5856774465847447</v>
      </c>
    </row>
    <row r="1608" spans="1:16" ht="16.5" x14ac:dyDescent="0.25">
      <c r="A1608" s="2"/>
      <c r="B1608" s="4"/>
      <c r="C1608" s="18"/>
      <c r="E1608" s="20">
        <v>44265</v>
      </c>
      <c r="F1608" s="17" t="s">
        <v>89</v>
      </c>
      <c r="G1608" s="21">
        <v>12.042916666666667</v>
      </c>
      <c r="H1608" s="21">
        <v>19.496384436889532</v>
      </c>
      <c r="I1608" s="25">
        <v>5.2999999999999832E-2</v>
      </c>
      <c r="J1608" s="21">
        <v>1.9496384436889533</v>
      </c>
      <c r="K1608" s="21">
        <v>0.14375000000000002</v>
      </c>
      <c r="L1608" s="21">
        <v>2.3395661324267438</v>
      </c>
      <c r="M1608" s="17" t="s">
        <v>113</v>
      </c>
      <c r="N1608" s="17" t="s">
        <v>117</v>
      </c>
      <c r="O1608" s="21">
        <v>0.97481922184447667</v>
      </c>
      <c r="P1608" s="21">
        <v>3.4957017295342934</v>
      </c>
    </row>
    <row r="1609" spans="1:16" ht="16.5" x14ac:dyDescent="0.25">
      <c r="A1609" s="2"/>
      <c r="B1609" s="4"/>
      <c r="C1609" s="18"/>
      <c r="E1609" s="20">
        <v>44265</v>
      </c>
      <c r="F1609" s="17" t="s">
        <v>89</v>
      </c>
      <c r="G1609" s="21">
        <v>12.042916666666667</v>
      </c>
      <c r="H1609" s="21">
        <v>18.995136698212409</v>
      </c>
      <c r="I1609" s="25">
        <v>0.21600000000000005</v>
      </c>
      <c r="J1609" s="21">
        <v>1.8995136698212409</v>
      </c>
      <c r="K1609" s="21">
        <v>0.14375000000000002</v>
      </c>
      <c r="L1609" s="21">
        <v>0</v>
      </c>
      <c r="M1609" s="17" t="s">
        <v>122</v>
      </c>
      <c r="N1609" s="17" t="s">
        <v>115</v>
      </c>
      <c r="O1609" s="21">
        <v>0.94975683491062046</v>
      </c>
      <c r="P1609" s="21">
        <v>0</v>
      </c>
    </row>
    <row r="1610" spans="1:16" ht="16.5" x14ac:dyDescent="0.25">
      <c r="A1610" s="2"/>
      <c r="B1610" s="4"/>
      <c r="C1610" s="18"/>
      <c r="E1610" s="20">
        <v>44265</v>
      </c>
      <c r="F1610" s="17" t="s">
        <v>89</v>
      </c>
      <c r="G1610" s="21">
        <v>12.042916666666667</v>
      </c>
      <c r="H1610" s="21">
        <v>18.001370204285003</v>
      </c>
      <c r="I1610" s="25">
        <v>0.18099999999999999</v>
      </c>
      <c r="J1610" s="21">
        <v>1.8001370204285003</v>
      </c>
      <c r="K1610" s="21">
        <v>0.14375000000000002</v>
      </c>
      <c r="L1610" s="21">
        <v>0</v>
      </c>
      <c r="M1610" s="17" t="s">
        <v>121</v>
      </c>
      <c r="N1610" s="17" t="s">
        <v>115</v>
      </c>
      <c r="O1610" s="21">
        <v>0.90006851021425016</v>
      </c>
      <c r="P1610" s="21">
        <v>0</v>
      </c>
    </row>
    <row r="1611" spans="1:16" ht="16.5" x14ac:dyDescent="0.25">
      <c r="A1611" s="2"/>
      <c r="B1611" s="4"/>
      <c r="C1611" s="18"/>
      <c r="E1611" s="20">
        <v>44265</v>
      </c>
      <c r="F1611" s="17" t="s">
        <v>89</v>
      </c>
      <c r="G1611" s="21">
        <v>12.042916666666667</v>
      </c>
      <c r="H1611" s="21">
        <v>16.997765231710186</v>
      </c>
      <c r="I1611" s="25">
        <v>0.14150000000000001</v>
      </c>
      <c r="J1611" s="21">
        <v>1.6997765231710187</v>
      </c>
      <c r="K1611" s="21">
        <v>0.14375000000000002</v>
      </c>
      <c r="L1611" s="21">
        <v>0</v>
      </c>
      <c r="M1611" s="17" t="s">
        <v>120</v>
      </c>
      <c r="N1611" s="17" t="s">
        <v>115</v>
      </c>
      <c r="O1611" s="21">
        <v>0.84988826158550934</v>
      </c>
      <c r="P1611" s="21">
        <v>0</v>
      </c>
    </row>
    <row r="1612" spans="1:16" ht="16.5" x14ac:dyDescent="0.25">
      <c r="A1612" s="2"/>
      <c r="B1612" s="4"/>
      <c r="C1612" s="18"/>
      <c r="E1612" s="20">
        <v>44265</v>
      </c>
      <c r="F1612" s="17" t="s">
        <v>89</v>
      </c>
      <c r="G1612" s="21">
        <v>12.042916666666667</v>
      </c>
      <c r="H1612" s="21">
        <v>16.003875968992251</v>
      </c>
      <c r="I1612" s="25">
        <v>9.7500000000000128E-2</v>
      </c>
      <c r="J1612" s="21">
        <v>1.6003875968992252</v>
      </c>
      <c r="K1612" s="21">
        <v>0.14375000000000002</v>
      </c>
      <c r="L1612" s="21">
        <v>0</v>
      </c>
      <c r="M1612" s="17" t="s">
        <v>113</v>
      </c>
      <c r="N1612" s="17" t="s">
        <v>115</v>
      </c>
      <c r="O1612" s="21">
        <v>0.80019379844961258</v>
      </c>
      <c r="P1612" s="21">
        <v>0</v>
      </c>
    </row>
    <row r="1613" spans="1:16" ht="16.5" x14ac:dyDescent="0.25">
      <c r="A1613" s="2"/>
      <c r="B1613" s="4"/>
      <c r="C1613" s="18"/>
      <c r="E1613" s="20">
        <v>44265</v>
      </c>
      <c r="F1613" s="17" t="s">
        <v>102</v>
      </c>
      <c r="G1613" s="21">
        <v>11.828000000000001</v>
      </c>
      <c r="H1613" s="21">
        <v>24.50383260824529</v>
      </c>
      <c r="I1613" s="25">
        <v>0.23799999999999999</v>
      </c>
      <c r="J1613" s="21">
        <v>2.4503832608245291</v>
      </c>
      <c r="K1613" s="21">
        <v>1.5719999999999998</v>
      </c>
      <c r="L1613" s="21">
        <v>1.7152682825771703</v>
      </c>
      <c r="M1613" s="17" t="s">
        <v>122</v>
      </c>
      <c r="N1613" s="17" t="s">
        <v>117</v>
      </c>
      <c r="O1613" s="21">
        <v>1.2251916304122645</v>
      </c>
      <c r="P1613" s="21">
        <v>3.1683455562461158</v>
      </c>
    </row>
    <row r="1614" spans="1:16" ht="16.5" x14ac:dyDescent="0.25">
      <c r="A1614" s="2"/>
      <c r="B1614" s="4"/>
      <c r="C1614" s="18"/>
      <c r="E1614" s="20">
        <v>44265</v>
      </c>
      <c r="F1614" s="17" t="s">
        <v>102</v>
      </c>
      <c r="G1614" s="21">
        <v>11.828000000000001</v>
      </c>
      <c r="H1614" s="21">
        <v>22.499524443599011</v>
      </c>
      <c r="I1614" s="25">
        <v>0.19499999999999987</v>
      </c>
      <c r="J1614" s="21">
        <v>2.2499524443599013</v>
      </c>
      <c r="K1614" s="21">
        <v>1.5719999999999998</v>
      </c>
      <c r="L1614" s="21">
        <v>1.574966711051931</v>
      </c>
      <c r="M1614" s="17" t="s">
        <v>121</v>
      </c>
      <c r="N1614" s="17" t="s">
        <v>117</v>
      </c>
      <c r="O1614" s="21">
        <v>1.1249762221799506</v>
      </c>
      <c r="P1614" s="21">
        <v>2.9091885105573523</v>
      </c>
    </row>
    <row r="1615" spans="1:16" ht="16.5" x14ac:dyDescent="0.25">
      <c r="A1615" s="2"/>
      <c r="B1615" s="4"/>
      <c r="C1615" s="18"/>
      <c r="E1615" s="20">
        <v>44265</v>
      </c>
      <c r="F1615" s="17" t="s">
        <v>102</v>
      </c>
      <c r="G1615" s="21">
        <v>11.828000000000001</v>
      </c>
      <c r="H1615" s="21">
        <v>20.502686774137636</v>
      </c>
      <c r="I1615" s="25">
        <v>0.14380000000000009</v>
      </c>
      <c r="J1615" s="21">
        <v>2.0502686774137637</v>
      </c>
      <c r="K1615" s="21">
        <v>1.5719999999999998</v>
      </c>
      <c r="L1615" s="21">
        <v>1.4351880741896348</v>
      </c>
      <c r="M1615" s="17" t="s">
        <v>120</v>
      </c>
      <c r="N1615" s="17" t="s">
        <v>117</v>
      </c>
      <c r="O1615" s="21">
        <v>1.0251343387068819</v>
      </c>
      <c r="P1615" s="21">
        <v>2.6509973998959961</v>
      </c>
    </row>
    <row r="1616" spans="1:16" ht="16.5" x14ac:dyDescent="0.25">
      <c r="A1616" s="2"/>
      <c r="B1616" s="4"/>
      <c r="C1616" s="18"/>
      <c r="E1616" s="20">
        <v>44265</v>
      </c>
      <c r="F1616" s="17" t="s">
        <v>102</v>
      </c>
      <c r="G1616" s="21">
        <v>11.828000000000001</v>
      </c>
      <c r="H1616" s="21">
        <v>18.903627936710887</v>
      </c>
      <c r="I1616" s="25">
        <v>9.500000000000014E-2</v>
      </c>
      <c r="J1616" s="21">
        <v>1.8903627936710887</v>
      </c>
      <c r="K1616" s="21">
        <v>1.5719999999999998</v>
      </c>
      <c r="L1616" s="21">
        <v>1.3232539555697622</v>
      </c>
      <c r="M1616" s="17" t="s">
        <v>113</v>
      </c>
      <c r="N1616" s="17" t="s">
        <v>117</v>
      </c>
      <c r="O1616" s="21">
        <v>0.94518139683554436</v>
      </c>
      <c r="P1616" s="21">
        <v>2.4442390922167174</v>
      </c>
    </row>
    <row r="1617" spans="1:16" ht="16.5" x14ac:dyDescent="0.25">
      <c r="A1617" s="2"/>
      <c r="B1617" s="4"/>
      <c r="C1617" s="18"/>
      <c r="E1617" s="20">
        <v>44265</v>
      </c>
      <c r="F1617" s="17" t="s">
        <v>103</v>
      </c>
      <c r="G1617" s="21">
        <v>7.032</v>
      </c>
      <c r="H1617" s="21">
        <v>14.504950495049505</v>
      </c>
      <c r="I1617" s="25">
        <v>0.23590000000000003</v>
      </c>
      <c r="J1617" s="21">
        <v>1.4504950495049505</v>
      </c>
      <c r="K1617" s="21">
        <v>0.91800000000000004</v>
      </c>
      <c r="L1617" s="21">
        <v>1.0153465346534654</v>
      </c>
      <c r="M1617" s="17" t="s">
        <v>122</v>
      </c>
      <c r="N1617" s="17" t="s">
        <v>117</v>
      </c>
      <c r="O1617" s="21">
        <v>0.72524752475247523</v>
      </c>
      <c r="P1617" s="21">
        <v>1.8754900990099008</v>
      </c>
    </row>
    <row r="1618" spans="1:16" ht="16.5" x14ac:dyDescent="0.25">
      <c r="A1618" s="2"/>
      <c r="B1618" s="4"/>
      <c r="C1618" s="18"/>
      <c r="E1618" s="20">
        <v>44265</v>
      </c>
      <c r="F1618" s="17" t="s">
        <v>103</v>
      </c>
      <c r="G1618" s="21">
        <v>7.032</v>
      </c>
      <c r="H1618" s="21">
        <v>13.002958579881659</v>
      </c>
      <c r="I1618" s="25">
        <v>0.17990000000000009</v>
      </c>
      <c r="J1618" s="21">
        <v>1.300295857988166</v>
      </c>
      <c r="K1618" s="21">
        <v>0.91800000000000004</v>
      </c>
      <c r="L1618" s="21">
        <v>0.91020710059171617</v>
      </c>
      <c r="M1618" s="17" t="s">
        <v>121</v>
      </c>
      <c r="N1618" s="17" t="s">
        <v>117</v>
      </c>
      <c r="O1618" s="21">
        <v>0.65014792899408302</v>
      </c>
      <c r="P1618" s="21">
        <v>1.6812825443786985</v>
      </c>
    </row>
    <row r="1619" spans="1:16" ht="16.5" x14ac:dyDescent="0.25">
      <c r="A1619" s="2"/>
      <c r="B1619" s="4"/>
      <c r="C1619" s="18"/>
      <c r="E1619" s="20">
        <v>44265</v>
      </c>
      <c r="F1619" s="17" t="s">
        <v>103</v>
      </c>
      <c r="G1619" s="21">
        <v>7.032</v>
      </c>
      <c r="H1619" s="21">
        <v>11.995905834186283</v>
      </c>
      <c r="I1619" s="25">
        <v>0.13449999999999984</v>
      </c>
      <c r="J1619" s="21">
        <v>1.1995905834186285</v>
      </c>
      <c r="K1619" s="21">
        <v>0.91800000000000004</v>
      </c>
      <c r="L1619" s="21">
        <v>0.83971340839303987</v>
      </c>
      <c r="M1619" s="17" t="s">
        <v>120</v>
      </c>
      <c r="N1619" s="17" t="s">
        <v>117</v>
      </c>
      <c r="O1619" s="21">
        <v>0.59979529170931423</v>
      </c>
      <c r="P1619" s="21">
        <v>1.5510706243602863</v>
      </c>
    </row>
    <row r="1620" spans="1:16" ht="16.5" x14ac:dyDescent="0.25">
      <c r="A1620" s="2"/>
      <c r="B1620" s="4"/>
      <c r="C1620" s="18"/>
      <c r="E1620" s="20">
        <v>44265</v>
      </c>
      <c r="F1620" s="17" t="s">
        <v>103</v>
      </c>
      <c r="G1620" s="21">
        <v>7.032</v>
      </c>
      <c r="H1620" s="21">
        <v>11.00125156445557</v>
      </c>
      <c r="I1620" s="25">
        <v>8.15000000000001E-2</v>
      </c>
      <c r="J1620" s="21">
        <v>1.100125156445557</v>
      </c>
      <c r="K1620" s="21">
        <v>0.91800000000000004</v>
      </c>
      <c r="L1620" s="21">
        <v>0.77008760951189004</v>
      </c>
      <c r="M1620" s="17" t="s">
        <v>113</v>
      </c>
      <c r="N1620" s="17" t="s">
        <v>117</v>
      </c>
      <c r="O1620" s="21">
        <v>0.55006257822277849</v>
      </c>
      <c r="P1620" s="21">
        <v>1.4224618272841052</v>
      </c>
    </row>
    <row r="1621" spans="1:16" ht="16.5" x14ac:dyDescent="0.25">
      <c r="A1621" s="2"/>
      <c r="B1621" s="4"/>
      <c r="C1621" s="18"/>
      <c r="E1621" s="20">
        <v>44265</v>
      </c>
      <c r="F1621" s="17" t="s">
        <v>103</v>
      </c>
      <c r="G1621" s="21">
        <v>7.032</v>
      </c>
      <c r="H1621" s="21">
        <v>11.00125156445557</v>
      </c>
      <c r="I1621" s="25">
        <v>8.15000000000001E-2</v>
      </c>
      <c r="J1621" s="21">
        <v>1.100125156445557</v>
      </c>
      <c r="K1621" s="21">
        <v>0.91800000000000004</v>
      </c>
      <c r="L1621" s="21">
        <v>0.77008760951189004</v>
      </c>
      <c r="M1621" s="17" t="s">
        <v>122</v>
      </c>
      <c r="N1621" s="17" t="s">
        <v>117</v>
      </c>
      <c r="O1621" s="21">
        <v>0.55006257822277849</v>
      </c>
      <c r="P1621" s="21">
        <v>1.4224618272841052</v>
      </c>
    </row>
    <row r="1622" spans="1:16" ht="16.5" x14ac:dyDescent="0.25">
      <c r="A1622" s="2"/>
      <c r="B1622" s="4"/>
      <c r="C1622" s="18"/>
      <c r="E1622" s="20">
        <v>44265</v>
      </c>
      <c r="F1622" s="17" t="s">
        <v>101</v>
      </c>
      <c r="G1622" s="21">
        <v>7.032</v>
      </c>
      <c r="H1622" s="21">
        <v>14.504950495049505</v>
      </c>
      <c r="I1622" s="25">
        <v>0.23590000000000003</v>
      </c>
      <c r="J1622" s="21">
        <v>1.4504950495049505</v>
      </c>
      <c r="K1622" s="21">
        <v>0.91800000000000004</v>
      </c>
      <c r="L1622" s="21">
        <v>1.0153465346534654</v>
      </c>
      <c r="M1622" s="17" t="s">
        <v>122</v>
      </c>
      <c r="N1622" s="17" t="s">
        <v>117</v>
      </c>
      <c r="O1622" s="21">
        <v>0.72524752475247523</v>
      </c>
      <c r="P1622" s="21">
        <v>1.8754900990099008</v>
      </c>
    </row>
    <row r="1623" spans="1:16" ht="16.5" x14ac:dyDescent="0.25">
      <c r="A1623" s="2"/>
      <c r="B1623" s="4"/>
      <c r="C1623" s="18"/>
      <c r="E1623" s="20">
        <v>44265</v>
      </c>
      <c r="F1623" s="17" t="s">
        <v>101</v>
      </c>
      <c r="G1623" s="21">
        <v>7.032</v>
      </c>
      <c r="H1623" s="21">
        <v>13.002958579881659</v>
      </c>
      <c r="I1623" s="25">
        <v>0.17990000000000009</v>
      </c>
      <c r="J1623" s="21">
        <v>1.300295857988166</v>
      </c>
      <c r="K1623" s="21">
        <v>0.91800000000000004</v>
      </c>
      <c r="L1623" s="21">
        <v>0.91020710059171617</v>
      </c>
      <c r="M1623" s="17" t="s">
        <v>121</v>
      </c>
      <c r="N1623" s="17" t="s">
        <v>117</v>
      </c>
      <c r="O1623" s="21">
        <v>0.65014792899408302</v>
      </c>
      <c r="P1623" s="21">
        <v>1.6812825443786985</v>
      </c>
    </row>
    <row r="1624" spans="1:16" ht="16.5" x14ac:dyDescent="0.25">
      <c r="A1624" s="2"/>
      <c r="B1624" s="4"/>
      <c r="C1624" s="18"/>
      <c r="E1624" s="20">
        <v>44265</v>
      </c>
      <c r="F1624" s="17" t="s">
        <v>101</v>
      </c>
      <c r="G1624" s="21">
        <v>7.032</v>
      </c>
      <c r="H1624" s="21">
        <v>11.995905834186283</v>
      </c>
      <c r="I1624" s="25">
        <v>0.13449999999999984</v>
      </c>
      <c r="J1624" s="21">
        <v>1.1995905834186285</v>
      </c>
      <c r="K1624" s="21">
        <v>0.91800000000000004</v>
      </c>
      <c r="L1624" s="21">
        <v>0.83971340839303987</v>
      </c>
      <c r="M1624" s="17" t="s">
        <v>120</v>
      </c>
      <c r="N1624" s="17" t="s">
        <v>117</v>
      </c>
      <c r="O1624" s="21">
        <v>0.59979529170931423</v>
      </c>
      <c r="P1624" s="21">
        <v>1.5510706243602863</v>
      </c>
    </row>
    <row r="1625" spans="1:16" ht="16.5" x14ac:dyDescent="0.25">
      <c r="A1625" s="2"/>
      <c r="B1625" s="4"/>
      <c r="C1625" s="18"/>
      <c r="E1625" s="20">
        <v>44265</v>
      </c>
      <c r="F1625" s="17" t="s">
        <v>101</v>
      </c>
      <c r="G1625" s="21">
        <v>7.032</v>
      </c>
      <c r="H1625" s="21">
        <v>11.00125156445557</v>
      </c>
      <c r="I1625" s="25">
        <v>8.15000000000001E-2</v>
      </c>
      <c r="J1625" s="21">
        <v>1.100125156445557</v>
      </c>
      <c r="K1625" s="21">
        <v>0.91800000000000004</v>
      </c>
      <c r="L1625" s="21">
        <v>0.77008760951189004</v>
      </c>
      <c r="M1625" s="17" t="s">
        <v>113</v>
      </c>
      <c r="N1625" s="17" t="s">
        <v>117</v>
      </c>
      <c r="O1625" s="21">
        <v>0.55006257822277849</v>
      </c>
      <c r="P1625" s="21">
        <v>1.4224618272841052</v>
      </c>
    </row>
    <row r="1626" spans="1:16" ht="16.5" x14ac:dyDescent="0.25">
      <c r="A1626" s="2"/>
      <c r="B1626" s="4"/>
      <c r="C1626" s="18"/>
      <c r="E1626" s="20">
        <v>44265</v>
      </c>
      <c r="F1626" s="17" t="s">
        <v>92</v>
      </c>
      <c r="G1626" s="21">
        <v>4.78125</v>
      </c>
      <c r="H1626" s="21">
        <v>8.895348837209303</v>
      </c>
      <c r="I1626" s="25">
        <v>0.25750000000000012</v>
      </c>
      <c r="J1626" s="21">
        <v>0.88953488372093037</v>
      </c>
      <c r="K1626" s="21">
        <v>5.3749999999999999E-2</v>
      </c>
      <c r="L1626" s="21">
        <v>0.48924418604651165</v>
      </c>
      <c r="M1626" s="17" t="s">
        <v>122</v>
      </c>
      <c r="N1626" s="17" t="s">
        <v>116</v>
      </c>
      <c r="O1626" s="21">
        <v>0.44476744186046518</v>
      </c>
      <c r="P1626" s="21">
        <v>0.48924418604651165</v>
      </c>
    </row>
    <row r="1627" spans="1:16" ht="16.5" x14ac:dyDescent="0.25">
      <c r="A1627" s="2"/>
      <c r="B1627" s="4"/>
      <c r="C1627" s="18"/>
      <c r="E1627" s="20">
        <v>44265</v>
      </c>
      <c r="F1627" s="17" t="s">
        <v>92</v>
      </c>
      <c r="G1627" s="21">
        <v>4.78125</v>
      </c>
      <c r="H1627" s="21">
        <v>8.2011149228130371</v>
      </c>
      <c r="I1627" s="25">
        <v>0.21200000000000008</v>
      </c>
      <c r="J1627" s="21">
        <v>0.82011149228130376</v>
      </c>
      <c r="K1627" s="21">
        <v>5.3749999999999999E-2</v>
      </c>
      <c r="L1627" s="21">
        <v>0.45106132075471705</v>
      </c>
      <c r="M1627" s="17" t="s">
        <v>121</v>
      </c>
      <c r="N1627" s="17" t="s">
        <v>116</v>
      </c>
      <c r="O1627" s="21">
        <v>0.41005574614065188</v>
      </c>
      <c r="P1627" s="21">
        <v>0.45106132075471705</v>
      </c>
    </row>
    <row r="1628" spans="1:16" ht="16.5" x14ac:dyDescent="0.25">
      <c r="A1628" s="2"/>
      <c r="B1628" s="4"/>
      <c r="C1628" s="18"/>
      <c r="E1628" s="20">
        <v>44265</v>
      </c>
      <c r="F1628" s="17" t="s">
        <v>92</v>
      </c>
      <c r="G1628" s="21">
        <v>4.78125</v>
      </c>
      <c r="H1628" s="21">
        <v>7.6013513513513509</v>
      </c>
      <c r="I1628" s="25">
        <v>0.16599999999999993</v>
      </c>
      <c r="J1628" s="21">
        <v>0.76013513513513509</v>
      </c>
      <c r="K1628" s="21">
        <v>5.3749999999999999E-2</v>
      </c>
      <c r="L1628" s="21">
        <v>0.41807432432432429</v>
      </c>
      <c r="M1628" s="17" t="s">
        <v>120</v>
      </c>
      <c r="N1628" s="17" t="s">
        <v>116</v>
      </c>
      <c r="O1628" s="21">
        <v>0.38006756756756754</v>
      </c>
      <c r="P1628" s="21">
        <v>0.41807432432432429</v>
      </c>
    </row>
    <row r="1629" spans="1:16" ht="16.5" x14ac:dyDescent="0.25">
      <c r="A1629" s="2"/>
      <c r="B1629" s="4"/>
      <c r="C1629" s="18"/>
      <c r="E1629" s="20">
        <v>44265</v>
      </c>
      <c r="F1629" s="17" t="s">
        <v>92</v>
      </c>
      <c r="G1629" s="21">
        <v>4.78125</v>
      </c>
      <c r="H1629" s="21">
        <v>7.0003660322108354</v>
      </c>
      <c r="I1629" s="25">
        <v>0.11200000000000003</v>
      </c>
      <c r="J1629" s="21">
        <v>0.70003660322108363</v>
      </c>
      <c r="K1629" s="21">
        <v>5.3749999999999999E-2</v>
      </c>
      <c r="L1629" s="21">
        <v>0.38502013177159594</v>
      </c>
      <c r="M1629" s="17" t="s">
        <v>113</v>
      </c>
      <c r="N1629" s="17" t="s">
        <v>116</v>
      </c>
      <c r="O1629" s="21">
        <v>0.35001830161054182</v>
      </c>
      <c r="P1629" s="21">
        <v>0.38502013177159594</v>
      </c>
    </row>
    <row r="1630" spans="1:16" ht="16.5" x14ac:dyDescent="0.25">
      <c r="A1630" s="2"/>
      <c r="B1630" s="4"/>
      <c r="C1630" s="18"/>
      <c r="E1630" s="20">
        <v>44265</v>
      </c>
      <c r="F1630" s="17" t="s">
        <v>92</v>
      </c>
      <c r="G1630" s="21">
        <v>4.7275</v>
      </c>
      <c r="H1630" s="21">
        <v>10.702965813900839</v>
      </c>
      <c r="I1630" s="25">
        <v>0.22900000000000009</v>
      </c>
      <c r="J1630" s="21">
        <v>1.070296581390084</v>
      </c>
      <c r="K1630" s="21">
        <v>5.3749999999999999E-2</v>
      </c>
      <c r="L1630" s="21">
        <v>1.2843558976681007</v>
      </c>
      <c r="M1630" s="17" t="s">
        <v>122</v>
      </c>
      <c r="N1630" s="17" t="s">
        <v>117</v>
      </c>
      <c r="O1630" s="21">
        <v>0.53514829069504199</v>
      </c>
      <c r="P1630" s="21">
        <v>1.9190417704324205</v>
      </c>
    </row>
    <row r="1631" spans="1:16" ht="16.5" x14ac:dyDescent="0.25">
      <c r="A1631" s="2"/>
      <c r="B1631" s="4"/>
      <c r="C1631" s="18"/>
      <c r="E1631" s="20">
        <v>44265</v>
      </c>
      <c r="F1631" s="17" t="s">
        <v>92</v>
      </c>
      <c r="G1631" s="21">
        <v>4.7275</v>
      </c>
      <c r="H1631" s="21">
        <v>9.5950882890196869</v>
      </c>
      <c r="I1631" s="25">
        <v>0.17799999999999988</v>
      </c>
      <c r="J1631" s="21">
        <v>0.95950882890196876</v>
      </c>
      <c r="K1631" s="21">
        <v>5.3749999999999999E-2</v>
      </c>
      <c r="L1631" s="21">
        <v>1.1514105946823623</v>
      </c>
      <c r="M1631" s="17" t="s">
        <v>121</v>
      </c>
      <c r="N1631" s="17" t="s">
        <v>117</v>
      </c>
      <c r="O1631" s="21">
        <v>0.47975441445098438</v>
      </c>
      <c r="P1631" s="21">
        <v>1.7203993302212299</v>
      </c>
    </row>
    <row r="1632" spans="1:16" ht="16.5" x14ac:dyDescent="0.25">
      <c r="A1632" s="2"/>
      <c r="B1632" s="4"/>
      <c r="C1632" s="18"/>
      <c r="E1632" s="20">
        <v>44265</v>
      </c>
      <c r="F1632" s="17" t="s">
        <v>92</v>
      </c>
      <c r="G1632" s="21">
        <v>4.7275</v>
      </c>
      <c r="H1632" s="21">
        <v>8.800260610573341</v>
      </c>
      <c r="I1632" s="25">
        <v>0.13349999999999984</v>
      </c>
      <c r="J1632" s="21">
        <v>0.88002606105733416</v>
      </c>
      <c r="K1632" s="21">
        <v>5.3749999999999999E-2</v>
      </c>
      <c r="L1632" s="21">
        <v>1.0560312732688009</v>
      </c>
      <c r="M1632" s="17" t="s">
        <v>120</v>
      </c>
      <c r="N1632" s="17" t="s">
        <v>117</v>
      </c>
      <c r="O1632" s="21">
        <v>0.44001303052866708</v>
      </c>
      <c r="P1632" s="21">
        <v>1.5778867274758002</v>
      </c>
    </row>
    <row r="1633" spans="1:16" ht="16.5" x14ac:dyDescent="0.25">
      <c r="A1633" s="2"/>
      <c r="B1633" s="4"/>
      <c r="C1633" s="18"/>
      <c r="E1633" s="20">
        <v>44265</v>
      </c>
      <c r="F1633" s="17" t="s">
        <v>92</v>
      </c>
      <c r="G1633" s="21">
        <v>4.7275</v>
      </c>
      <c r="H1633" s="21">
        <v>8.0032165227695948</v>
      </c>
      <c r="I1633" s="25">
        <v>7.9999999999999974E-2</v>
      </c>
      <c r="J1633" s="21">
        <v>0.80032165227695951</v>
      </c>
      <c r="K1633" s="21">
        <v>5.3749999999999999E-2</v>
      </c>
      <c r="L1633" s="21">
        <v>0.96038598273235132</v>
      </c>
      <c r="M1633" s="17" t="s">
        <v>113</v>
      </c>
      <c r="N1633" s="17" t="s">
        <v>117</v>
      </c>
      <c r="O1633" s="21">
        <v>0.40016082613847975</v>
      </c>
      <c r="P1633" s="21">
        <v>1.4349767225325885</v>
      </c>
    </row>
    <row r="1634" spans="1:16" ht="16.5" x14ac:dyDescent="0.25">
      <c r="A1634" s="2"/>
      <c r="B1634" s="4"/>
      <c r="C1634" s="18"/>
      <c r="E1634" s="20">
        <v>44265</v>
      </c>
      <c r="F1634" s="17" t="s">
        <v>92</v>
      </c>
      <c r="G1634" s="21">
        <v>4.7275</v>
      </c>
      <c r="H1634" s="21">
        <v>7.60048231511254</v>
      </c>
      <c r="I1634" s="25">
        <v>0.22799999999999998</v>
      </c>
      <c r="J1634" s="21">
        <v>0.760048231511254</v>
      </c>
      <c r="K1634" s="21">
        <v>5.3749999999999999E-2</v>
      </c>
      <c r="L1634" s="21">
        <v>0</v>
      </c>
      <c r="M1634" s="17" t="s">
        <v>122</v>
      </c>
      <c r="N1634" s="17" t="s">
        <v>115</v>
      </c>
      <c r="O1634" s="21">
        <v>0.380024115755627</v>
      </c>
      <c r="P1634" s="21">
        <v>0</v>
      </c>
    </row>
    <row r="1635" spans="1:16" ht="16.5" x14ac:dyDescent="0.25">
      <c r="A1635" s="2"/>
      <c r="B1635" s="4"/>
      <c r="C1635" s="18"/>
      <c r="E1635" s="20">
        <v>44265</v>
      </c>
      <c r="F1635" s="17" t="s">
        <v>92</v>
      </c>
      <c r="G1635" s="21">
        <v>4.7275</v>
      </c>
      <c r="H1635" s="21">
        <v>7.0037037037037031</v>
      </c>
      <c r="I1635" s="25">
        <v>0.17499999999999993</v>
      </c>
      <c r="J1635" s="21">
        <v>0.70037037037037031</v>
      </c>
      <c r="K1635" s="21">
        <v>5.3749999999999999E-2</v>
      </c>
      <c r="L1635" s="21">
        <v>0</v>
      </c>
      <c r="M1635" s="17" t="s">
        <v>121</v>
      </c>
      <c r="N1635" s="17" t="s">
        <v>115</v>
      </c>
      <c r="O1635" s="21">
        <v>0.35018518518518515</v>
      </c>
      <c r="P1635" s="21">
        <v>0</v>
      </c>
    </row>
    <row r="1636" spans="1:16" ht="16.5" x14ac:dyDescent="0.25">
      <c r="A1636" s="2"/>
      <c r="B1636" s="4"/>
      <c r="C1636" s="18"/>
      <c r="E1636" s="20">
        <v>44265</v>
      </c>
      <c r="F1636" s="17" t="s">
        <v>92</v>
      </c>
      <c r="G1636" s="21">
        <v>4.7275</v>
      </c>
      <c r="H1636" s="21">
        <v>6.6026536312849169</v>
      </c>
      <c r="I1636" s="25">
        <v>0.13400000000000006</v>
      </c>
      <c r="J1636" s="21">
        <v>0.66026536312849171</v>
      </c>
      <c r="K1636" s="21">
        <v>5.3749999999999999E-2</v>
      </c>
      <c r="L1636" s="21">
        <v>0</v>
      </c>
      <c r="M1636" s="17" t="s">
        <v>120</v>
      </c>
      <c r="N1636" s="17" t="s">
        <v>115</v>
      </c>
      <c r="O1636" s="21">
        <v>0.33013268156424586</v>
      </c>
      <c r="P1636" s="21">
        <v>0</v>
      </c>
    </row>
    <row r="1637" spans="1:16" ht="16.5" x14ac:dyDescent="0.25">
      <c r="A1637" s="2"/>
      <c r="B1637" s="4"/>
      <c r="C1637" s="18"/>
      <c r="E1637" s="20">
        <v>44265</v>
      </c>
      <c r="F1637" s="17" t="s">
        <v>92</v>
      </c>
      <c r="G1637" s="21">
        <v>4.7275</v>
      </c>
      <c r="H1637" s="21">
        <v>6.2040682414698161</v>
      </c>
      <c r="I1637" s="25">
        <v>8.7999999999999939E-2</v>
      </c>
      <c r="J1637" s="21">
        <v>0.62040682414698167</v>
      </c>
      <c r="K1637" s="21">
        <v>5.3749999999999999E-2</v>
      </c>
      <c r="L1637" s="21">
        <v>0</v>
      </c>
      <c r="M1637" s="17" t="s">
        <v>113</v>
      </c>
      <c r="N1637" s="17" t="s">
        <v>115</v>
      </c>
      <c r="O1637" s="21">
        <v>0.31020341207349084</v>
      </c>
      <c r="P1637" s="21">
        <v>0</v>
      </c>
    </row>
    <row r="1638" spans="1:16" ht="16.5" x14ac:dyDescent="0.25">
      <c r="A1638" s="2"/>
      <c r="B1638" s="4"/>
      <c r="C1638" s="18"/>
      <c r="E1638" s="20">
        <v>44265</v>
      </c>
      <c r="F1638" s="17" t="s">
        <v>93</v>
      </c>
      <c r="G1638" s="21">
        <v>8.9222222222222243</v>
      </c>
      <c r="H1638" s="21">
        <v>15.303983228511536</v>
      </c>
      <c r="I1638" s="25">
        <v>0.21200000000000005</v>
      </c>
      <c r="J1638" s="21">
        <v>1.5303983228511537</v>
      </c>
      <c r="K1638" s="21">
        <v>0.10375000000000001</v>
      </c>
      <c r="L1638" s="21">
        <v>0.84171907756813447</v>
      </c>
      <c r="M1638" s="17" t="s">
        <v>122</v>
      </c>
      <c r="N1638" s="17" t="s">
        <v>116</v>
      </c>
      <c r="O1638" s="21">
        <v>0.76519916142557687</v>
      </c>
      <c r="P1638" s="21">
        <v>0.84171907756813447</v>
      </c>
    </row>
    <row r="1639" spans="1:16" ht="16.5" x14ac:dyDescent="0.25">
      <c r="A1639" s="2"/>
      <c r="B1639" s="4"/>
      <c r="C1639" s="18"/>
      <c r="E1639" s="20">
        <v>44265</v>
      </c>
      <c r="F1639" s="17" t="s">
        <v>93</v>
      </c>
      <c r="G1639" s="21">
        <v>8.9222222222222243</v>
      </c>
      <c r="H1639" s="21">
        <v>13.995642701525059</v>
      </c>
      <c r="I1639" s="25">
        <v>0.15750000000000003</v>
      </c>
      <c r="J1639" s="21">
        <v>1.399564270152506</v>
      </c>
      <c r="K1639" s="21">
        <v>0.10375000000000001</v>
      </c>
      <c r="L1639" s="21">
        <v>0.76976034858387821</v>
      </c>
      <c r="M1639" s="17" t="s">
        <v>121</v>
      </c>
      <c r="N1639" s="17" t="s">
        <v>116</v>
      </c>
      <c r="O1639" s="21">
        <v>0.69978213507625298</v>
      </c>
      <c r="P1639" s="21">
        <v>0.76976034858387821</v>
      </c>
    </row>
    <row r="1640" spans="1:16" ht="16.5" x14ac:dyDescent="0.25">
      <c r="A1640" s="2"/>
      <c r="B1640" s="4"/>
      <c r="C1640" s="18"/>
      <c r="E1640" s="20">
        <v>44265</v>
      </c>
      <c r="F1640" s="17" t="s">
        <v>93</v>
      </c>
      <c r="G1640" s="21">
        <v>8.9222222222222243</v>
      </c>
      <c r="H1640" s="21">
        <v>12.902707479713991</v>
      </c>
      <c r="I1640" s="25">
        <v>0.10350000000000006</v>
      </c>
      <c r="J1640" s="21">
        <v>1.2902707479713991</v>
      </c>
      <c r="K1640" s="21">
        <v>0.10375000000000001</v>
      </c>
      <c r="L1640" s="21">
        <v>0.70964891138426944</v>
      </c>
      <c r="M1640" s="17" t="s">
        <v>120</v>
      </c>
      <c r="N1640" s="17" t="s">
        <v>116</v>
      </c>
      <c r="O1640" s="21">
        <v>0.64513537398569953</v>
      </c>
      <c r="P1640" s="21">
        <v>0.70964891138426944</v>
      </c>
    </row>
    <row r="1641" spans="1:16" ht="16.5" x14ac:dyDescent="0.25">
      <c r="A1641" s="2"/>
      <c r="B1641" s="4"/>
      <c r="C1641" s="18"/>
      <c r="E1641" s="20">
        <v>44265</v>
      </c>
      <c r="F1641" s="17" t="s">
        <v>93</v>
      </c>
      <c r="G1641" s="21">
        <v>8.9222222222222243</v>
      </c>
      <c r="H1641" s="21">
        <v>12.000298886647242</v>
      </c>
      <c r="I1641" s="25">
        <v>5.1499999999999956E-2</v>
      </c>
      <c r="J1641" s="21">
        <v>1.2000298886647243</v>
      </c>
      <c r="K1641" s="21">
        <v>0.10375000000000001</v>
      </c>
      <c r="L1641" s="21">
        <v>0.66001643876559835</v>
      </c>
      <c r="M1641" s="17" t="s">
        <v>113</v>
      </c>
      <c r="N1641" s="17" t="s">
        <v>116</v>
      </c>
      <c r="O1641" s="21">
        <v>0.60001494433236213</v>
      </c>
      <c r="P1641" s="21">
        <v>0.66001643876559835</v>
      </c>
    </row>
    <row r="1642" spans="1:16" ht="16.5" x14ac:dyDescent="0.25">
      <c r="A1642" s="2"/>
      <c r="B1642" s="4"/>
      <c r="C1642" s="18"/>
      <c r="E1642" s="20">
        <v>44265</v>
      </c>
      <c r="F1642" s="17" t="s">
        <v>93</v>
      </c>
      <c r="G1642" s="21">
        <v>8.8184722222222245</v>
      </c>
      <c r="H1642" s="21">
        <v>18.303180203865139</v>
      </c>
      <c r="I1642" s="25">
        <v>0.18889999999999993</v>
      </c>
      <c r="J1642" s="21">
        <v>1.8303180203865139</v>
      </c>
      <c r="K1642" s="21">
        <v>0.10375000000000001</v>
      </c>
      <c r="L1642" s="21">
        <v>2.1963816244638168</v>
      </c>
      <c r="M1642" s="17" t="s">
        <v>122</v>
      </c>
      <c r="N1642" s="17" t="s">
        <v>117</v>
      </c>
      <c r="O1642" s="21">
        <v>0.91515901019325696</v>
      </c>
      <c r="P1642" s="21">
        <v>3.2817602105530197</v>
      </c>
    </row>
    <row r="1643" spans="1:16" ht="16.5" x14ac:dyDescent="0.25">
      <c r="A1643" s="2"/>
      <c r="B1643" s="4"/>
      <c r="C1643" s="18"/>
      <c r="E1643" s="20">
        <v>44265</v>
      </c>
      <c r="F1643" s="17" t="s">
        <v>93</v>
      </c>
      <c r="G1643" s="21">
        <v>8.8184722222222245</v>
      </c>
      <c r="H1643" s="21">
        <v>16.498544849807718</v>
      </c>
      <c r="I1643" s="25">
        <v>0.13620000000000002</v>
      </c>
      <c r="J1643" s="21">
        <v>1.6498544849807719</v>
      </c>
      <c r="K1643" s="21">
        <v>0.10375000000000001</v>
      </c>
      <c r="L1643" s="21">
        <v>1.979825381976926</v>
      </c>
      <c r="M1643" s="17" t="s">
        <v>121</v>
      </c>
      <c r="N1643" s="17" t="s">
        <v>117</v>
      </c>
      <c r="O1643" s="21">
        <v>0.82492724249038596</v>
      </c>
      <c r="P1643" s="21">
        <v>2.958189091570524</v>
      </c>
    </row>
    <row r="1644" spans="1:16" ht="16.5" x14ac:dyDescent="0.25">
      <c r="A1644" s="2"/>
      <c r="B1644" s="4"/>
      <c r="C1644" s="18"/>
      <c r="E1644" s="20">
        <v>44265</v>
      </c>
      <c r="F1644" s="17" t="s">
        <v>93</v>
      </c>
      <c r="G1644" s="21">
        <v>8.8184722222222245</v>
      </c>
      <c r="H1644" s="21">
        <v>15.002504631204872</v>
      </c>
      <c r="I1644" s="25">
        <v>8.2899999999999946E-2</v>
      </c>
      <c r="J1644" s="21">
        <v>1.5002504631204872</v>
      </c>
      <c r="K1644" s="21">
        <v>0.10375000000000001</v>
      </c>
      <c r="L1644" s="21">
        <v>1.8003005557445846</v>
      </c>
      <c r="M1644" s="17" t="s">
        <v>120</v>
      </c>
      <c r="N1644" s="17" t="s">
        <v>117</v>
      </c>
      <c r="O1644" s="21">
        <v>0.75012523156024358</v>
      </c>
      <c r="P1644" s="21">
        <v>2.6899490803750337</v>
      </c>
    </row>
    <row r="1645" spans="1:16" ht="16.5" x14ac:dyDescent="0.25">
      <c r="A1645" s="2"/>
      <c r="B1645" s="4"/>
      <c r="C1645" s="18"/>
      <c r="E1645" s="20">
        <v>44265</v>
      </c>
      <c r="F1645" s="17" t="s">
        <v>93</v>
      </c>
      <c r="G1645" s="21">
        <v>8.8184722222222245</v>
      </c>
      <c r="H1645" s="21">
        <v>13.796107982199976</v>
      </c>
      <c r="I1645" s="25">
        <v>3.1499999999999945E-2</v>
      </c>
      <c r="J1645" s="21">
        <v>1.3796107982199977</v>
      </c>
      <c r="K1645" s="21">
        <v>0.10375000000000001</v>
      </c>
      <c r="L1645" s="21">
        <v>1.655532957863997</v>
      </c>
      <c r="M1645" s="17" t="s">
        <v>113</v>
      </c>
      <c r="N1645" s="17" t="s">
        <v>117</v>
      </c>
      <c r="O1645" s="21">
        <v>0.68980539910999883</v>
      </c>
      <c r="P1645" s="21">
        <v>2.4736421612084558</v>
      </c>
    </row>
    <row r="1646" spans="1:16" ht="16.5" x14ac:dyDescent="0.25">
      <c r="A1646" s="2"/>
      <c r="B1646" s="4"/>
      <c r="C1646" s="18"/>
      <c r="E1646" s="20">
        <v>44265</v>
      </c>
      <c r="F1646" s="17" t="s">
        <v>93</v>
      </c>
      <c r="G1646" s="21">
        <v>8.8184722222222245</v>
      </c>
      <c r="H1646" s="21">
        <v>12.901934487523372</v>
      </c>
      <c r="I1646" s="25">
        <v>0.16650000000000004</v>
      </c>
      <c r="J1646" s="21">
        <v>1.2901934487523372</v>
      </c>
      <c r="K1646" s="21">
        <v>0.10375000000000001</v>
      </c>
      <c r="L1646" s="21">
        <v>0</v>
      </c>
      <c r="M1646" s="17" t="s">
        <v>122</v>
      </c>
      <c r="N1646" s="17" t="s">
        <v>115</v>
      </c>
      <c r="O1646" s="21">
        <v>0.64509672437616861</v>
      </c>
      <c r="P1646" s="21">
        <v>0</v>
      </c>
    </row>
    <row r="1647" spans="1:16" ht="16.5" x14ac:dyDescent="0.25">
      <c r="A1647" s="2"/>
      <c r="B1647" s="4"/>
      <c r="C1647" s="18"/>
      <c r="E1647" s="20">
        <v>44265</v>
      </c>
      <c r="F1647" s="17" t="s">
        <v>93</v>
      </c>
      <c r="G1647" s="21">
        <v>8.8184722222222245</v>
      </c>
      <c r="H1647" s="21">
        <v>11.997921390778536</v>
      </c>
      <c r="I1647" s="25">
        <v>0.11499999999999999</v>
      </c>
      <c r="J1647" s="21">
        <v>1.1997921390778536</v>
      </c>
      <c r="K1647" s="21">
        <v>0.10375000000000001</v>
      </c>
      <c r="L1647" s="21">
        <v>0</v>
      </c>
      <c r="M1647" s="17" t="s">
        <v>121</v>
      </c>
      <c r="N1647" s="17" t="s">
        <v>115</v>
      </c>
      <c r="O1647" s="21">
        <v>0.59989606953892682</v>
      </c>
      <c r="P1647" s="21">
        <v>0</v>
      </c>
    </row>
    <row r="1648" spans="1:16" ht="16.5" x14ac:dyDescent="0.25">
      <c r="A1648" s="2"/>
      <c r="B1648" s="4"/>
      <c r="C1648" s="18"/>
      <c r="E1648" s="20">
        <v>44265</v>
      </c>
      <c r="F1648" s="17" t="s">
        <v>93</v>
      </c>
      <c r="G1648" s="21">
        <v>8.8184722222222245</v>
      </c>
      <c r="H1648" s="21">
        <v>11.198059964726635</v>
      </c>
      <c r="I1648" s="25">
        <v>6.2500000000000042E-2</v>
      </c>
      <c r="J1648" s="21">
        <v>1.1198059964726637</v>
      </c>
      <c r="K1648" s="21">
        <v>0.10375000000000001</v>
      </c>
      <c r="L1648" s="21">
        <v>0</v>
      </c>
      <c r="M1648" s="17" t="s">
        <v>120</v>
      </c>
      <c r="N1648" s="17" t="s">
        <v>115</v>
      </c>
      <c r="O1648" s="21">
        <v>0.55990299823633183</v>
      </c>
      <c r="P1648" s="21">
        <v>0</v>
      </c>
    </row>
    <row r="1649" spans="1:16" ht="16.5" x14ac:dyDescent="0.25">
      <c r="A1649" s="2"/>
      <c r="B1649" s="4"/>
      <c r="C1649" s="18"/>
      <c r="E1649" s="20">
        <v>44265</v>
      </c>
      <c r="F1649" s="17" t="s">
        <v>93</v>
      </c>
      <c r="G1649" s="21">
        <v>8.8184722222222245</v>
      </c>
      <c r="H1649" s="21">
        <v>10.49818121693122</v>
      </c>
      <c r="I1649" s="25">
        <v>1.0000000000000024E-2</v>
      </c>
      <c r="J1649" s="21">
        <v>1.0498181216931222</v>
      </c>
      <c r="K1649" s="21">
        <v>0.10375000000000001</v>
      </c>
      <c r="L1649" s="21">
        <v>0</v>
      </c>
      <c r="M1649" s="17" t="s">
        <v>113</v>
      </c>
      <c r="N1649" s="17" t="s">
        <v>115</v>
      </c>
      <c r="O1649" s="21">
        <v>0.52490906084656108</v>
      </c>
      <c r="P1649" s="21">
        <v>0</v>
      </c>
    </row>
    <row r="1650" spans="1:16" ht="16.5" x14ac:dyDescent="0.25">
      <c r="A1650" s="2"/>
      <c r="B1650" s="4"/>
      <c r="C1650" s="18"/>
      <c r="E1650" s="20">
        <v>44265</v>
      </c>
      <c r="F1650" s="17" t="s">
        <v>98</v>
      </c>
      <c r="G1650" s="21">
        <v>4.524</v>
      </c>
      <c r="H1650" s="21">
        <v>8.5005636978579489</v>
      </c>
      <c r="I1650" s="25">
        <v>0.13850000000000007</v>
      </c>
      <c r="J1650" s="21">
        <v>0.85005636978579491</v>
      </c>
      <c r="K1650" s="21">
        <v>0.57599999999999996</v>
      </c>
      <c r="L1650" s="21">
        <v>1.0200676437429539</v>
      </c>
      <c r="M1650" s="17" t="s">
        <v>122</v>
      </c>
      <c r="N1650" s="17" t="s">
        <v>117</v>
      </c>
      <c r="O1650" s="21">
        <v>0.42502818489289745</v>
      </c>
      <c r="P1650" s="21">
        <v>1.5241510710259303</v>
      </c>
    </row>
    <row r="1651" spans="1:16" ht="16.5" x14ac:dyDescent="0.25">
      <c r="A1651" s="2"/>
      <c r="B1651" s="4"/>
      <c r="C1651" s="18"/>
      <c r="E1651" s="20">
        <v>44265</v>
      </c>
      <c r="F1651" s="17" t="s">
        <v>98</v>
      </c>
      <c r="G1651" s="21">
        <v>4.524</v>
      </c>
      <c r="H1651" s="21">
        <v>7.3957822461991158</v>
      </c>
      <c r="I1651" s="25">
        <v>5.8999999999999775E-2</v>
      </c>
      <c r="J1651" s="21">
        <v>0.73957822461991163</v>
      </c>
      <c r="K1651" s="21">
        <v>0.57599999999999996</v>
      </c>
      <c r="L1651" s="21">
        <v>0.88749386954389387</v>
      </c>
      <c r="M1651" s="17" t="s">
        <v>120</v>
      </c>
      <c r="N1651" s="17" t="s">
        <v>117</v>
      </c>
      <c r="O1651" s="21">
        <v>0.36978911230995581</v>
      </c>
      <c r="P1651" s="21">
        <v>1.3260637567435016</v>
      </c>
    </row>
    <row r="1652" spans="1:16" ht="16.5" x14ac:dyDescent="0.25">
      <c r="A1652" s="2"/>
      <c r="B1652" s="4"/>
      <c r="C1652" s="18"/>
      <c r="E1652" s="20">
        <v>44265</v>
      </c>
      <c r="F1652" s="17" t="s">
        <v>98</v>
      </c>
      <c r="G1652" s="21">
        <v>4.524</v>
      </c>
      <c r="H1652" s="21">
        <v>7.8994237820848614</v>
      </c>
      <c r="I1652" s="25">
        <v>9.799999999999999E-2</v>
      </c>
      <c r="J1652" s="21">
        <v>0.78994237820848623</v>
      </c>
      <c r="K1652" s="21">
        <v>0.57599999999999996</v>
      </c>
      <c r="L1652" s="21">
        <v>0.94793085385018339</v>
      </c>
      <c r="M1652" s="17" t="s">
        <v>121</v>
      </c>
      <c r="N1652" s="17" t="s">
        <v>117</v>
      </c>
      <c r="O1652" s="21">
        <v>0.39497118910424311</v>
      </c>
      <c r="P1652" s="21">
        <v>1.4163666841278157</v>
      </c>
    </row>
    <row r="1653" spans="1:16" ht="16.5" x14ac:dyDescent="0.25">
      <c r="A1653" s="2"/>
      <c r="B1653" s="4"/>
      <c r="C1653" s="18"/>
      <c r="E1653" s="20">
        <v>44265</v>
      </c>
      <c r="F1653" s="17" t="s">
        <v>98</v>
      </c>
      <c r="G1653" s="21">
        <v>4.524</v>
      </c>
      <c r="H1653" s="21">
        <v>7.1958008589152218</v>
      </c>
      <c r="I1653" s="25">
        <v>4.2000000000000051E-2</v>
      </c>
      <c r="J1653" s="21">
        <v>0.71958008589152223</v>
      </c>
      <c r="K1653" s="21">
        <v>0.57599999999999996</v>
      </c>
      <c r="L1653" s="21">
        <v>0.8634961030698266</v>
      </c>
      <c r="M1653" s="17" t="s">
        <v>120</v>
      </c>
      <c r="N1653" s="17" t="s">
        <v>117</v>
      </c>
      <c r="O1653" s="21">
        <v>0.35979004294576111</v>
      </c>
      <c r="P1653" s="21">
        <v>1.2902070940034993</v>
      </c>
    </row>
    <row r="1654" spans="1:16" ht="16.5" x14ac:dyDescent="0.25">
      <c r="A1654" s="2"/>
      <c r="B1654" s="4"/>
      <c r="C1654" s="18"/>
      <c r="E1654" s="20">
        <v>44265</v>
      </c>
      <c r="F1654" s="17" t="s">
        <v>98</v>
      </c>
      <c r="G1654" s="21">
        <v>4.524</v>
      </c>
      <c r="H1654" s="21">
        <v>6.8994967210614613</v>
      </c>
      <c r="I1654" s="25">
        <v>1.5000000000000022E-2</v>
      </c>
      <c r="J1654" s="21">
        <v>0.68994967210614622</v>
      </c>
      <c r="K1654" s="21">
        <v>0.57599999999999996</v>
      </c>
      <c r="L1654" s="21">
        <v>0.8279396065273753</v>
      </c>
      <c r="M1654" s="17" t="s">
        <v>113</v>
      </c>
      <c r="N1654" s="17" t="s">
        <v>117</v>
      </c>
      <c r="O1654" s="21">
        <v>0.34497483605307311</v>
      </c>
      <c r="P1654" s="21">
        <v>1.2370797620863201</v>
      </c>
    </row>
    <row r="1655" spans="1:16" ht="16.5" x14ac:dyDescent="0.25">
      <c r="A1655" s="2"/>
      <c r="B1655" s="4"/>
      <c r="C1655" s="18"/>
      <c r="E1655" s="20">
        <v>44265</v>
      </c>
      <c r="F1655" s="17" t="s">
        <v>98</v>
      </c>
      <c r="G1655" s="21">
        <v>4.524</v>
      </c>
      <c r="H1655" s="21">
        <v>6.6043795620437962</v>
      </c>
      <c r="I1655" s="25">
        <v>0.16500000000000006</v>
      </c>
      <c r="J1655" s="21">
        <v>0.66043795620437962</v>
      </c>
      <c r="K1655" s="21">
        <v>0.57599999999999996</v>
      </c>
      <c r="L1655" s="21">
        <v>0</v>
      </c>
      <c r="M1655" s="17" t="s">
        <v>122</v>
      </c>
      <c r="N1655" s="17" t="s">
        <v>115</v>
      </c>
      <c r="O1655" s="21">
        <v>0.33021897810218981</v>
      </c>
      <c r="P1655" s="21">
        <v>0</v>
      </c>
    </row>
    <row r="1656" spans="1:16" ht="16.5" x14ac:dyDescent="0.25">
      <c r="A1656" s="2"/>
      <c r="B1656" s="4"/>
      <c r="C1656" s="18"/>
      <c r="E1656" s="20">
        <v>44265</v>
      </c>
      <c r="F1656" s="17" t="s">
        <v>98</v>
      </c>
      <c r="G1656" s="21">
        <v>4.524</v>
      </c>
      <c r="H1656" s="21">
        <v>6.1972602739726028</v>
      </c>
      <c r="I1656" s="25">
        <v>0.11999999999999998</v>
      </c>
      <c r="J1656" s="21">
        <v>0.61972602739726035</v>
      </c>
      <c r="K1656" s="21">
        <v>0.57599999999999996</v>
      </c>
      <c r="L1656" s="21">
        <v>0</v>
      </c>
      <c r="M1656" s="17" t="s">
        <v>121</v>
      </c>
      <c r="N1656" s="17" t="s">
        <v>115</v>
      </c>
      <c r="O1656" s="21">
        <v>0.30986301369863017</v>
      </c>
      <c r="P1656" s="21">
        <v>0</v>
      </c>
    </row>
    <row r="1657" spans="1:16" ht="16.5" x14ac:dyDescent="0.25">
      <c r="A1657" s="2"/>
      <c r="B1657" s="4"/>
      <c r="C1657" s="18"/>
      <c r="E1657" s="20">
        <v>44265</v>
      </c>
      <c r="F1657" s="17" t="s">
        <v>98</v>
      </c>
      <c r="G1657" s="21">
        <v>4.524</v>
      </c>
      <c r="H1657" s="21">
        <v>5.8</v>
      </c>
      <c r="I1657" s="25">
        <v>6.9999999999999965E-2</v>
      </c>
      <c r="J1657" s="21">
        <v>0.57999999999999996</v>
      </c>
      <c r="K1657" s="21">
        <v>0.57599999999999996</v>
      </c>
      <c r="L1657" s="21">
        <v>0</v>
      </c>
      <c r="M1657" s="17" t="s">
        <v>120</v>
      </c>
      <c r="N1657" s="17" t="s">
        <v>115</v>
      </c>
      <c r="O1657" s="21">
        <v>0.28999999999999998</v>
      </c>
      <c r="P1657" s="21">
        <v>0</v>
      </c>
    </row>
    <row r="1658" spans="1:16" ht="16.5" x14ac:dyDescent="0.25">
      <c r="A1658" s="2"/>
      <c r="B1658" s="4"/>
      <c r="C1658" s="18"/>
      <c r="E1658" s="20">
        <v>44265</v>
      </c>
      <c r="F1658" s="17" t="s">
        <v>98</v>
      </c>
      <c r="G1658" s="21">
        <v>4.524</v>
      </c>
      <c r="H1658" s="21">
        <v>5.5036496350364956</v>
      </c>
      <c r="I1658" s="25">
        <v>2.7999999999999876E-2</v>
      </c>
      <c r="J1658" s="21">
        <v>0.55036496350364961</v>
      </c>
      <c r="K1658" s="21">
        <v>0.57599999999999996</v>
      </c>
      <c r="L1658" s="21">
        <v>0</v>
      </c>
      <c r="M1658" s="17" t="s">
        <v>113</v>
      </c>
      <c r="N1658" s="17" t="s">
        <v>115</v>
      </c>
      <c r="O1658" s="21">
        <v>0.2751824817518248</v>
      </c>
      <c r="P1658" s="21">
        <v>0</v>
      </c>
    </row>
    <row r="1659" spans="1:16" ht="16.5" x14ac:dyDescent="0.25">
      <c r="A1659" s="2"/>
      <c r="B1659" s="4"/>
      <c r="C1659" s="18"/>
      <c r="E1659" s="20">
        <v>44265</v>
      </c>
      <c r="F1659" s="17" t="s">
        <v>98</v>
      </c>
      <c r="G1659" s="21">
        <v>4.524</v>
      </c>
      <c r="H1659" s="21">
        <v>5.5036496350364956</v>
      </c>
      <c r="I1659" s="25">
        <v>2.7999999999999876E-2</v>
      </c>
      <c r="J1659" s="21">
        <v>0.55036496350364961</v>
      </c>
      <c r="K1659" s="21">
        <v>0.57599999999999996</v>
      </c>
      <c r="L1659" s="21">
        <v>0</v>
      </c>
      <c r="M1659" s="17" t="s">
        <v>113</v>
      </c>
      <c r="N1659" s="17" t="s">
        <v>115</v>
      </c>
      <c r="O1659" s="21">
        <v>0.2751824817518248</v>
      </c>
      <c r="P1659" s="21">
        <v>0</v>
      </c>
    </row>
    <row r="1660" spans="1:16" ht="16.5" x14ac:dyDescent="0.25">
      <c r="A1660" s="2"/>
      <c r="B1660" s="4"/>
      <c r="C1660" s="18"/>
      <c r="E1660" s="20">
        <v>44265</v>
      </c>
      <c r="F1660" s="17" t="s">
        <v>97</v>
      </c>
      <c r="G1660" s="21">
        <v>6.1959999999999997</v>
      </c>
      <c r="H1660" s="21">
        <v>11.797410510281795</v>
      </c>
      <c r="I1660" s="25">
        <v>0.14549999999999991</v>
      </c>
      <c r="J1660" s="21">
        <v>1.1797410510281796</v>
      </c>
      <c r="K1660" s="21">
        <v>0.80399999999999994</v>
      </c>
      <c r="L1660" s="21">
        <v>1.4156892612338152</v>
      </c>
      <c r="M1660" s="17" t="s">
        <v>122</v>
      </c>
      <c r="N1660" s="17" t="s">
        <v>117</v>
      </c>
      <c r="O1660" s="21">
        <v>0.58987052551408981</v>
      </c>
      <c r="P1660" s="21">
        <v>2.1152757044935262</v>
      </c>
    </row>
    <row r="1661" spans="1:16" ht="16.5" x14ac:dyDescent="0.25">
      <c r="A1661" s="2"/>
      <c r="B1661" s="4"/>
      <c r="C1661" s="18"/>
      <c r="E1661" s="20">
        <v>44265</v>
      </c>
      <c r="F1661" s="17" t="s">
        <v>97</v>
      </c>
      <c r="G1661" s="21">
        <v>6.1959999999999997</v>
      </c>
      <c r="H1661" s="21">
        <v>10.800069722851662</v>
      </c>
      <c r="I1661" s="25">
        <v>9.699999999999992E-2</v>
      </c>
      <c r="J1661" s="21">
        <v>1.0800069722851662</v>
      </c>
      <c r="K1661" s="21">
        <v>0.80399999999999994</v>
      </c>
      <c r="L1661" s="21">
        <v>1.2960083667421993</v>
      </c>
      <c r="M1661" s="17" t="s">
        <v>121</v>
      </c>
      <c r="N1661" s="17" t="s">
        <v>117</v>
      </c>
      <c r="O1661" s="21">
        <v>0.54000348614258309</v>
      </c>
      <c r="P1661" s="21">
        <v>1.9364525013073031</v>
      </c>
    </row>
    <row r="1662" spans="1:16" ht="16.5" x14ac:dyDescent="0.25">
      <c r="A1662" s="2"/>
      <c r="B1662" s="4"/>
      <c r="C1662" s="18"/>
      <c r="E1662" s="20">
        <v>44265</v>
      </c>
      <c r="F1662" s="17" t="s">
        <v>97</v>
      </c>
      <c r="G1662" s="21">
        <v>6.1959999999999997</v>
      </c>
      <c r="H1662" s="21">
        <v>9.9983863159593334</v>
      </c>
      <c r="I1662" s="25">
        <v>5.0999999999999893E-2</v>
      </c>
      <c r="J1662" s="21">
        <v>0.99983863159593334</v>
      </c>
      <c r="K1662" s="21">
        <v>0.80399999999999994</v>
      </c>
      <c r="L1662" s="21">
        <v>1.1998063579151199</v>
      </c>
      <c r="M1662" s="17" t="s">
        <v>120</v>
      </c>
      <c r="N1662" s="17" t="s">
        <v>117</v>
      </c>
      <c r="O1662" s="21">
        <v>0.49991931579796667</v>
      </c>
      <c r="P1662" s="21">
        <v>1.7927106664515087</v>
      </c>
    </row>
    <row r="1663" spans="1:16" ht="16.5" x14ac:dyDescent="0.25">
      <c r="A1663" s="2"/>
      <c r="B1663" s="4"/>
      <c r="C1663" s="18"/>
      <c r="E1663" s="20">
        <v>44265</v>
      </c>
      <c r="F1663" s="17" t="s">
        <v>97</v>
      </c>
      <c r="G1663" s="21">
        <v>6.1959999999999997</v>
      </c>
      <c r="H1663" s="21">
        <v>9.500153327200243</v>
      </c>
      <c r="I1663" s="25">
        <v>1.8499999999999836E-2</v>
      </c>
      <c r="J1663" s="21">
        <v>0.95001533272002436</v>
      </c>
      <c r="K1663" s="21">
        <v>0.80399999999999994</v>
      </c>
      <c r="L1663" s="21">
        <v>1.1400183992640291</v>
      </c>
      <c r="M1663" s="17" t="s">
        <v>113</v>
      </c>
      <c r="N1663" s="17" t="s">
        <v>117</v>
      </c>
      <c r="O1663" s="21">
        <v>0.47500766636001218</v>
      </c>
      <c r="P1663" s="21">
        <v>1.7033774915670037</v>
      </c>
    </row>
    <row r="1664" spans="1:16" ht="16.5" x14ac:dyDescent="0.25">
      <c r="A1664" s="2"/>
      <c r="B1664" s="4"/>
      <c r="C1664" s="18"/>
      <c r="E1664" s="20">
        <v>44265</v>
      </c>
      <c r="F1664" s="17" t="s">
        <v>97</v>
      </c>
      <c r="G1664" s="21">
        <v>6.1959999999999997</v>
      </c>
      <c r="H1664" s="21">
        <v>8.9992737835875083</v>
      </c>
      <c r="I1664" s="25">
        <v>0.16149999999999998</v>
      </c>
      <c r="J1664" s="21">
        <v>0.89992737835875092</v>
      </c>
      <c r="K1664" s="21">
        <v>0.80399999999999994</v>
      </c>
      <c r="L1664" s="21">
        <v>0</v>
      </c>
      <c r="M1664" s="17" t="s">
        <v>122</v>
      </c>
      <c r="N1664" s="17" t="s">
        <v>115</v>
      </c>
      <c r="O1664" s="21">
        <v>0.44996368917937546</v>
      </c>
      <c r="P1664" s="21">
        <v>0</v>
      </c>
    </row>
    <row r="1665" spans="1:16" ht="16.5" x14ac:dyDescent="0.25">
      <c r="A1665" s="2"/>
      <c r="B1665" s="4"/>
      <c r="C1665" s="18"/>
      <c r="E1665" s="20">
        <v>44265</v>
      </c>
      <c r="F1665" s="17" t="s">
        <v>97</v>
      </c>
      <c r="G1665" s="21">
        <v>6.1959999999999997</v>
      </c>
      <c r="H1665" s="21">
        <v>8.3956639566395665</v>
      </c>
      <c r="I1665" s="25">
        <v>0.11200000000000003</v>
      </c>
      <c r="J1665" s="21">
        <v>0.83956639566395674</v>
      </c>
      <c r="K1665" s="21">
        <v>0.80399999999999994</v>
      </c>
      <c r="L1665" s="21">
        <v>0</v>
      </c>
      <c r="M1665" s="17" t="s">
        <v>121</v>
      </c>
      <c r="N1665" s="17" t="s">
        <v>115</v>
      </c>
      <c r="O1665" s="21">
        <v>0.41978319783197837</v>
      </c>
      <c r="P1665" s="21">
        <v>0</v>
      </c>
    </row>
    <row r="1666" spans="1:16" ht="16.5" x14ac:dyDescent="0.25">
      <c r="A1666" s="2"/>
      <c r="B1666" s="4"/>
      <c r="C1666" s="18"/>
      <c r="E1666" s="20">
        <v>44265</v>
      </c>
      <c r="F1666" s="17" t="s">
        <v>97</v>
      </c>
      <c r="G1666" s="21">
        <v>6.1959999999999997</v>
      </c>
      <c r="H1666" s="21">
        <v>7.9030612244897949</v>
      </c>
      <c r="I1666" s="25">
        <v>6.599999999999992E-2</v>
      </c>
      <c r="J1666" s="21">
        <v>0.79030612244897958</v>
      </c>
      <c r="K1666" s="21">
        <v>0.80399999999999994</v>
      </c>
      <c r="L1666" s="21">
        <v>0</v>
      </c>
      <c r="M1666" s="17" t="s">
        <v>120</v>
      </c>
      <c r="N1666" s="17" t="s">
        <v>115</v>
      </c>
      <c r="O1666" s="21">
        <v>0.39515306122448979</v>
      </c>
      <c r="P1666" s="21">
        <v>0</v>
      </c>
    </row>
    <row r="1667" spans="1:16" ht="16.5" x14ac:dyDescent="0.25">
      <c r="A1667" s="2"/>
      <c r="B1667" s="4"/>
      <c r="C1667" s="18"/>
      <c r="E1667" s="20">
        <v>44265</v>
      </c>
      <c r="F1667" s="17" t="s">
        <v>97</v>
      </c>
      <c r="G1667" s="21">
        <v>6.1959999999999997</v>
      </c>
      <c r="H1667" s="21">
        <v>7.5012106537530263</v>
      </c>
      <c r="I1667" s="25">
        <v>2.4000000000000004E-2</v>
      </c>
      <c r="J1667" s="21">
        <v>0.75012106537530265</v>
      </c>
      <c r="K1667" s="21">
        <v>0.80399999999999994</v>
      </c>
      <c r="L1667" s="21">
        <v>0</v>
      </c>
      <c r="M1667" s="17" t="s">
        <v>113</v>
      </c>
      <c r="N1667" s="17" t="s">
        <v>115</v>
      </c>
      <c r="O1667" s="21">
        <v>0.37506053268765133</v>
      </c>
      <c r="P1667" s="21">
        <v>0</v>
      </c>
    </row>
    <row r="1668" spans="1:16" ht="16.5" x14ac:dyDescent="0.25">
      <c r="A1668" s="2"/>
      <c r="B1668" s="4"/>
      <c r="C1668" s="18"/>
      <c r="E1668" s="20">
        <v>44265</v>
      </c>
      <c r="F1668" s="17" t="s">
        <v>88</v>
      </c>
      <c r="G1668" s="21">
        <v>4.5469411515151528</v>
      </c>
      <c r="H1668" s="21">
        <v>7.5032032203220345</v>
      </c>
      <c r="I1668" s="25">
        <v>0.24399999999999999</v>
      </c>
      <c r="J1668" s="21">
        <v>0.75032032203220345</v>
      </c>
      <c r="K1668" s="21">
        <v>0.30922916666666667</v>
      </c>
      <c r="L1668" s="21">
        <v>0</v>
      </c>
      <c r="M1668" s="17" t="s">
        <v>120</v>
      </c>
      <c r="N1668" s="17" t="s">
        <v>115</v>
      </c>
      <c r="O1668" s="21">
        <v>0.37516016101610172</v>
      </c>
      <c r="P1668" s="21">
        <v>0</v>
      </c>
    </row>
    <row r="1669" spans="1:16" ht="16.5" x14ac:dyDescent="0.25">
      <c r="A1669" s="2"/>
      <c r="B1669" s="4"/>
      <c r="C1669" s="18"/>
      <c r="E1669" s="20">
        <v>44265</v>
      </c>
      <c r="F1669" s="17" t="s">
        <v>88</v>
      </c>
      <c r="G1669" s="21">
        <v>4.5469411515151528</v>
      </c>
      <c r="H1669" s="21">
        <v>7.5032032203220345</v>
      </c>
      <c r="I1669" s="25">
        <v>0.24399999999999999</v>
      </c>
      <c r="J1669" s="21">
        <v>0.75032032203220345</v>
      </c>
      <c r="K1669" s="21">
        <v>0.30922916666666667</v>
      </c>
      <c r="L1669" s="21">
        <v>0</v>
      </c>
      <c r="M1669" s="17" t="s">
        <v>120</v>
      </c>
      <c r="N1669" s="17" t="s">
        <v>115</v>
      </c>
      <c r="O1669" s="21">
        <v>0.37516016101610172</v>
      </c>
      <c r="P1669" s="21">
        <v>0</v>
      </c>
    </row>
    <row r="1670" spans="1:16" ht="16.5" x14ac:dyDescent="0.25">
      <c r="A1670" s="2"/>
      <c r="B1670" s="4"/>
      <c r="C1670" s="18"/>
      <c r="E1670" s="20">
        <v>44265</v>
      </c>
      <c r="F1670" s="17" t="s">
        <v>88</v>
      </c>
      <c r="G1670" s="21">
        <v>4.5469411515151528</v>
      </c>
      <c r="H1670" s="21">
        <v>6.995294079254081</v>
      </c>
      <c r="I1670" s="25">
        <v>0.19999999999999996</v>
      </c>
      <c r="J1670" s="21">
        <v>0.69952940792540819</v>
      </c>
      <c r="K1670" s="21">
        <v>0.30922916666666667</v>
      </c>
      <c r="L1670" s="21">
        <v>0</v>
      </c>
      <c r="M1670" s="17" t="s">
        <v>113</v>
      </c>
      <c r="N1670" s="17" t="s">
        <v>115</v>
      </c>
      <c r="O1670" s="21">
        <v>0.34976470396270409</v>
      </c>
      <c r="P1670" s="21">
        <v>0</v>
      </c>
    </row>
    <row r="1671" spans="1:16" ht="16.5" x14ac:dyDescent="0.25">
      <c r="A1671" s="2"/>
      <c r="B1671" s="4"/>
      <c r="C1671" s="18"/>
      <c r="E1671" s="20">
        <v>44265</v>
      </c>
      <c r="F1671" s="17" t="s">
        <v>88</v>
      </c>
      <c r="G1671" s="21">
        <v>4.5469411515151528</v>
      </c>
      <c r="H1671" s="21">
        <v>9.0002793972984012</v>
      </c>
      <c r="I1671" s="25">
        <v>0.21549999999999997</v>
      </c>
      <c r="J1671" s="21">
        <v>0.90002793972984019</v>
      </c>
      <c r="K1671" s="21">
        <v>0.30922916666666667</v>
      </c>
      <c r="L1671" s="21">
        <v>0.63001955781088814</v>
      </c>
      <c r="M1671" s="17" t="s">
        <v>122</v>
      </c>
      <c r="N1671" s="17" t="s">
        <v>117</v>
      </c>
      <c r="O1671" s="21">
        <v>0.45001396986492009</v>
      </c>
      <c r="P1671" s="21">
        <v>1.1637361260706833</v>
      </c>
    </row>
    <row r="1672" spans="1:16" ht="16.5" x14ac:dyDescent="0.25">
      <c r="A1672" s="2"/>
      <c r="B1672" s="4"/>
      <c r="C1672" s="18"/>
      <c r="E1672" s="20">
        <v>44265</v>
      </c>
      <c r="F1672" s="17" t="s">
        <v>88</v>
      </c>
      <c r="G1672" s="21">
        <v>4.5469411515151528</v>
      </c>
      <c r="H1672" s="21">
        <v>8.6002291498300618</v>
      </c>
      <c r="I1672" s="25">
        <v>0.19200000000000009</v>
      </c>
      <c r="J1672" s="21">
        <v>0.8600229149830062</v>
      </c>
      <c r="K1672" s="21">
        <v>0.30922916666666667</v>
      </c>
      <c r="L1672" s="21">
        <v>0.60201604048810442</v>
      </c>
      <c r="M1672" s="17" t="s">
        <v>121</v>
      </c>
      <c r="N1672" s="17" t="s">
        <v>117</v>
      </c>
      <c r="O1672" s="21">
        <v>0.4300114574915031</v>
      </c>
      <c r="P1672" s="21">
        <v>1.112009629073027</v>
      </c>
    </row>
    <row r="1673" spans="1:16" ht="16.5" x14ac:dyDescent="0.25">
      <c r="A1673" s="2"/>
      <c r="B1673" s="4"/>
      <c r="C1673" s="18"/>
      <c r="E1673" s="20">
        <v>44265</v>
      </c>
      <c r="F1673" s="17" t="s">
        <v>88</v>
      </c>
      <c r="G1673" s="21">
        <v>4.5469411515151528</v>
      </c>
      <c r="H1673" s="21">
        <v>8.1971176338834564</v>
      </c>
      <c r="I1673" s="25">
        <v>0.16600000000000009</v>
      </c>
      <c r="J1673" s="21">
        <v>0.81971176338834573</v>
      </c>
      <c r="K1673" s="21">
        <v>0.30922916666666667</v>
      </c>
      <c r="L1673" s="21">
        <v>0.57379823437184196</v>
      </c>
      <c r="M1673" s="17" t="s">
        <v>120</v>
      </c>
      <c r="N1673" s="17" t="s">
        <v>117</v>
      </c>
      <c r="O1673" s="21">
        <v>0.40985588169417286</v>
      </c>
      <c r="P1673" s="21">
        <v>1.0598873100611308</v>
      </c>
    </row>
    <row r="1674" spans="1:16" ht="16.5" x14ac:dyDescent="0.25">
      <c r="A1674" s="2"/>
      <c r="B1674" s="4"/>
      <c r="C1674" s="18"/>
      <c r="E1674" s="20">
        <v>44265</v>
      </c>
      <c r="F1674" s="17" t="s">
        <v>88</v>
      </c>
      <c r="G1674" s="21">
        <v>4.5469411515151528</v>
      </c>
      <c r="H1674" s="21">
        <v>7.8981086529705609</v>
      </c>
      <c r="I1674" s="25">
        <v>0.14499999999999991</v>
      </c>
      <c r="J1674" s="21">
        <v>0.78981086529705613</v>
      </c>
      <c r="K1674" s="21">
        <v>0.30922916666666667</v>
      </c>
      <c r="L1674" s="21">
        <v>0.55286760570793936</v>
      </c>
      <c r="M1674" s="17" t="s">
        <v>113</v>
      </c>
      <c r="N1674" s="17" t="s">
        <v>117</v>
      </c>
      <c r="O1674" s="21">
        <v>0.39490543264852807</v>
      </c>
      <c r="P1674" s="21">
        <v>1.0212254488290935</v>
      </c>
    </row>
    <row r="1675" spans="1:16" ht="16.5" x14ac:dyDescent="0.25">
      <c r="A1675" s="2"/>
      <c r="B1675" s="4"/>
      <c r="C1675" s="18"/>
      <c r="E1675" s="20">
        <v>44265</v>
      </c>
      <c r="F1675" s="17" t="s">
        <v>88</v>
      </c>
      <c r="G1675" s="21">
        <v>4.5469411515151528</v>
      </c>
      <c r="H1675" s="21">
        <v>8.4989554233928093</v>
      </c>
      <c r="I1675" s="25">
        <v>0.315</v>
      </c>
      <c r="J1675" s="21">
        <v>0.849895542339281</v>
      </c>
      <c r="K1675" s="21">
        <v>0.30922916666666667</v>
      </c>
      <c r="L1675" s="21">
        <v>0</v>
      </c>
      <c r="M1675" s="17" t="s">
        <v>122</v>
      </c>
      <c r="N1675" s="17" t="s">
        <v>115</v>
      </c>
      <c r="O1675" s="21">
        <v>0.4249477711696405</v>
      </c>
      <c r="P1675" s="21">
        <v>0</v>
      </c>
    </row>
    <row r="1676" spans="1:16" ht="16.5" x14ac:dyDescent="0.25">
      <c r="A1676" s="2"/>
      <c r="B1676" s="4"/>
      <c r="C1676" s="18"/>
      <c r="E1676" s="20">
        <v>44265</v>
      </c>
      <c r="F1676" s="17" t="s">
        <v>88</v>
      </c>
      <c r="G1676" s="21">
        <v>4.5469411515151528</v>
      </c>
      <c r="H1676" s="21">
        <v>7.9981374696836456</v>
      </c>
      <c r="I1676" s="25">
        <v>0.28149999999999992</v>
      </c>
      <c r="J1676" s="21">
        <v>0.7998137469683646</v>
      </c>
      <c r="K1676" s="21">
        <v>0.30922916666666667</v>
      </c>
      <c r="L1676" s="21">
        <v>0</v>
      </c>
      <c r="M1676" s="17" t="s">
        <v>121</v>
      </c>
      <c r="N1676" s="17" t="s">
        <v>115</v>
      </c>
      <c r="O1676" s="21">
        <v>0.3999068734841823</v>
      </c>
      <c r="P1676" s="21">
        <v>0</v>
      </c>
    </row>
    <row r="1677" spans="1:16" ht="16.5" x14ac:dyDescent="0.25">
      <c r="A1677" s="2"/>
      <c r="B1677" s="4"/>
      <c r="C1677" s="18"/>
      <c r="E1677" s="20">
        <v>44265</v>
      </c>
      <c r="F1677" s="17" t="s">
        <v>88</v>
      </c>
      <c r="G1677" s="21">
        <v>4.5469411515151528</v>
      </c>
      <c r="H1677" s="21">
        <v>7.5032032203220345</v>
      </c>
      <c r="I1677" s="25">
        <v>0.24399999999999999</v>
      </c>
      <c r="J1677" s="21">
        <v>0.75032032203220345</v>
      </c>
      <c r="K1677" s="21">
        <v>0.30922916666666667</v>
      </c>
      <c r="L1677" s="21">
        <v>0</v>
      </c>
      <c r="M1677" s="17" t="s">
        <v>120</v>
      </c>
      <c r="N1677" s="17" t="s">
        <v>115</v>
      </c>
      <c r="O1677" s="21">
        <v>0.37516016101610172</v>
      </c>
      <c r="P1677" s="21">
        <v>0</v>
      </c>
    </row>
    <row r="1678" spans="1:16" ht="16.5" x14ac:dyDescent="0.25">
      <c r="A1678" s="2"/>
      <c r="B1678" s="4"/>
      <c r="C1678" s="18"/>
      <c r="E1678" s="20">
        <v>44265</v>
      </c>
      <c r="F1678" s="17" t="s">
        <v>86</v>
      </c>
      <c r="G1678" s="21">
        <v>6.1533390681818201</v>
      </c>
      <c r="H1678" s="21">
        <v>8.9049769438231845</v>
      </c>
      <c r="I1678" s="25">
        <v>0.159</v>
      </c>
      <c r="J1678" s="21">
        <v>0.89049769438231852</v>
      </c>
      <c r="K1678" s="21">
        <v>0.57637291666666668</v>
      </c>
      <c r="L1678" s="21">
        <v>0</v>
      </c>
      <c r="M1678" s="17" t="s">
        <v>122</v>
      </c>
      <c r="N1678" s="17" t="s">
        <v>115</v>
      </c>
      <c r="O1678" s="21">
        <v>0.44524884719115926</v>
      </c>
      <c r="P1678" s="21">
        <v>0</v>
      </c>
    </row>
    <row r="1679" spans="1:16" ht="16.5" x14ac:dyDescent="0.25">
      <c r="A1679" s="2"/>
      <c r="B1679" s="4"/>
      <c r="C1679" s="18"/>
      <c r="E1679" s="20">
        <v>44265</v>
      </c>
      <c r="F1679" s="17" t="s">
        <v>86</v>
      </c>
      <c r="G1679" s="21">
        <v>6.1533390681818201</v>
      </c>
      <c r="H1679" s="21">
        <v>8.6000546026300775</v>
      </c>
      <c r="I1679" s="25">
        <v>0.13450000000000006</v>
      </c>
      <c r="J1679" s="21">
        <v>0.86000546026300784</v>
      </c>
      <c r="K1679" s="21">
        <v>0.57637291666666668</v>
      </c>
      <c r="L1679" s="21">
        <v>0</v>
      </c>
      <c r="M1679" s="17" t="s">
        <v>121</v>
      </c>
      <c r="N1679" s="17" t="s">
        <v>115</v>
      </c>
      <c r="O1679" s="21">
        <v>0.43000273013150392</v>
      </c>
      <c r="P1679" s="21">
        <v>0</v>
      </c>
    </row>
    <row r="1680" spans="1:16" ht="16.5" x14ac:dyDescent="0.25">
      <c r="A1680" s="2"/>
      <c r="B1680" s="4"/>
      <c r="C1680" s="18"/>
      <c r="E1680" s="20">
        <v>44265</v>
      </c>
      <c r="F1680" s="17" t="s">
        <v>86</v>
      </c>
      <c r="G1680" s="21">
        <v>6.1533390681818201</v>
      </c>
      <c r="H1680" s="21">
        <v>8.3041013065881515</v>
      </c>
      <c r="I1680" s="25">
        <v>0.10900000000000003</v>
      </c>
      <c r="J1680" s="21">
        <v>0.83041013065881519</v>
      </c>
      <c r="K1680" s="21">
        <v>0.57637291666666668</v>
      </c>
      <c r="L1680" s="21">
        <v>0</v>
      </c>
      <c r="M1680" s="17" t="s">
        <v>120</v>
      </c>
      <c r="N1680" s="17" t="s">
        <v>115</v>
      </c>
      <c r="O1680" s="21">
        <v>0.4152050653294076</v>
      </c>
      <c r="P1680" s="21">
        <v>0</v>
      </c>
    </row>
    <row r="1681" spans="1:16" ht="16.5" x14ac:dyDescent="0.25">
      <c r="A1681" s="2"/>
      <c r="B1681" s="4"/>
      <c r="C1681" s="18"/>
      <c r="E1681" s="20">
        <v>44265</v>
      </c>
      <c r="F1681" s="17" t="s">
        <v>86</v>
      </c>
      <c r="G1681" s="21">
        <v>6.1533390681818201</v>
      </c>
      <c r="H1681" s="21">
        <v>8.001741311029674</v>
      </c>
      <c r="I1681" s="25">
        <v>8.0999999999999905E-2</v>
      </c>
      <c r="J1681" s="21">
        <v>0.80017413110296742</v>
      </c>
      <c r="K1681" s="21">
        <v>0.57637291666666668</v>
      </c>
      <c r="L1681" s="21">
        <v>0</v>
      </c>
      <c r="M1681" s="17" t="s">
        <v>113</v>
      </c>
      <c r="N1681" s="17" t="s">
        <v>115</v>
      </c>
      <c r="O1681" s="21">
        <v>0.40008706555148371</v>
      </c>
      <c r="P1681" s="21">
        <v>0</v>
      </c>
    </row>
    <row r="1682" spans="1:16" ht="16.5" x14ac:dyDescent="0.25">
      <c r="A1682" s="2"/>
      <c r="B1682" s="4"/>
      <c r="C1682" s="18"/>
      <c r="E1682" s="20">
        <v>44265</v>
      </c>
      <c r="F1682" s="17" t="s">
        <v>86</v>
      </c>
      <c r="G1682" s="21">
        <v>6.1533390681818201</v>
      </c>
      <c r="H1682" s="21">
        <v>10.201158932662169</v>
      </c>
      <c r="I1682" s="25">
        <v>0.11750000000000005</v>
      </c>
      <c r="J1682" s="21">
        <v>1.0201158932662169</v>
      </c>
      <c r="K1682" s="21">
        <v>0.57637291666666668</v>
      </c>
      <c r="L1682" s="21">
        <v>0.71408112528635193</v>
      </c>
      <c r="M1682" s="17" t="s">
        <v>122</v>
      </c>
      <c r="N1682" s="17" t="s">
        <v>117</v>
      </c>
      <c r="O1682" s="21">
        <v>0.51005794663310844</v>
      </c>
      <c r="P1682" s="21">
        <v>1.3190098499932184</v>
      </c>
    </row>
    <row r="1683" spans="1:16" ht="16.5" x14ac:dyDescent="0.25">
      <c r="A1683" s="2"/>
      <c r="B1683" s="4"/>
      <c r="C1683" s="18"/>
      <c r="E1683" s="20">
        <v>44265</v>
      </c>
      <c r="F1683" s="17" t="s">
        <v>86</v>
      </c>
      <c r="G1683" s="21">
        <v>6.1533390681818201</v>
      </c>
      <c r="H1683" s="21">
        <v>9.8976018468422406</v>
      </c>
      <c r="I1683" s="25">
        <v>9.9000000000000143E-2</v>
      </c>
      <c r="J1683" s="21">
        <v>0.98976018468422411</v>
      </c>
      <c r="K1683" s="21">
        <v>0.57637291666666668</v>
      </c>
      <c r="L1683" s="21">
        <v>0.69283212927895688</v>
      </c>
      <c r="M1683" s="17" t="s">
        <v>121</v>
      </c>
      <c r="N1683" s="17" t="s">
        <v>117</v>
      </c>
      <c r="O1683" s="21">
        <v>0.49488009234211205</v>
      </c>
      <c r="P1683" s="21">
        <v>1.2797599187967017</v>
      </c>
    </row>
    <row r="1684" spans="1:16" ht="16.5" x14ac:dyDescent="0.25">
      <c r="A1684" s="2"/>
      <c r="B1684" s="4"/>
      <c r="C1684" s="18"/>
      <c r="E1684" s="20">
        <v>44265</v>
      </c>
      <c r="F1684" s="17" t="s">
        <v>86</v>
      </c>
      <c r="G1684" s="21">
        <v>6.1533390681818201</v>
      </c>
      <c r="H1684" s="21">
        <v>9.6040878229777107</v>
      </c>
      <c r="I1684" s="25">
        <v>7.999999999999996E-2</v>
      </c>
      <c r="J1684" s="21">
        <v>0.96040878229777116</v>
      </c>
      <c r="K1684" s="21">
        <v>0.57637291666666668</v>
      </c>
      <c r="L1684" s="21">
        <v>0.67228614760843985</v>
      </c>
      <c r="M1684" s="17" t="s">
        <v>120</v>
      </c>
      <c r="N1684" s="17" t="s">
        <v>117</v>
      </c>
      <c r="O1684" s="21">
        <v>0.48020439114888558</v>
      </c>
      <c r="P1684" s="21">
        <v>1.2418085555110179</v>
      </c>
    </row>
    <row r="1685" spans="1:16" ht="16.5" x14ac:dyDescent="0.25">
      <c r="A1685" s="2"/>
      <c r="B1685" s="4"/>
      <c r="C1685" s="18"/>
      <c r="E1685" s="20">
        <v>44265</v>
      </c>
      <c r="F1685" s="17" t="s">
        <v>86</v>
      </c>
      <c r="G1685" s="21">
        <v>6.1533390681818201</v>
      </c>
      <c r="H1685" s="21">
        <v>9.2992883001085396</v>
      </c>
      <c r="I1685" s="25">
        <v>5.9000000000000004E-2</v>
      </c>
      <c r="J1685" s="21">
        <v>0.92992883001085402</v>
      </c>
      <c r="K1685" s="21">
        <v>0.57637291666666668</v>
      </c>
      <c r="L1685" s="21">
        <v>0.65095018100759783</v>
      </c>
      <c r="M1685" s="17" t="s">
        <v>113</v>
      </c>
      <c r="N1685" s="17" t="s">
        <v>117</v>
      </c>
      <c r="O1685" s="21">
        <v>0.46496441500542701</v>
      </c>
      <c r="P1685" s="21">
        <v>1.2023979772040341</v>
      </c>
    </row>
    <row r="1686" spans="1:16" ht="16.5" x14ac:dyDescent="0.25">
      <c r="A1686" s="2"/>
      <c r="B1686" s="4"/>
      <c r="C1686" s="18"/>
      <c r="E1686" s="20">
        <v>44265</v>
      </c>
      <c r="F1686" s="17" t="s">
        <v>88</v>
      </c>
      <c r="G1686" s="21">
        <v>4.5469411515151528</v>
      </c>
      <c r="H1686" s="21">
        <v>7.8981086529705609</v>
      </c>
      <c r="I1686" s="25">
        <v>0.14499999999999991</v>
      </c>
      <c r="J1686" s="21">
        <v>0.78981086529705613</v>
      </c>
      <c r="K1686" s="21">
        <v>0.30922916666666667</v>
      </c>
      <c r="L1686" s="21">
        <v>0.55286760570793936</v>
      </c>
      <c r="M1686" s="17" t="s">
        <v>113</v>
      </c>
      <c r="N1686" s="17" t="s">
        <v>117</v>
      </c>
      <c r="O1686" s="21">
        <v>0.39490543264852807</v>
      </c>
      <c r="P1686" s="21">
        <v>1.0212254488290935</v>
      </c>
    </row>
    <row r="1687" spans="1:16" ht="16.5" x14ac:dyDescent="0.25">
      <c r="A1687" s="2"/>
      <c r="B1687" s="4"/>
      <c r="C1687" s="18"/>
      <c r="E1687" s="20">
        <v>44265</v>
      </c>
      <c r="F1687" s="17" t="s">
        <v>86</v>
      </c>
      <c r="G1687" s="21">
        <v>6.1533390681818201</v>
      </c>
      <c r="H1687" s="21">
        <v>10.243614230367605</v>
      </c>
      <c r="I1687" s="25">
        <v>0.12000000000000006</v>
      </c>
      <c r="J1687" s="21">
        <v>1.0243614230367606</v>
      </c>
      <c r="K1687" s="21">
        <v>0.57637291666666668</v>
      </c>
      <c r="L1687" s="21">
        <v>0.71705299612573237</v>
      </c>
      <c r="M1687" s="17" t="s">
        <v>122</v>
      </c>
      <c r="N1687" s="17" t="s">
        <v>117</v>
      </c>
      <c r="O1687" s="21">
        <v>0.51218071151838029</v>
      </c>
      <c r="P1687" s="21">
        <v>1.3244993199865314</v>
      </c>
    </row>
    <row r="1688" spans="1:16" ht="16.5" x14ac:dyDescent="0.25">
      <c r="A1688" s="2"/>
      <c r="B1688" s="4"/>
      <c r="C1688" s="18"/>
      <c r="E1688" s="20">
        <v>44265</v>
      </c>
      <c r="F1688" s="17" t="s">
        <v>86</v>
      </c>
      <c r="G1688" s="21">
        <v>6.1533390681818201</v>
      </c>
      <c r="H1688" s="21">
        <v>9.9135477173865318</v>
      </c>
      <c r="I1688" s="25">
        <v>0.10000000000000007</v>
      </c>
      <c r="J1688" s="21">
        <v>0.99135477173865327</v>
      </c>
      <c r="K1688" s="21">
        <v>0.57637291666666668</v>
      </c>
      <c r="L1688" s="21">
        <v>0.69394834021705731</v>
      </c>
      <c r="M1688" s="17" t="s">
        <v>121</v>
      </c>
      <c r="N1688" s="17" t="s">
        <v>117</v>
      </c>
      <c r="O1688" s="21">
        <v>0.49567738586932664</v>
      </c>
      <c r="P1688" s="21">
        <v>1.2818217198580786</v>
      </c>
    </row>
    <row r="1689" spans="1:16" ht="16.5" x14ac:dyDescent="0.25">
      <c r="A1689" s="2"/>
      <c r="B1689" s="4"/>
      <c r="C1689" s="18"/>
      <c r="E1689" s="20">
        <v>44265</v>
      </c>
      <c r="F1689" s="17" t="s">
        <v>86</v>
      </c>
      <c r="G1689" s="21">
        <v>6.1533390681818201</v>
      </c>
      <c r="H1689" s="21">
        <v>9.6040878229777107</v>
      </c>
      <c r="I1689" s="25">
        <v>7.999999999999996E-2</v>
      </c>
      <c r="J1689" s="21">
        <v>0.96040878229777116</v>
      </c>
      <c r="K1689" s="21">
        <v>0.57637291666666668</v>
      </c>
      <c r="L1689" s="21">
        <v>0.67228614760843985</v>
      </c>
      <c r="M1689" s="17" t="s">
        <v>120</v>
      </c>
      <c r="N1689" s="17" t="s">
        <v>117</v>
      </c>
      <c r="O1689" s="21">
        <v>0.48020439114888558</v>
      </c>
      <c r="P1689" s="21">
        <v>1.2418085555110179</v>
      </c>
    </row>
    <row r="1690" spans="1:16" ht="16.5" x14ac:dyDescent="0.25">
      <c r="A1690" s="2"/>
      <c r="B1690" s="4"/>
      <c r="C1690" s="18"/>
      <c r="E1690" s="20">
        <v>44265</v>
      </c>
      <c r="F1690" s="17" t="s">
        <v>86</v>
      </c>
      <c r="G1690" s="21">
        <v>6.1533390681818201</v>
      </c>
      <c r="H1690" s="21">
        <v>9.3133632029390334</v>
      </c>
      <c r="I1690" s="25">
        <v>6.0000000000000019E-2</v>
      </c>
      <c r="J1690" s="21">
        <v>0.93133632029390334</v>
      </c>
      <c r="K1690" s="21">
        <v>0.57637291666666668</v>
      </c>
      <c r="L1690" s="21">
        <v>0.65193542420573236</v>
      </c>
      <c r="M1690" s="17" t="s">
        <v>113</v>
      </c>
      <c r="N1690" s="17" t="s">
        <v>117</v>
      </c>
      <c r="O1690" s="21">
        <v>0.46566816014695167</v>
      </c>
      <c r="P1690" s="21">
        <v>1.204217862140017</v>
      </c>
    </row>
    <row r="1691" spans="1:16" ht="16.5" x14ac:dyDescent="0.25">
      <c r="A1691" s="2"/>
      <c r="B1691" s="4"/>
      <c r="C1691" s="18"/>
      <c r="E1691" s="20">
        <v>44265</v>
      </c>
      <c r="F1691" s="17" t="s">
        <v>86</v>
      </c>
      <c r="G1691" s="21">
        <v>5.9087312500000007</v>
      </c>
      <c r="H1691" s="21">
        <v>8.666707214220839</v>
      </c>
      <c r="I1691" s="25">
        <v>7.3542431475733777E-2</v>
      </c>
      <c r="J1691" s="21">
        <v>0</v>
      </c>
      <c r="K1691" s="21">
        <v>0.57637291666666668</v>
      </c>
      <c r="L1691" s="21">
        <v>0.6066695049954588</v>
      </c>
      <c r="M1691" s="17" t="s">
        <v>113</v>
      </c>
      <c r="N1691" s="17" t="s">
        <v>117</v>
      </c>
      <c r="O1691" s="21">
        <v>1</v>
      </c>
      <c r="P1691" s="21">
        <v>1.1206052427987545</v>
      </c>
    </row>
    <row r="1692" spans="1:16" ht="16.5" x14ac:dyDescent="0.25">
      <c r="A1692" s="2"/>
      <c r="B1692" s="4"/>
      <c r="C1692" s="18"/>
      <c r="E1692" s="20">
        <v>44265</v>
      </c>
      <c r="F1692" s="17" t="s">
        <v>86</v>
      </c>
      <c r="G1692" s="21">
        <v>5.9087312500000007</v>
      </c>
      <c r="H1692" s="21">
        <v>7.7861849661192153</v>
      </c>
      <c r="I1692" s="25">
        <v>-1.6606335524089837E-2</v>
      </c>
      <c r="J1692" s="21">
        <v>0</v>
      </c>
      <c r="K1692" s="21">
        <v>0.57637291666666668</v>
      </c>
      <c r="L1692" s="21">
        <v>0.54503294762834509</v>
      </c>
      <c r="M1692" s="17" t="s">
        <v>113</v>
      </c>
      <c r="N1692" s="17" t="s">
        <v>117</v>
      </c>
      <c r="O1692" s="12">
        <v>1</v>
      </c>
      <c r="P1692" s="12">
        <v>1.0067537161192146</v>
      </c>
    </row>
    <row r="1693" spans="1:16" ht="16.5" x14ac:dyDescent="0.25">
      <c r="A1693" s="2"/>
      <c r="B1693" s="4"/>
      <c r="C1693" s="18"/>
      <c r="E1693" s="20"/>
      <c r="F1693" s="17"/>
      <c r="G1693" s="21"/>
      <c r="H1693" s="21"/>
      <c r="I1693" s="25"/>
      <c r="J1693" s="21"/>
      <c r="K1693" s="21"/>
      <c r="L1693" s="21"/>
      <c r="M1693" s="17"/>
      <c r="N1693" s="17"/>
    </row>
    <row r="1694" spans="1:16" ht="16.5" x14ac:dyDescent="0.25">
      <c r="A1694" s="2"/>
      <c r="B1694" s="4"/>
      <c r="C1694" s="18"/>
      <c r="E1694" s="20"/>
      <c r="F1694" s="17"/>
      <c r="G1694" s="21"/>
      <c r="I1694" s="22"/>
      <c r="J1694" s="21"/>
      <c r="K1694" s="21"/>
      <c r="L1694" s="21"/>
      <c r="M1694" s="21"/>
      <c r="N1694" s="17"/>
    </row>
    <row r="1695" spans="1:16" ht="16.5" x14ac:dyDescent="0.25">
      <c r="A1695" s="2"/>
      <c r="B1695" s="4"/>
      <c r="C1695" s="18"/>
      <c r="E1695" s="20"/>
      <c r="F1695" s="17"/>
      <c r="G1695" s="21"/>
      <c r="I1695" s="22"/>
      <c r="J1695" s="21"/>
      <c r="K1695" s="21"/>
      <c r="L1695" s="21"/>
      <c r="M1695" s="21"/>
      <c r="N1695" s="17"/>
    </row>
    <row r="1696" spans="1:16" ht="16.5" x14ac:dyDescent="0.25">
      <c r="A1696" s="2"/>
      <c r="B1696" s="4"/>
      <c r="C1696" s="18"/>
      <c r="E1696" s="20"/>
      <c r="F1696" s="17"/>
      <c r="G1696" s="21"/>
      <c r="H1696" s="21"/>
      <c r="I1696" s="25"/>
      <c r="J1696" s="21"/>
      <c r="K1696" s="21"/>
      <c r="L1696" s="21"/>
      <c r="M1696" s="17"/>
      <c r="N1696" s="17"/>
    </row>
    <row r="1697" spans="1:14" ht="16.5" x14ac:dyDescent="0.25">
      <c r="A1697" s="2"/>
      <c r="B1697" s="4"/>
      <c r="C1697" s="18"/>
      <c r="E1697" s="20"/>
      <c r="G1697" s="21"/>
      <c r="H1697" s="26"/>
      <c r="I1697" s="27"/>
      <c r="J1697" s="21"/>
      <c r="K1697" s="21"/>
      <c r="L1697" s="21"/>
      <c r="M1697" s="12"/>
      <c r="N1697" s="26"/>
    </row>
    <row r="1698" spans="1:14" ht="16.5" x14ac:dyDescent="0.25">
      <c r="A1698" s="2"/>
      <c r="B1698" s="4"/>
      <c r="C1698" s="18"/>
      <c r="E1698" s="20"/>
      <c r="G1698" s="21"/>
      <c r="H1698" s="26"/>
      <c r="I1698" s="27"/>
      <c r="J1698" s="21"/>
      <c r="K1698" s="21"/>
      <c r="L1698" s="21"/>
      <c r="M1698" s="12"/>
      <c r="N1698" s="26"/>
    </row>
    <row r="1699" spans="1:14" ht="16.5" x14ac:dyDescent="0.25">
      <c r="A1699" s="2"/>
      <c r="B1699" s="4"/>
      <c r="C1699" s="18"/>
      <c r="E1699" s="20"/>
      <c r="G1699" s="21"/>
      <c r="I1699" s="28"/>
      <c r="J1699" s="21"/>
      <c r="K1699" s="21"/>
      <c r="L1699" s="21"/>
      <c r="M1699" s="12"/>
      <c r="N1699" s="12"/>
    </row>
    <row r="1700" spans="1:14" ht="16.5" x14ac:dyDescent="0.25">
      <c r="A1700" s="2"/>
      <c r="B1700" s="4"/>
      <c r="C1700" s="18"/>
      <c r="E1700" s="20"/>
      <c r="G1700" s="21"/>
      <c r="H1700" s="21"/>
      <c r="I1700" s="22"/>
      <c r="J1700" s="21"/>
      <c r="K1700" s="21"/>
      <c r="L1700" s="21"/>
      <c r="M1700" s="21"/>
      <c r="N1700" s="21"/>
    </row>
    <row r="1701" spans="1:14" ht="16.5" x14ac:dyDescent="0.25">
      <c r="A1701" s="2"/>
      <c r="B1701" s="4"/>
      <c r="C1701" s="18"/>
      <c r="E1701" s="20"/>
      <c r="G1701" s="21"/>
      <c r="I1701" s="25"/>
      <c r="J1701" s="21"/>
      <c r="K1701" s="21"/>
      <c r="L1701" s="21"/>
      <c r="M1701" s="17"/>
      <c r="N1701" s="12"/>
    </row>
    <row r="1702" spans="1:14" ht="16.5" x14ac:dyDescent="0.25">
      <c r="A1702" s="2"/>
      <c r="B1702" s="4"/>
      <c r="C1702" s="18"/>
      <c r="E1702" s="20"/>
      <c r="G1702" s="21"/>
      <c r="I1702" s="25"/>
      <c r="J1702" s="21"/>
      <c r="K1702" s="21"/>
      <c r="L1702" s="21"/>
      <c r="M1702" s="17"/>
      <c r="N1702" s="17"/>
    </row>
    <row r="1703" spans="1:14" ht="16.5" x14ac:dyDescent="0.25">
      <c r="A1703" s="2"/>
      <c r="B1703" s="4"/>
      <c r="C1703" s="18"/>
      <c r="E1703" s="20"/>
      <c r="G1703" s="21"/>
      <c r="I1703" s="25"/>
      <c r="J1703" s="21"/>
      <c r="K1703" s="21"/>
      <c r="L1703" s="21"/>
      <c r="M1703" s="17"/>
      <c r="N1703" s="17"/>
    </row>
    <row r="1704" spans="1:14" ht="16.5" x14ac:dyDescent="0.25">
      <c r="A1704" s="2"/>
      <c r="B1704" s="4"/>
      <c r="C1704" s="18"/>
    </row>
    <row r="1705" spans="1:14" x14ac:dyDescent="0.25">
      <c r="A1705" s="2"/>
      <c r="B1705" s="2"/>
      <c r="C1705" s="18"/>
    </row>
    <row r="1706" spans="1:14" x14ac:dyDescent="0.25">
      <c r="A1706" s="2"/>
      <c r="B1706" s="2"/>
      <c r="C1706" s="18"/>
    </row>
    <row r="1707" spans="1:14" x14ac:dyDescent="0.25">
      <c r="A1707" s="2"/>
      <c r="B1707" s="2"/>
      <c r="C1707" s="18"/>
    </row>
    <row r="1708" spans="1:14" x14ac:dyDescent="0.25">
      <c r="A1708" s="2"/>
      <c r="B1708" s="2"/>
      <c r="C1708" s="18"/>
    </row>
    <row r="1709" spans="1:14" x14ac:dyDescent="0.25">
      <c r="A1709" s="2"/>
      <c r="B1709" s="2"/>
      <c r="C1709" s="18"/>
    </row>
    <row r="1710" spans="1:14" x14ac:dyDescent="0.25">
      <c r="A1710" s="2"/>
      <c r="B1710" s="2"/>
      <c r="C1710" s="18"/>
    </row>
    <row r="1711" spans="1:14" x14ac:dyDescent="0.25">
      <c r="A1711" s="2"/>
      <c r="B1711" s="2"/>
      <c r="C1711" s="18"/>
    </row>
    <row r="1712" spans="1:14" x14ac:dyDescent="0.25">
      <c r="A1712" s="2"/>
      <c r="B1712" s="2"/>
      <c r="C1712" s="18"/>
    </row>
    <row r="1713" spans="1:3" x14ac:dyDescent="0.25">
      <c r="A1713" s="2"/>
      <c r="B1713" s="2"/>
      <c r="C1713" s="18"/>
    </row>
    <row r="1714" spans="1:3" ht="16.5" x14ac:dyDescent="0.25">
      <c r="A1714" s="2"/>
      <c r="B1714" s="5"/>
      <c r="C1714" s="18"/>
    </row>
    <row r="1715" spans="1:3" ht="16.5" x14ac:dyDescent="0.25">
      <c r="A1715" s="2"/>
      <c r="B1715" s="5"/>
      <c r="C1715" s="18"/>
    </row>
    <row r="1716" spans="1:3" ht="16.5" x14ac:dyDescent="0.25">
      <c r="A1716" s="2"/>
      <c r="B1716" s="4"/>
      <c r="C1716" s="18"/>
    </row>
    <row r="1717" spans="1:3" ht="19.5" x14ac:dyDescent="0.25">
      <c r="A1717" s="2"/>
      <c r="B1717" s="6"/>
      <c r="C1717" s="18"/>
    </row>
    <row r="1718" spans="1:3" x14ac:dyDescent="0.25">
      <c r="A1718" s="2"/>
      <c r="B1718" s="7"/>
      <c r="C1718" s="18"/>
    </row>
    <row r="1719" spans="1:3" x14ac:dyDescent="0.25">
      <c r="A1719" s="2"/>
      <c r="B1719" s="2"/>
      <c r="C1719" s="18"/>
    </row>
    <row r="1720" spans="1:3" x14ac:dyDescent="0.25">
      <c r="A1720" s="2"/>
      <c r="B1720" s="2"/>
      <c r="C1720" s="18"/>
    </row>
    <row r="1721" spans="1:3" x14ac:dyDescent="0.25">
      <c r="A1721" s="2"/>
      <c r="B1721" s="2"/>
      <c r="C1721" s="18"/>
    </row>
    <row r="1722" spans="1:3" x14ac:dyDescent="0.25">
      <c r="A1722" s="2"/>
      <c r="B1722" s="2"/>
      <c r="C1722" s="18"/>
    </row>
    <row r="1723" spans="1:3" x14ac:dyDescent="0.25">
      <c r="A1723" s="2"/>
      <c r="B1723" s="2"/>
      <c r="C1723" s="18"/>
    </row>
    <row r="1724" spans="1:3" x14ac:dyDescent="0.25">
      <c r="A1724" s="2"/>
      <c r="B1724" s="2"/>
      <c r="C1724" s="18"/>
    </row>
    <row r="1725" spans="1:3" x14ac:dyDescent="0.25">
      <c r="A1725" s="2"/>
      <c r="B1725" s="2"/>
      <c r="C1725" s="18"/>
    </row>
    <row r="1726" spans="1:3" x14ac:dyDescent="0.25">
      <c r="A1726" s="2"/>
      <c r="B1726" s="2"/>
      <c r="C1726" s="18"/>
    </row>
    <row r="1727" spans="1:3" x14ac:dyDescent="0.25">
      <c r="A1727" s="2"/>
      <c r="B1727" s="2"/>
      <c r="C1727" s="18"/>
    </row>
    <row r="1728" spans="1:3" x14ac:dyDescent="0.25">
      <c r="A1728" s="2"/>
      <c r="B1728" s="2"/>
      <c r="C1728" s="18"/>
    </row>
    <row r="1729" spans="1:3" x14ac:dyDescent="0.25">
      <c r="A1729" s="2"/>
      <c r="B1729" s="2"/>
      <c r="C1729" s="18"/>
    </row>
    <row r="1730" spans="1:3" x14ac:dyDescent="0.25">
      <c r="A1730" s="2"/>
      <c r="B1730" s="2"/>
      <c r="C1730" s="18"/>
    </row>
    <row r="1731" spans="1:3" x14ac:dyDescent="0.25">
      <c r="A1731" s="2"/>
      <c r="B1731" s="2"/>
      <c r="C1731" s="18"/>
    </row>
    <row r="1732" spans="1:3" ht="16.5" x14ac:dyDescent="0.25">
      <c r="A1732" s="2"/>
      <c r="B1732" s="5"/>
      <c r="C1732" s="18"/>
    </row>
    <row r="1733" spans="1:3" ht="19.5" x14ac:dyDescent="0.25">
      <c r="A1733" s="2"/>
      <c r="B1733" s="8"/>
      <c r="C1733" s="18"/>
    </row>
    <row r="1734" spans="1:3" ht="19.5" x14ac:dyDescent="0.25">
      <c r="A1734" s="2"/>
      <c r="B1734" s="8"/>
      <c r="C1734" s="18"/>
    </row>
    <row r="1735" spans="1:3" x14ac:dyDescent="0.25">
      <c r="A1735" s="2"/>
      <c r="B1735" s="7"/>
      <c r="C1735" s="18"/>
    </row>
    <row r="1736" spans="1:3" x14ac:dyDescent="0.25">
      <c r="A1736" s="2"/>
      <c r="B1736" s="2"/>
      <c r="C1736" s="18"/>
    </row>
    <row r="1737" spans="1:3" x14ac:dyDescent="0.25">
      <c r="A1737" s="2"/>
      <c r="B1737" s="2"/>
      <c r="C1737" s="18"/>
    </row>
    <row r="1738" spans="1:3" x14ac:dyDescent="0.25">
      <c r="A1738" s="2"/>
      <c r="B1738" s="2"/>
      <c r="C1738" s="18"/>
    </row>
    <row r="1739" spans="1:3" x14ac:dyDescent="0.25">
      <c r="A1739" s="2"/>
      <c r="B1739" s="259"/>
      <c r="C1739" s="18"/>
    </row>
    <row r="1740" spans="1:3" x14ac:dyDescent="0.25">
      <c r="A1740" s="2"/>
      <c r="B1740" s="259"/>
      <c r="C1740" s="18"/>
    </row>
    <row r="1741" spans="1:3" x14ac:dyDescent="0.25">
      <c r="A1741" s="2"/>
      <c r="B1741" s="259"/>
      <c r="C1741" s="18"/>
    </row>
    <row r="1742" spans="1:3" x14ac:dyDescent="0.25">
      <c r="A1742" s="2"/>
      <c r="B1742" s="259"/>
      <c r="C1742" s="18"/>
    </row>
    <row r="1743" spans="1:3" x14ac:dyDescent="0.25">
      <c r="A1743" s="2"/>
      <c r="B1743" s="2"/>
      <c r="C1743" s="18"/>
    </row>
    <row r="1744" spans="1:3" x14ac:dyDescent="0.25">
      <c r="A1744" s="2"/>
      <c r="B1744" s="2"/>
      <c r="C1744" s="18"/>
    </row>
    <row r="1745" spans="1:3" x14ac:dyDescent="0.25">
      <c r="A1745" s="2"/>
      <c r="B1745" s="2"/>
      <c r="C1745" s="18"/>
    </row>
    <row r="1746" spans="1:3" x14ac:dyDescent="0.25">
      <c r="A1746" s="2"/>
      <c r="B1746" s="2"/>
      <c r="C1746" s="18"/>
    </row>
    <row r="1747" spans="1:3" x14ac:dyDescent="0.25">
      <c r="A1747" s="2"/>
      <c r="B1747" s="2"/>
      <c r="C1747" s="18"/>
    </row>
    <row r="1748" spans="1:3" x14ac:dyDescent="0.25">
      <c r="A1748" s="2"/>
      <c r="B1748" s="2"/>
      <c r="C1748" s="18"/>
    </row>
    <row r="1749" spans="1:3" x14ac:dyDescent="0.25">
      <c r="A1749" s="2"/>
      <c r="B1749" s="2"/>
      <c r="C1749" s="18"/>
    </row>
    <row r="1750" spans="1:3" x14ac:dyDescent="0.25">
      <c r="A1750" s="2"/>
      <c r="B1750" s="2"/>
      <c r="C1750" s="18"/>
    </row>
    <row r="1751" spans="1:3" x14ac:dyDescent="0.25">
      <c r="A1751" s="2"/>
      <c r="B1751" s="2"/>
      <c r="C1751" s="18"/>
    </row>
    <row r="1752" spans="1:3" x14ac:dyDescent="0.25">
      <c r="A1752" s="2"/>
      <c r="B1752" s="2"/>
      <c r="C1752" s="18"/>
    </row>
    <row r="1753" spans="1:3" x14ac:dyDescent="0.25">
      <c r="A1753" s="2"/>
      <c r="B1753" s="2"/>
      <c r="C1753" s="18"/>
    </row>
    <row r="1754" spans="1:3" x14ac:dyDescent="0.25">
      <c r="B1754" s="2"/>
      <c r="C1754" s="18"/>
    </row>
    <row r="1755" spans="1:3" x14ac:dyDescent="0.25">
      <c r="B1755" s="2"/>
      <c r="C1755" s="18"/>
    </row>
    <row r="1756" spans="1:3" x14ac:dyDescent="0.25">
      <c r="B1756" s="2"/>
      <c r="C1756" s="18"/>
    </row>
    <row r="1757" spans="1:3" x14ac:dyDescent="0.25">
      <c r="B1757" s="2"/>
      <c r="C1757" s="18"/>
    </row>
    <row r="1758" spans="1:3" x14ac:dyDescent="0.25">
      <c r="B1758" s="2"/>
      <c r="C1758" s="18"/>
    </row>
    <row r="1759" spans="1:3" x14ac:dyDescent="0.25">
      <c r="B1759" s="2"/>
      <c r="C1759" s="18"/>
    </row>
    <row r="1760" spans="1:3" x14ac:dyDescent="0.25">
      <c r="B1760" s="2"/>
      <c r="C1760" s="18"/>
    </row>
    <row r="1761" spans="2:3" x14ac:dyDescent="0.25">
      <c r="B1761" s="2"/>
      <c r="C1761" s="18"/>
    </row>
    <row r="1762" spans="2:3" x14ac:dyDescent="0.25">
      <c r="B1762" s="2"/>
      <c r="C1762" s="18"/>
    </row>
    <row r="1763" spans="2:3" x14ac:dyDescent="0.25">
      <c r="B1763" s="2"/>
      <c r="C1763" s="18"/>
    </row>
    <row r="1764" spans="2:3" x14ac:dyDescent="0.25">
      <c r="B1764" s="2"/>
      <c r="C1764" s="18"/>
    </row>
    <row r="1765" spans="2:3" x14ac:dyDescent="0.25">
      <c r="B1765" s="2"/>
      <c r="C1765" s="18"/>
    </row>
    <row r="1766" spans="2:3" x14ac:dyDescent="0.25">
      <c r="B1766" s="2"/>
      <c r="C1766" s="18"/>
    </row>
    <row r="1767" spans="2:3" x14ac:dyDescent="0.25">
      <c r="B1767" s="2"/>
      <c r="C1767" s="18"/>
    </row>
    <row r="1768" spans="2:3" x14ac:dyDescent="0.25">
      <c r="B1768" s="2"/>
      <c r="C1768" s="18"/>
    </row>
    <row r="1769" spans="2:3" x14ac:dyDescent="0.25">
      <c r="B1769" s="2"/>
    </row>
    <row r="1770" spans="2:3" x14ac:dyDescent="0.25">
      <c r="B1770" s="2"/>
    </row>
    <row r="1771" spans="2:3" x14ac:dyDescent="0.25">
      <c r="B1771" s="2"/>
    </row>
    <row r="1772" spans="2:3" x14ac:dyDescent="0.25">
      <c r="B1772" s="2"/>
    </row>
    <row r="1773" spans="2:3" x14ac:dyDescent="0.25">
      <c r="B1773" s="2"/>
    </row>
    <row r="1774" spans="2:3" x14ac:dyDescent="0.25">
      <c r="B1774" s="2"/>
    </row>
    <row r="1775" spans="2:3" x14ac:dyDescent="0.25">
      <c r="B1775" s="2"/>
    </row>
    <row r="1776" spans="2:3" x14ac:dyDescent="0.25">
      <c r="B1776" s="2"/>
    </row>
    <row r="1777" spans="2:2" x14ac:dyDescent="0.25">
      <c r="B1777" s="2"/>
    </row>
    <row r="1778" spans="2:2" ht="24" x14ac:dyDescent="0.25">
      <c r="B1778" s="10"/>
    </row>
    <row r="1779" spans="2:2" ht="24" x14ac:dyDescent="0.25">
      <c r="B1779" s="10"/>
    </row>
    <row r="1780" spans="2:2" ht="24" x14ac:dyDescent="0.25">
      <c r="B1780" s="10"/>
    </row>
    <row r="1781" spans="2:2" x14ac:dyDescent="0.25">
      <c r="B1781" s="2"/>
    </row>
  </sheetData>
  <mergeCells count="1">
    <mergeCell ref="B1739:B174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bchamaform">
                <anchor moveWithCells="1" sizeWithCells="1">
                  <from>
                    <xdr:col>4</xdr:col>
                    <xdr:colOff>85725</xdr:colOff>
                    <xdr:row>12</xdr:row>
                    <xdr:rowOff>47625</xdr:rowOff>
                  </from>
                  <to>
                    <xdr:col>5</xdr:col>
                    <xdr:colOff>1171575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Q761"/>
  <sheetViews>
    <sheetView showGridLines="0" zoomScale="70" zoomScaleNormal="70" workbookViewId="0">
      <selection activeCell="E16" sqref="E16:Q16"/>
    </sheetView>
  </sheetViews>
  <sheetFormatPr defaultRowHeight="15" x14ac:dyDescent="0.25"/>
  <cols>
    <col min="1" max="2" width="20.7109375" style="9" customWidth="1"/>
    <col min="5" max="5" width="12.140625" style="19" bestFit="1" customWidth="1"/>
    <col min="6" max="6" width="50.7109375" bestFit="1" customWidth="1"/>
    <col min="7" max="7" width="12.7109375" style="12" bestFit="1" customWidth="1"/>
    <col min="8" max="8" width="19.140625" style="12" bestFit="1" customWidth="1"/>
    <col min="9" max="9" width="12.28515625" style="12" bestFit="1" customWidth="1"/>
    <col min="10" max="10" width="20" style="12" bestFit="1" customWidth="1"/>
    <col min="11" max="11" width="21.28515625" style="12" bestFit="1" customWidth="1"/>
    <col min="12" max="12" width="12.85546875" bestFit="1" customWidth="1"/>
    <col min="13" max="13" width="10.28515625" bestFit="1" customWidth="1"/>
    <col min="15" max="15" width="12.5703125" style="12" customWidth="1"/>
    <col min="16" max="16" width="11.7109375" style="12" bestFit="1" customWidth="1"/>
    <col min="17" max="17" width="13.42578125" bestFit="1" customWidth="1"/>
  </cols>
  <sheetData>
    <row r="1" spans="1:17" ht="21" x14ac:dyDescent="0.25">
      <c r="A1" s="1"/>
      <c r="B1" s="1"/>
    </row>
    <row r="2" spans="1:17" ht="21" x14ac:dyDescent="0.25">
      <c r="A2" s="1"/>
      <c r="B2" s="1"/>
    </row>
    <row r="3" spans="1:17" ht="21" x14ac:dyDescent="0.25">
      <c r="A3" s="1"/>
      <c r="B3" s="1"/>
    </row>
    <row r="4" spans="1:17" ht="21" x14ac:dyDescent="0.25">
      <c r="A4" s="1"/>
      <c r="B4" s="1"/>
    </row>
    <row r="5" spans="1:17" ht="21" x14ac:dyDescent="0.25">
      <c r="A5" s="1"/>
      <c r="B5" s="1"/>
    </row>
    <row r="6" spans="1:17" ht="21" x14ac:dyDescent="0.25">
      <c r="A6" s="1"/>
      <c r="B6" s="1"/>
    </row>
    <row r="7" spans="1:17" ht="21" x14ac:dyDescent="0.25">
      <c r="A7" s="3"/>
      <c r="B7" s="3"/>
    </row>
    <row r="8" spans="1:17" ht="21" x14ac:dyDescent="0.25">
      <c r="A8" s="3"/>
      <c r="B8" s="3"/>
    </row>
    <row r="9" spans="1:17" ht="21" x14ac:dyDescent="0.25">
      <c r="A9" s="3"/>
      <c r="B9" s="3"/>
    </row>
    <row r="10" spans="1:17" ht="21" x14ac:dyDescent="0.25">
      <c r="A10" s="3"/>
      <c r="B10" s="3"/>
    </row>
    <row r="11" spans="1:17" ht="21" x14ac:dyDescent="0.25">
      <c r="A11" s="3"/>
      <c r="B11" s="3"/>
      <c r="E11" s="23" t="s">
        <v>106</v>
      </c>
      <c r="F11" s="18" t="s">
        <v>105</v>
      </c>
      <c r="G11" s="24" t="s">
        <v>104</v>
      </c>
      <c r="H11" s="24" t="s">
        <v>108</v>
      </c>
      <c r="I11" s="24" t="s">
        <v>109</v>
      </c>
      <c r="J11" s="24" t="s">
        <v>110</v>
      </c>
      <c r="K11" s="24" t="s">
        <v>111</v>
      </c>
      <c r="L11" s="18" t="s">
        <v>114</v>
      </c>
      <c r="M11" s="18" t="s">
        <v>123</v>
      </c>
    </row>
    <row r="12" spans="1:17" ht="21" x14ac:dyDescent="0.25">
      <c r="A12" s="3"/>
      <c r="B12" s="3"/>
    </row>
    <row r="13" spans="1:17" ht="21" x14ac:dyDescent="0.25">
      <c r="A13" s="3"/>
      <c r="B13" s="3"/>
      <c r="C13" s="18" t="str">
        <f>'Cad1'!F14</f>
        <v>Creme Chantty - LITRO</v>
      </c>
    </row>
    <row r="14" spans="1:17" ht="21" x14ac:dyDescent="0.25">
      <c r="A14" s="3"/>
      <c r="B14" s="3"/>
      <c r="C14" s="18" t="str">
        <f>'Cad1'!F15</f>
        <v>Creme Chantty - MINI</v>
      </c>
    </row>
    <row r="15" spans="1:17" ht="16.5" x14ac:dyDescent="0.25">
      <c r="A15" s="2"/>
      <c r="B15" s="4"/>
      <c r="C15" s="18" t="str">
        <f>'Cad1'!F16</f>
        <v>Creme Molho - LITRO</v>
      </c>
      <c r="E15" s="20" t="s">
        <v>106</v>
      </c>
      <c r="F15" s="17" t="s">
        <v>105</v>
      </c>
      <c r="G15" s="21" t="s">
        <v>104</v>
      </c>
      <c r="H15" s="21" t="s">
        <v>107</v>
      </c>
      <c r="I15" s="25" t="s">
        <v>108</v>
      </c>
      <c r="J15" s="21" t="s">
        <v>109</v>
      </c>
      <c r="K15" s="21" t="s">
        <v>110</v>
      </c>
      <c r="L15" s="21" t="s">
        <v>111</v>
      </c>
      <c r="M15" s="17" t="s">
        <v>114</v>
      </c>
      <c r="N15" s="17" t="s">
        <v>123</v>
      </c>
      <c r="O15" s="21" t="s">
        <v>125</v>
      </c>
      <c r="P15" s="21" t="s">
        <v>126</v>
      </c>
      <c r="Q15" s="21" t="s">
        <v>141</v>
      </c>
    </row>
    <row r="16" spans="1:17" ht="16.5" x14ac:dyDescent="0.25">
      <c r="A16" s="2"/>
      <c r="B16" s="4"/>
      <c r="C16" s="18"/>
      <c r="E16" s="20">
        <v>46063</v>
      </c>
      <c r="F16" s="17" t="s">
        <v>186</v>
      </c>
      <c r="G16" s="21">
        <v>9.2765141335888455</v>
      </c>
      <c r="H16" s="21">
        <v>18</v>
      </c>
      <c r="I16" s="25">
        <v>0.15454229776749145</v>
      </c>
      <c r="J16" s="21">
        <v>0</v>
      </c>
      <c r="K16" s="21">
        <v>0.52427083333333335</v>
      </c>
      <c r="L16" s="21">
        <v>3.2399999999999998</v>
      </c>
      <c r="M16" s="17" t="s">
        <v>122</v>
      </c>
      <c r="N16" s="17" t="s">
        <v>117</v>
      </c>
      <c r="O16" s="21">
        <v>2.2999999999999998</v>
      </c>
      <c r="P16" s="21">
        <v>4.3074000000000003</v>
      </c>
      <c r="Q16" s="21">
        <v>15.7</v>
      </c>
    </row>
    <row r="17" spans="1:17" ht="16.5" x14ac:dyDescent="0.25">
      <c r="A17" s="2"/>
      <c r="B17" s="4"/>
      <c r="C17" s="18"/>
      <c r="E17" s="20">
        <v>46063</v>
      </c>
      <c r="F17" s="17" t="s">
        <v>184</v>
      </c>
      <c r="G17" s="21">
        <v>9.9704516335888442</v>
      </c>
      <c r="H17" s="21">
        <v>19</v>
      </c>
      <c r="I17" s="25">
        <v>0.15102767993545799</v>
      </c>
      <c r="J17" s="21">
        <v>0</v>
      </c>
      <c r="K17" s="21">
        <v>0.94908333333333339</v>
      </c>
      <c r="L17" s="21">
        <v>3.42</v>
      </c>
      <c r="M17" s="17" t="s">
        <v>122</v>
      </c>
      <c r="N17" s="17" t="s">
        <v>117</v>
      </c>
      <c r="O17" s="21">
        <v>2.2999999999999998</v>
      </c>
      <c r="P17" s="21">
        <v>4.5467000000000004</v>
      </c>
      <c r="Q17" s="21">
        <v>16.7</v>
      </c>
    </row>
    <row r="18" spans="1:17" ht="16.5" x14ac:dyDescent="0.25">
      <c r="A18" s="2"/>
      <c r="B18" s="4"/>
      <c r="C18" s="18"/>
      <c r="E18" s="20">
        <v>46063</v>
      </c>
      <c r="F18" s="17" t="s">
        <v>86</v>
      </c>
      <c r="G18" s="21">
        <v>9.9704516335888442</v>
      </c>
      <c r="H18" s="21">
        <v>17.5</v>
      </c>
      <c r="I18" s="25">
        <v>0.14564558940355135</v>
      </c>
      <c r="J18" s="21">
        <v>0</v>
      </c>
      <c r="K18" s="21">
        <v>0.94908333333333339</v>
      </c>
      <c r="L18" s="21">
        <v>2.1</v>
      </c>
      <c r="M18" s="17" t="s">
        <v>122</v>
      </c>
      <c r="N18" s="17" t="s">
        <v>117</v>
      </c>
      <c r="O18" s="21">
        <v>2.2999999999999998</v>
      </c>
      <c r="P18" s="21">
        <v>3.1377500000000005</v>
      </c>
      <c r="Q18" s="21">
        <v>15.2</v>
      </c>
    </row>
    <row r="19" spans="1:17" ht="16.5" x14ac:dyDescent="0.25">
      <c r="A19" s="2"/>
      <c r="B19" s="4"/>
      <c r="C19" s="18"/>
      <c r="E19" s="20">
        <v>46063</v>
      </c>
      <c r="F19" s="17" t="s">
        <v>88</v>
      </c>
      <c r="G19" s="21">
        <v>9.2765141335888455</v>
      </c>
      <c r="H19" s="21">
        <v>16.5</v>
      </c>
      <c r="I19" s="25">
        <v>0.14511159109637783</v>
      </c>
      <c r="J19" s="21">
        <v>0</v>
      </c>
      <c r="K19" s="21">
        <v>0.52427083333333335</v>
      </c>
      <c r="L19" s="21">
        <v>1.98</v>
      </c>
      <c r="M19" s="17" t="s">
        <v>122</v>
      </c>
      <c r="N19" s="17" t="s">
        <v>117</v>
      </c>
      <c r="O19" s="21">
        <v>2.2999999999999998</v>
      </c>
      <c r="P19" s="21">
        <v>2.95845</v>
      </c>
      <c r="Q19" s="21">
        <v>14.2</v>
      </c>
    </row>
    <row r="20" spans="1:17" ht="16.5" x14ac:dyDescent="0.25">
      <c r="A20" s="2"/>
      <c r="B20" s="4"/>
      <c r="C20" s="18"/>
      <c r="E20" s="20">
        <v>46063</v>
      </c>
      <c r="F20" s="17" t="s">
        <v>88</v>
      </c>
      <c r="G20" s="21">
        <v>9.2765141335888455</v>
      </c>
      <c r="H20" s="21">
        <v>16.5</v>
      </c>
      <c r="I20" s="25">
        <v>0.14511159109637783</v>
      </c>
      <c r="J20" s="21">
        <v>0</v>
      </c>
      <c r="K20" s="21">
        <v>0.52427083333333335</v>
      </c>
      <c r="L20" s="21">
        <v>1.98</v>
      </c>
      <c r="M20" s="17" t="s">
        <v>121</v>
      </c>
      <c r="N20" s="17" t="s">
        <v>117</v>
      </c>
      <c r="O20" s="21">
        <v>2.2999999999999998</v>
      </c>
      <c r="P20" s="21">
        <v>2.95845</v>
      </c>
      <c r="Q20" s="21">
        <v>14.2</v>
      </c>
    </row>
    <row r="21" spans="1:17" ht="16.5" x14ac:dyDescent="0.25">
      <c r="A21" s="2"/>
      <c r="B21" s="4"/>
      <c r="C21" s="18"/>
      <c r="E21" s="20">
        <v>46063</v>
      </c>
      <c r="F21" s="17" t="s">
        <v>86</v>
      </c>
      <c r="G21" s="21">
        <v>9.9704516335888442</v>
      </c>
      <c r="H21" s="21">
        <v>17.5</v>
      </c>
      <c r="I21" s="25">
        <v>0.14564558940355135</v>
      </c>
      <c r="J21" s="21">
        <v>0</v>
      </c>
      <c r="K21" s="21">
        <v>0.94908333333333339</v>
      </c>
      <c r="L21" s="21">
        <v>2.1</v>
      </c>
      <c r="M21" s="17" t="s">
        <v>121</v>
      </c>
      <c r="N21" s="17" t="s">
        <v>117</v>
      </c>
      <c r="O21" s="21">
        <v>2.2999999999999998</v>
      </c>
      <c r="P21" s="21">
        <v>3.1377500000000005</v>
      </c>
      <c r="Q21" s="21">
        <v>15.2</v>
      </c>
    </row>
    <row r="22" spans="1:17" ht="16.5" x14ac:dyDescent="0.25">
      <c r="A22" s="2"/>
      <c r="B22" s="4"/>
      <c r="C22" s="18"/>
      <c r="E22" s="20">
        <v>46059</v>
      </c>
      <c r="F22" s="17" t="s">
        <v>100</v>
      </c>
      <c r="G22" s="21">
        <v>21.231249999999999</v>
      </c>
      <c r="H22" s="21">
        <v>30</v>
      </c>
      <c r="I22" s="25">
        <v>7.6753584338572739E-2</v>
      </c>
      <c r="J22" s="21">
        <v>0</v>
      </c>
      <c r="K22" s="21">
        <v>0.26874999999999999</v>
      </c>
      <c r="L22" s="21">
        <v>3.5999999999999996</v>
      </c>
      <c r="M22" s="17" t="s">
        <v>122</v>
      </c>
      <c r="N22" s="17" t="s">
        <v>117</v>
      </c>
      <c r="O22" s="21">
        <v>1.5</v>
      </c>
      <c r="P22" s="21">
        <v>5.3790000000000004</v>
      </c>
      <c r="Q22" s="21">
        <v>28.5</v>
      </c>
    </row>
    <row r="23" spans="1:17" ht="16.5" x14ac:dyDescent="0.25">
      <c r="A23" s="2"/>
      <c r="B23" s="4"/>
      <c r="C23" s="18"/>
      <c r="E23" s="20">
        <v>46059</v>
      </c>
      <c r="F23" s="17" t="s">
        <v>100</v>
      </c>
      <c r="G23" s="21">
        <v>21.5</v>
      </c>
      <c r="H23" s="21">
        <v>26.5</v>
      </c>
      <c r="I23" s="25">
        <v>7.667603372139703E-2</v>
      </c>
      <c r="J23" s="21">
        <v>0</v>
      </c>
      <c r="K23" s="21">
        <v>0</v>
      </c>
      <c r="L23" s="21">
        <v>1.5899999999999999</v>
      </c>
      <c r="M23" s="17" t="s">
        <v>122</v>
      </c>
      <c r="N23" s="17" t="s">
        <v>116</v>
      </c>
      <c r="O23" s="21">
        <v>1.5</v>
      </c>
      <c r="P23" s="21">
        <v>1.5899999999999999</v>
      </c>
      <c r="Q23" s="21">
        <v>25</v>
      </c>
    </row>
    <row r="24" spans="1:17" ht="16.5" x14ac:dyDescent="0.25">
      <c r="A24" s="2"/>
      <c r="B24" s="4"/>
      <c r="C24" s="18"/>
      <c r="E24" s="20">
        <v>46059</v>
      </c>
      <c r="F24" s="17" t="s">
        <v>100</v>
      </c>
      <c r="G24" s="21">
        <v>21.5</v>
      </c>
      <c r="H24" s="21">
        <v>23.5</v>
      </c>
      <c r="I24" s="25">
        <v>8.5106382978723402E-2</v>
      </c>
      <c r="J24" s="21">
        <v>0</v>
      </c>
      <c r="K24" s="21">
        <v>0.26874999999999999</v>
      </c>
      <c r="L24" s="21">
        <v>0</v>
      </c>
      <c r="M24" s="17" t="s">
        <v>113</v>
      </c>
      <c r="N24" s="17" t="s">
        <v>115</v>
      </c>
      <c r="O24" s="21">
        <v>0</v>
      </c>
      <c r="P24" s="21">
        <v>0</v>
      </c>
      <c r="Q24" s="21">
        <v>23.5</v>
      </c>
    </row>
    <row r="25" spans="1:17" ht="16.5" x14ac:dyDescent="0.25">
      <c r="A25" s="2"/>
      <c r="B25" s="4"/>
      <c r="C25" s="18"/>
      <c r="E25" s="20">
        <v>46059</v>
      </c>
      <c r="F25" s="17" t="s">
        <v>99</v>
      </c>
      <c r="G25" s="21">
        <v>14.8125</v>
      </c>
      <c r="H25" s="21">
        <v>22</v>
      </c>
      <c r="I25" s="25">
        <v>9.6530677802762546E-2</v>
      </c>
      <c r="J25" s="21">
        <v>0</v>
      </c>
      <c r="K25" s="21">
        <v>0.1875</v>
      </c>
      <c r="L25" s="21">
        <v>2.6399999999999997</v>
      </c>
      <c r="M25" s="17" t="s">
        <v>122</v>
      </c>
      <c r="N25" s="17" t="s">
        <v>117</v>
      </c>
      <c r="O25" s="21">
        <v>1.5</v>
      </c>
      <c r="P25" s="21">
        <v>3.9446000000000003</v>
      </c>
      <c r="Q25" s="21">
        <v>20.5</v>
      </c>
    </row>
    <row r="26" spans="1:17" ht="16.5" x14ac:dyDescent="0.25">
      <c r="A26" s="2"/>
      <c r="B26" s="4"/>
      <c r="C26" s="18"/>
      <c r="E26" s="20">
        <v>46059</v>
      </c>
      <c r="F26" s="17" t="s">
        <v>99</v>
      </c>
      <c r="G26" s="21">
        <v>15</v>
      </c>
      <c r="H26" s="21">
        <v>19.5</v>
      </c>
      <c r="I26" s="25">
        <v>9.983633387888699E-2</v>
      </c>
      <c r="J26" s="21">
        <v>0</v>
      </c>
      <c r="K26" s="21">
        <v>0</v>
      </c>
      <c r="L26" s="21">
        <v>1.17</v>
      </c>
      <c r="M26" s="17" t="s">
        <v>122</v>
      </c>
      <c r="N26" s="17" t="s">
        <v>116</v>
      </c>
      <c r="O26" s="21">
        <v>1.5</v>
      </c>
      <c r="P26" s="21">
        <v>1.17</v>
      </c>
      <c r="Q26" s="21">
        <v>18</v>
      </c>
    </row>
    <row r="27" spans="1:17" ht="16.5" x14ac:dyDescent="0.25">
      <c r="A27" s="2"/>
      <c r="B27" s="4"/>
      <c r="C27" s="18"/>
      <c r="E27" s="20">
        <v>46059</v>
      </c>
      <c r="F27" s="17" t="s">
        <v>99</v>
      </c>
      <c r="G27" s="21">
        <v>15</v>
      </c>
      <c r="H27" s="21">
        <v>17</v>
      </c>
      <c r="I27" s="25">
        <v>0.11764705882352941</v>
      </c>
      <c r="J27" s="21">
        <v>0</v>
      </c>
      <c r="K27" s="21">
        <v>0.1875</v>
      </c>
      <c r="L27" s="21">
        <v>0</v>
      </c>
      <c r="M27" s="17" t="s">
        <v>113</v>
      </c>
      <c r="N27" s="17" t="s">
        <v>115</v>
      </c>
      <c r="O27" s="21">
        <v>0</v>
      </c>
      <c r="P27" s="21">
        <v>0</v>
      </c>
      <c r="Q27" s="21">
        <v>17</v>
      </c>
    </row>
    <row r="28" spans="1:17" ht="16.5" x14ac:dyDescent="0.25">
      <c r="A28" s="2"/>
      <c r="B28" s="4"/>
      <c r="C28" s="18"/>
      <c r="E28" s="20">
        <v>46059</v>
      </c>
      <c r="F28" s="17" t="s">
        <v>199</v>
      </c>
      <c r="G28" s="21">
        <v>36.142499999999998</v>
      </c>
      <c r="H28" s="21">
        <v>57</v>
      </c>
      <c r="I28" s="25">
        <v>0.18042665423636306</v>
      </c>
      <c r="J28" s="21">
        <v>0</v>
      </c>
      <c r="K28" s="21">
        <v>0.45750000000000002</v>
      </c>
      <c r="L28" s="21">
        <v>3.42</v>
      </c>
      <c r="M28" s="17" t="s">
        <v>122</v>
      </c>
      <c r="N28" s="17" t="s">
        <v>117</v>
      </c>
      <c r="O28" s="21">
        <v>5</v>
      </c>
      <c r="P28" s="21">
        <v>6.8001000000000005</v>
      </c>
      <c r="Q28" s="21">
        <v>52</v>
      </c>
    </row>
    <row r="29" spans="1:17" ht="16.5" x14ac:dyDescent="0.25">
      <c r="A29" s="2"/>
      <c r="B29" s="4"/>
      <c r="C29" s="18"/>
      <c r="E29" s="20">
        <v>46059</v>
      </c>
      <c r="F29" s="17" t="s">
        <v>199</v>
      </c>
      <c r="G29" s="21">
        <v>36.6</v>
      </c>
      <c r="H29" s="21">
        <v>53</v>
      </c>
      <c r="I29" s="25">
        <v>0.16499397832195903</v>
      </c>
      <c r="J29" s="21">
        <v>0</v>
      </c>
      <c r="K29" s="21">
        <v>0</v>
      </c>
      <c r="L29" s="21">
        <v>3.1799999999999997</v>
      </c>
      <c r="M29" s="17" t="s">
        <v>122</v>
      </c>
      <c r="N29" s="17" t="s">
        <v>116</v>
      </c>
      <c r="O29" s="21">
        <v>5</v>
      </c>
      <c r="P29" s="21">
        <v>3.1799999999999997</v>
      </c>
      <c r="Q29" s="21">
        <v>48</v>
      </c>
    </row>
    <row r="30" spans="1:17" ht="16.5" x14ac:dyDescent="0.25">
      <c r="A30" s="2"/>
      <c r="B30" s="4"/>
      <c r="C30" s="18"/>
      <c r="E30" s="20">
        <v>46059</v>
      </c>
      <c r="F30" s="17" t="s">
        <v>199</v>
      </c>
      <c r="G30" s="21">
        <v>36.6</v>
      </c>
      <c r="H30" s="21">
        <v>44</v>
      </c>
      <c r="I30" s="25">
        <v>0.16818181818181815</v>
      </c>
      <c r="J30" s="21">
        <v>0</v>
      </c>
      <c r="K30" s="21">
        <v>0.45750000000000002</v>
      </c>
      <c r="L30" s="21">
        <v>0</v>
      </c>
      <c r="M30" s="17" t="s">
        <v>113</v>
      </c>
      <c r="N30" s="17" t="s">
        <v>115</v>
      </c>
      <c r="O30" s="21">
        <v>0</v>
      </c>
      <c r="P30" s="21">
        <v>0</v>
      </c>
      <c r="Q30" s="21">
        <v>44</v>
      </c>
    </row>
    <row r="31" spans="1:17" ht="16.5" x14ac:dyDescent="0.25">
      <c r="A31" s="2"/>
      <c r="B31" s="4"/>
      <c r="C31" s="18"/>
      <c r="E31" s="20">
        <v>46059</v>
      </c>
      <c r="F31" s="17" t="s">
        <v>200</v>
      </c>
      <c r="G31" s="21">
        <v>37.524999999999999</v>
      </c>
      <c r="H31" s="21">
        <v>59</v>
      </c>
      <c r="I31" s="25">
        <v>0.12177079095356802</v>
      </c>
      <c r="J31" s="21">
        <v>0</v>
      </c>
      <c r="K31" s="21">
        <v>0.47500000000000003</v>
      </c>
      <c r="L31" s="21">
        <v>7.08</v>
      </c>
      <c r="M31" s="17" t="s">
        <v>122</v>
      </c>
      <c r="N31" s="17" t="s">
        <v>117</v>
      </c>
      <c r="O31" s="21">
        <v>5</v>
      </c>
      <c r="P31" s="21">
        <v>10.578700000000001</v>
      </c>
      <c r="Q31" s="21">
        <v>54</v>
      </c>
    </row>
    <row r="32" spans="1:17" ht="16.5" x14ac:dyDescent="0.25">
      <c r="A32" s="2"/>
      <c r="B32" s="4"/>
      <c r="C32" s="18"/>
      <c r="E32" s="20">
        <v>46059</v>
      </c>
      <c r="F32" s="17" t="s">
        <v>200</v>
      </c>
      <c r="G32" s="21">
        <v>38</v>
      </c>
      <c r="H32" s="21">
        <v>54</v>
      </c>
      <c r="I32" s="25">
        <v>0.15287628053585497</v>
      </c>
      <c r="J32" s="21">
        <v>0</v>
      </c>
      <c r="K32" s="21">
        <v>0</v>
      </c>
      <c r="L32" s="21">
        <v>3.2399999999999998</v>
      </c>
      <c r="M32" s="17" t="s">
        <v>122</v>
      </c>
      <c r="N32" s="17" t="s">
        <v>116</v>
      </c>
      <c r="O32" s="21">
        <v>5</v>
      </c>
      <c r="P32" s="21">
        <v>3.2399999999999998</v>
      </c>
      <c r="Q32" s="21">
        <v>49</v>
      </c>
    </row>
    <row r="33" spans="1:17" ht="16.5" x14ac:dyDescent="0.25">
      <c r="A33" s="2"/>
      <c r="B33" s="4"/>
      <c r="C33" s="18"/>
      <c r="E33" s="20">
        <v>46059</v>
      </c>
      <c r="F33" s="17" t="s">
        <v>200</v>
      </c>
      <c r="G33" s="21">
        <v>38</v>
      </c>
      <c r="H33" s="21">
        <v>48</v>
      </c>
      <c r="I33" s="25">
        <v>0.20833333333333334</v>
      </c>
      <c r="J33" s="21">
        <v>0</v>
      </c>
      <c r="K33" s="21">
        <v>0.47500000000000003</v>
      </c>
      <c r="L33" s="21">
        <v>0</v>
      </c>
      <c r="M33" s="17" t="s">
        <v>113</v>
      </c>
      <c r="N33" s="17" t="s">
        <v>115</v>
      </c>
      <c r="O33" s="21">
        <v>0</v>
      </c>
      <c r="P33" s="21">
        <v>0</v>
      </c>
      <c r="Q33" s="21">
        <v>48</v>
      </c>
    </row>
    <row r="34" spans="1:17" ht="16.5" x14ac:dyDescent="0.25">
      <c r="A34" s="2"/>
      <c r="B34" s="4"/>
      <c r="C34" s="18"/>
      <c r="E34" s="20">
        <v>46059</v>
      </c>
      <c r="F34" s="17" t="s">
        <v>201</v>
      </c>
      <c r="G34" s="21">
        <v>18.762499999999999</v>
      </c>
      <c r="H34" s="21">
        <v>29</v>
      </c>
      <c r="I34" s="25">
        <v>0.12763704659184971</v>
      </c>
      <c r="J34" s="21">
        <v>0</v>
      </c>
      <c r="K34" s="21">
        <v>0.23750000000000002</v>
      </c>
      <c r="L34" s="21">
        <v>3.48</v>
      </c>
      <c r="M34" s="17" t="s">
        <v>122</v>
      </c>
      <c r="N34" s="17" t="s">
        <v>117</v>
      </c>
      <c r="O34" s="21">
        <v>2</v>
      </c>
      <c r="P34" s="21">
        <v>5.1997</v>
      </c>
      <c r="Q34" s="21">
        <v>27</v>
      </c>
    </row>
    <row r="35" spans="1:17" ht="16.5" x14ac:dyDescent="0.25">
      <c r="A35" s="2"/>
      <c r="B35" s="4"/>
      <c r="C35" s="18"/>
      <c r="E35" s="20">
        <v>46059</v>
      </c>
      <c r="F35" s="17" t="s">
        <v>201</v>
      </c>
      <c r="G35" s="21">
        <v>19</v>
      </c>
      <c r="H35" s="21">
        <v>28</v>
      </c>
      <c r="I35" s="25">
        <v>0.2021276595744681</v>
      </c>
      <c r="J35" s="21">
        <v>0</v>
      </c>
      <c r="K35" s="21">
        <v>0</v>
      </c>
      <c r="L35" s="21">
        <v>1.68</v>
      </c>
      <c r="M35" s="17" t="s">
        <v>122</v>
      </c>
      <c r="N35" s="17" t="s">
        <v>116</v>
      </c>
      <c r="O35" s="21">
        <v>2</v>
      </c>
      <c r="P35" s="21">
        <v>1.68</v>
      </c>
      <c r="Q35" s="21">
        <v>26</v>
      </c>
    </row>
    <row r="36" spans="1:17" ht="16.5" x14ac:dyDescent="0.25">
      <c r="A36" s="2"/>
      <c r="B36" s="4"/>
      <c r="C36" s="18"/>
      <c r="E36" s="20">
        <v>46059</v>
      </c>
      <c r="F36" s="17" t="s">
        <v>201</v>
      </c>
      <c r="G36" s="21">
        <v>19</v>
      </c>
      <c r="H36" s="21">
        <v>24</v>
      </c>
      <c r="I36" s="25">
        <v>0.20833333333333334</v>
      </c>
      <c r="J36" s="21">
        <v>0</v>
      </c>
      <c r="K36" s="21">
        <v>0.23750000000000002</v>
      </c>
      <c r="L36" s="21">
        <v>0</v>
      </c>
      <c r="M36" s="17" t="s">
        <v>113</v>
      </c>
      <c r="N36" s="17" t="s">
        <v>115</v>
      </c>
      <c r="O36" s="21">
        <v>0</v>
      </c>
      <c r="P36" s="21">
        <v>0</v>
      </c>
      <c r="Q36" s="21">
        <v>24</v>
      </c>
    </row>
    <row r="37" spans="1:17" ht="16.5" x14ac:dyDescent="0.25">
      <c r="A37" s="2"/>
      <c r="B37" s="4"/>
      <c r="C37" s="18"/>
      <c r="E37" s="20">
        <v>46059</v>
      </c>
      <c r="F37" s="17" t="s">
        <v>232</v>
      </c>
      <c r="G37" s="21">
        <v>12</v>
      </c>
      <c r="H37" s="21">
        <v>17</v>
      </c>
      <c r="I37" s="25">
        <v>0.18648310387984984</v>
      </c>
      <c r="J37" s="21">
        <v>0</v>
      </c>
      <c r="K37" s="21">
        <v>0</v>
      </c>
      <c r="L37" s="21">
        <v>1.02</v>
      </c>
      <c r="M37" s="17" t="s">
        <v>122</v>
      </c>
      <c r="N37" s="17" t="s">
        <v>116</v>
      </c>
      <c r="O37" s="21">
        <v>1</v>
      </c>
      <c r="P37" s="21">
        <v>1.02</v>
      </c>
      <c r="Q37" s="21">
        <v>16</v>
      </c>
    </row>
    <row r="38" spans="1:17" ht="16.5" x14ac:dyDescent="0.25">
      <c r="A38" s="2"/>
      <c r="B38" s="4"/>
      <c r="C38" s="18"/>
      <c r="E38" s="20">
        <v>46059</v>
      </c>
      <c r="F38" s="17" t="s">
        <v>232</v>
      </c>
      <c r="G38" s="21">
        <v>11.85</v>
      </c>
      <c r="H38" s="21">
        <v>18</v>
      </c>
      <c r="I38" s="25">
        <v>0.13014635203010985</v>
      </c>
      <c r="J38" s="21">
        <v>0</v>
      </c>
      <c r="K38" s="21">
        <v>0.15000000000000002</v>
      </c>
      <c r="L38" s="21">
        <v>2.16</v>
      </c>
      <c r="M38" s="17" t="s">
        <v>122</v>
      </c>
      <c r="N38" s="17" t="s">
        <v>117</v>
      </c>
      <c r="O38" s="21">
        <v>1</v>
      </c>
      <c r="P38" s="21">
        <v>3.2274000000000003</v>
      </c>
      <c r="Q38" s="21">
        <v>17</v>
      </c>
    </row>
    <row r="39" spans="1:17" ht="16.5" x14ac:dyDescent="0.25">
      <c r="A39" s="2"/>
      <c r="B39" s="4"/>
      <c r="C39" s="18"/>
      <c r="E39" s="20">
        <v>46059</v>
      </c>
      <c r="F39" s="17" t="s">
        <v>232</v>
      </c>
      <c r="G39" s="21">
        <v>12</v>
      </c>
      <c r="H39" s="21">
        <v>15</v>
      </c>
      <c r="I39" s="25">
        <v>0.2</v>
      </c>
      <c r="J39" s="21">
        <v>0</v>
      </c>
      <c r="K39" s="21">
        <v>0.15000000000000002</v>
      </c>
      <c r="L39" s="21">
        <v>0</v>
      </c>
      <c r="M39" s="17" t="s">
        <v>113</v>
      </c>
      <c r="N39" s="17" t="s">
        <v>115</v>
      </c>
      <c r="O39" s="21">
        <v>0</v>
      </c>
      <c r="P39" s="21">
        <v>0</v>
      </c>
      <c r="Q39" s="21">
        <v>15</v>
      </c>
    </row>
    <row r="40" spans="1:17" ht="16.5" x14ac:dyDescent="0.25">
      <c r="A40" s="2"/>
      <c r="B40" s="4"/>
      <c r="C40" s="18"/>
      <c r="E40" s="20">
        <v>45996</v>
      </c>
      <c r="F40" s="17" t="s">
        <v>231</v>
      </c>
      <c r="G40" s="21">
        <v>8</v>
      </c>
      <c r="H40" s="21">
        <v>10</v>
      </c>
      <c r="I40" s="25">
        <v>0.2</v>
      </c>
      <c r="J40" s="21">
        <v>0</v>
      </c>
      <c r="K40" s="21">
        <v>0.96</v>
      </c>
      <c r="L40" s="21">
        <v>0</v>
      </c>
      <c r="M40" s="17" t="s">
        <v>113</v>
      </c>
      <c r="N40" s="17" t="s">
        <v>115</v>
      </c>
      <c r="O40" s="21">
        <v>0</v>
      </c>
      <c r="P40" s="21">
        <v>0</v>
      </c>
      <c r="Q40" s="21">
        <v>10</v>
      </c>
    </row>
    <row r="41" spans="1:17" ht="16.5" x14ac:dyDescent="0.25">
      <c r="A41" s="2"/>
      <c r="B41" s="4"/>
      <c r="C41" s="18"/>
      <c r="E41" s="20">
        <v>45996</v>
      </c>
      <c r="F41" s="17" t="s">
        <v>231</v>
      </c>
      <c r="G41" s="21">
        <v>7.04</v>
      </c>
      <c r="H41" s="21">
        <v>12.5</v>
      </c>
      <c r="I41" s="25">
        <v>0.16753990495918111</v>
      </c>
      <c r="J41" s="21">
        <v>0</v>
      </c>
      <c r="K41" s="21">
        <v>0.96</v>
      </c>
      <c r="L41" s="21">
        <v>1.5</v>
      </c>
      <c r="M41" s="17" t="s">
        <v>122</v>
      </c>
      <c r="N41" s="17" t="s">
        <v>117</v>
      </c>
      <c r="O41" s="21">
        <v>1.5</v>
      </c>
      <c r="P41" s="21">
        <v>2.24125</v>
      </c>
      <c r="Q41" s="21">
        <v>11</v>
      </c>
    </row>
    <row r="42" spans="1:17" ht="16.5" x14ac:dyDescent="0.25">
      <c r="A42" s="2"/>
      <c r="B42" s="4"/>
      <c r="C42" s="18"/>
      <c r="E42" s="20">
        <v>45996</v>
      </c>
      <c r="F42" s="17" t="s">
        <v>234</v>
      </c>
      <c r="G42" s="21">
        <v>7.04</v>
      </c>
      <c r="H42" s="21">
        <v>13.5</v>
      </c>
      <c r="I42" s="25">
        <v>0.16840726621191973</v>
      </c>
      <c r="J42" s="21">
        <v>0</v>
      </c>
      <c r="K42" s="21">
        <v>0.96</v>
      </c>
      <c r="L42" s="21">
        <v>2.4299999999999997</v>
      </c>
      <c r="M42" s="17" t="s">
        <v>122</v>
      </c>
      <c r="N42" s="17" t="s">
        <v>117</v>
      </c>
      <c r="O42" s="21">
        <v>1.5</v>
      </c>
      <c r="P42" s="21">
        <v>3.23055</v>
      </c>
      <c r="Q42" s="21">
        <v>12</v>
      </c>
    </row>
    <row r="43" spans="1:17" ht="16.5" x14ac:dyDescent="0.25">
      <c r="A43" s="2"/>
      <c r="B43" s="4"/>
      <c r="C43" s="18"/>
      <c r="E43" s="20">
        <v>45996</v>
      </c>
      <c r="F43" s="17" t="s">
        <v>233</v>
      </c>
      <c r="G43" s="21">
        <v>11.44</v>
      </c>
      <c r="H43" s="21">
        <v>18.5</v>
      </c>
      <c r="I43" s="25">
        <v>8.050550879524189E-2</v>
      </c>
      <c r="J43" s="21">
        <v>0</v>
      </c>
      <c r="K43" s="21">
        <v>1.56</v>
      </c>
      <c r="L43" s="21">
        <v>3.33</v>
      </c>
      <c r="M43" s="17" t="s">
        <v>122</v>
      </c>
      <c r="N43" s="17" t="s">
        <v>117</v>
      </c>
      <c r="O43" s="21">
        <v>1.5</v>
      </c>
      <c r="P43" s="21">
        <v>4.4270500000000004</v>
      </c>
      <c r="Q43" s="21">
        <v>17</v>
      </c>
    </row>
    <row r="44" spans="1:17" ht="16.5" x14ac:dyDescent="0.25">
      <c r="A44" s="2"/>
      <c r="B44" s="4"/>
      <c r="C44" s="18"/>
      <c r="E44" s="20">
        <v>45992</v>
      </c>
      <c r="F44" s="17" t="s">
        <v>232</v>
      </c>
      <c r="G44" s="21">
        <v>11</v>
      </c>
      <c r="H44" s="21">
        <v>14</v>
      </c>
      <c r="I44" s="25">
        <v>0.21428571428571427</v>
      </c>
      <c r="J44" s="21">
        <v>0</v>
      </c>
      <c r="K44" s="21">
        <v>0.13750000000000001</v>
      </c>
      <c r="L44" s="21">
        <v>0</v>
      </c>
      <c r="M44" s="17" t="s">
        <v>113</v>
      </c>
      <c r="N44" s="17" t="s">
        <v>115</v>
      </c>
      <c r="O44" s="21">
        <v>0</v>
      </c>
      <c r="P44" s="21">
        <v>0</v>
      </c>
      <c r="Q44" s="21">
        <v>14</v>
      </c>
    </row>
    <row r="45" spans="1:17" ht="16.5" x14ac:dyDescent="0.25">
      <c r="A45" s="2"/>
      <c r="B45" s="4"/>
      <c r="C45" s="18"/>
      <c r="E45" s="20">
        <v>45992</v>
      </c>
      <c r="F45" s="17" t="s">
        <v>232</v>
      </c>
      <c r="G45" s="21">
        <v>10.862500000000001</v>
      </c>
      <c r="H45" s="21">
        <v>17</v>
      </c>
      <c r="I45" s="25">
        <v>7.8082555064184767E-2</v>
      </c>
      <c r="J45" s="21">
        <v>0</v>
      </c>
      <c r="K45" s="21">
        <v>0.13750000000000001</v>
      </c>
      <c r="L45" s="21">
        <v>2.04</v>
      </c>
      <c r="M45" s="17" t="s">
        <v>122</v>
      </c>
      <c r="N45" s="17" t="s">
        <v>117</v>
      </c>
      <c r="O45" s="21">
        <v>2</v>
      </c>
      <c r="P45" s="21">
        <v>3.0481000000000003</v>
      </c>
      <c r="Q45" s="21">
        <v>15</v>
      </c>
    </row>
    <row r="46" spans="1:17" ht="16.5" x14ac:dyDescent="0.25">
      <c r="A46" s="2"/>
      <c r="B46" s="4"/>
      <c r="C46" s="18"/>
      <c r="E46" s="20">
        <v>45992</v>
      </c>
      <c r="F46" s="17" t="s">
        <v>231</v>
      </c>
      <c r="G46" s="21">
        <v>7.04</v>
      </c>
      <c r="H46" s="21">
        <v>11.9</v>
      </c>
      <c r="I46" s="25">
        <v>0.12556712705796341</v>
      </c>
      <c r="J46" s="21">
        <v>0</v>
      </c>
      <c r="K46" s="21">
        <v>0.96</v>
      </c>
      <c r="L46" s="21">
        <v>1.4279999999999999</v>
      </c>
      <c r="M46" s="17" t="s">
        <v>122</v>
      </c>
      <c r="N46" s="17" t="s">
        <v>117</v>
      </c>
      <c r="O46" s="21">
        <v>1.5</v>
      </c>
      <c r="P46" s="21">
        <v>2.1336700000000004</v>
      </c>
      <c r="Q46" s="21">
        <v>10.4</v>
      </c>
    </row>
    <row r="47" spans="1:17" ht="16.5" x14ac:dyDescent="0.25">
      <c r="A47" s="2"/>
      <c r="B47" s="4"/>
      <c r="C47" s="18"/>
      <c r="E47" s="20">
        <v>45992</v>
      </c>
      <c r="F47" s="17" t="s">
        <v>231</v>
      </c>
      <c r="G47" s="21">
        <v>8</v>
      </c>
      <c r="H47" s="21">
        <v>9.5</v>
      </c>
      <c r="I47" s="25">
        <v>0.15789473684210525</v>
      </c>
      <c r="J47" s="21">
        <v>0</v>
      </c>
      <c r="K47" s="21">
        <v>0.96</v>
      </c>
      <c r="L47" s="21">
        <v>0</v>
      </c>
      <c r="M47" s="17" t="s">
        <v>113</v>
      </c>
      <c r="N47" s="17" t="s">
        <v>115</v>
      </c>
      <c r="O47" s="21">
        <v>0</v>
      </c>
      <c r="P47" s="21">
        <v>0</v>
      </c>
      <c r="Q47" s="21">
        <v>9.5</v>
      </c>
    </row>
    <row r="48" spans="1:17" ht="16.5" x14ac:dyDescent="0.25">
      <c r="A48" s="2"/>
      <c r="B48" s="4"/>
      <c r="C48" s="18"/>
      <c r="E48" s="20">
        <v>45992</v>
      </c>
      <c r="F48" s="17" t="s">
        <v>230</v>
      </c>
      <c r="G48" s="21">
        <v>13</v>
      </c>
      <c r="H48" s="21">
        <v>14.5</v>
      </c>
      <c r="I48" s="25">
        <v>0.10344827586206896</v>
      </c>
      <c r="J48" s="21">
        <v>0</v>
      </c>
      <c r="K48" s="21">
        <v>1.56</v>
      </c>
      <c r="L48" s="21">
        <v>0</v>
      </c>
      <c r="M48" s="17" t="s">
        <v>113</v>
      </c>
      <c r="N48" s="17" t="s">
        <v>115</v>
      </c>
      <c r="O48" s="21">
        <v>0</v>
      </c>
      <c r="P48" s="21">
        <v>0</v>
      </c>
      <c r="Q48" s="21">
        <v>14.5</v>
      </c>
    </row>
    <row r="49" spans="1:17" ht="16.5" x14ac:dyDescent="0.25">
      <c r="A49" s="2"/>
      <c r="B49" s="4"/>
      <c r="C49" s="18"/>
      <c r="E49" s="20">
        <v>45992</v>
      </c>
      <c r="F49" s="17" t="s">
        <v>230</v>
      </c>
      <c r="G49" s="21">
        <v>11.44</v>
      </c>
      <c r="H49" s="21">
        <v>17.5</v>
      </c>
      <c r="I49" s="25">
        <v>9.9026963045483821E-2</v>
      </c>
      <c r="J49" s="21">
        <v>0</v>
      </c>
      <c r="K49" s="21">
        <v>1.56</v>
      </c>
      <c r="L49" s="21">
        <v>2.1</v>
      </c>
      <c r="M49" s="17" t="s">
        <v>122</v>
      </c>
      <c r="N49" s="17" t="s">
        <v>117</v>
      </c>
      <c r="O49" s="21">
        <v>1.5</v>
      </c>
      <c r="P49" s="21">
        <v>3.1377500000000005</v>
      </c>
      <c r="Q49" s="21">
        <v>16</v>
      </c>
    </row>
    <row r="50" spans="1:17" ht="16.5" x14ac:dyDescent="0.25">
      <c r="A50" s="2"/>
      <c r="B50" s="4"/>
      <c r="C50" s="18"/>
      <c r="E50" s="20">
        <v>45992</v>
      </c>
      <c r="F50" s="17" t="s">
        <v>230</v>
      </c>
      <c r="G50" s="21">
        <v>11.44</v>
      </c>
      <c r="H50" s="21">
        <v>16.899999999999999</v>
      </c>
      <c r="I50" s="25">
        <v>6.703975463289738E-2</v>
      </c>
      <c r="J50" s="21">
        <v>0</v>
      </c>
      <c r="K50" s="21">
        <v>1.56</v>
      </c>
      <c r="L50" s="21">
        <v>2.0279999999999996</v>
      </c>
      <c r="M50" s="17" t="s">
        <v>122</v>
      </c>
      <c r="N50" s="17" t="s">
        <v>117</v>
      </c>
      <c r="O50" s="21">
        <v>1.5</v>
      </c>
      <c r="P50" s="21">
        <v>3.03017</v>
      </c>
      <c r="Q50" s="21">
        <v>15.4</v>
      </c>
    </row>
    <row r="51" spans="1:17" ht="16.5" x14ac:dyDescent="0.25">
      <c r="A51" s="2"/>
      <c r="B51" s="4"/>
      <c r="C51" s="18"/>
      <c r="E51" s="20">
        <v>45855</v>
      </c>
      <c r="F51" s="17" t="s">
        <v>229</v>
      </c>
      <c r="G51" s="21">
        <v>18.204000000000001</v>
      </c>
      <c r="H51" s="21">
        <v>35</v>
      </c>
      <c r="I51" s="25">
        <v>0.14030286444079546</v>
      </c>
      <c r="J51" s="21">
        <v>0</v>
      </c>
      <c r="K51" s="21">
        <v>3.9959999999999996</v>
      </c>
      <c r="L51" s="21">
        <v>6.3</v>
      </c>
      <c r="M51" s="17" t="s">
        <v>122</v>
      </c>
      <c r="N51" s="17" t="s">
        <v>117</v>
      </c>
      <c r="O51" s="21">
        <v>3</v>
      </c>
      <c r="P51" s="21">
        <v>10.3355</v>
      </c>
      <c r="Q51" s="21">
        <v>32</v>
      </c>
    </row>
    <row r="52" spans="1:17" ht="16.5" x14ac:dyDescent="0.25">
      <c r="A52" s="2"/>
      <c r="B52" s="4"/>
      <c r="C52" s="18"/>
      <c r="E52" s="20">
        <v>45855</v>
      </c>
      <c r="F52" s="17" t="s">
        <v>228</v>
      </c>
      <c r="G52" s="21">
        <v>13.530000000000001</v>
      </c>
      <c r="H52" s="21">
        <v>26.5</v>
      </c>
      <c r="I52" s="25">
        <v>0.11483810854880031</v>
      </c>
      <c r="J52" s="21">
        <v>0</v>
      </c>
      <c r="K52" s="21">
        <v>2.9699999999999998</v>
      </c>
      <c r="L52" s="21">
        <v>4.7699999999999996</v>
      </c>
      <c r="M52" s="17" t="s">
        <v>122</v>
      </c>
      <c r="N52" s="17" t="s">
        <v>117</v>
      </c>
      <c r="O52" s="21">
        <v>3</v>
      </c>
      <c r="P52" s="21">
        <v>7.82545</v>
      </c>
      <c r="Q52" s="21">
        <v>23.5</v>
      </c>
    </row>
    <row r="53" spans="1:17" ht="16.5" x14ac:dyDescent="0.25">
      <c r="A53" s="2"/>
      <c r="B53" s="4"/>
      <c r="C53" s="18"/>
      <c r="E53" s="20">
        <v>45855</v>
      </c>
      <c r="F53" s="17" t="s">
        <v>227</v>
      </c>
      <c r="G53" s="21">
        <v>12.463999999999999</v>
      </c>
      <c r="H53" s="21">
        <v>24</v>
      </c>
      <c r="I53" s="25">
        <v>8.5662929851946568E-2</v>
      </c>
      <c r="J53" s="21">
        <v>0</v>
      </c>
      <c r="K53" s="21">
        <v>2.7359999999999998</v>
      </c>
      <c r="L53" s="21">
        <v>4.32</v>
      </c>
      <c r="M53" s="17" t="s">
        <v>122</v>
      </c>
      <c r="N53" s="17" t="s">
        <v>117</v>
      </c>
      <c r="O53" s="21">
        <v>3</v>
      </c>
      <c r="P53" s="21">
        <v>7.0872000000000002</v>
      </c>
      <c r="Q53" s="21">
        <v>21</v>
      </c>
    </row>
    <row r="54" spans="1:17" ht="16.5" x14ac:dyDescent="0.25">
      <c r="A54" s="2"/>
      <c r="B54" s="4"/>
      <c r="C54" s="18"/>
      <c r="E54" s="20">
        <v>45855</v>
      </c>
      <c r="F54" s="17" t="s">
        <v>226</v>
      </c>
      <c r="G54" s="21">
        <v>11.726000000000001</v>
      </c>
      <c r="H54" s="21">
        <v>22.5</v>
      </c>
      <c r="I54" s="25">
        <v>7.1251754095517372E-2</v>
      </c>
      <c r="J54" s="21">
        <v>0</v>
      </c>
      <c r="K54" s="21">
        <v>2.5739999999999998</v>
      </c>
      <c r="L54" s="21">
        <v>4.05</v>
      </c>
      <c r="M54" s="17" t="s">
        <v>122</v>
      </c>
      <c r="N54" s="17" t="s">
        <v>117</v>
      </c>
      <c r="O54" s="21">
        <v>3</v>
      </c>
      <c r="P54" s="21">
        <v>6.6442500000000004</v>
      </c>
      <c r="Q54" s="21">
        <v>19.5</v>
      </c>
    </row>
    <row r="55" spans="1:17" ht="16.5" x14ac:dyDescent="0.25">
      <c r="A55" s="2"/>
      <c r="B55" s="4"/>
      <c r="C55" s="18"/>
      <c r="E55" s="20">
        <v>45855</v>
      </c>
      <c r="F55" s="17" t="s">
        <v>226</v>
      </c>
      <c r="G55" s="21">
        <v>11.726000000000001</v>
      </c>
      <c r="H55" s="21">
        <v>22.4</v>
      </c>
      <c r="I55" s="25">
        <v>6.7105556569157954E-2</v>
      </c>
      <c r="J55" s="21">
        <v>0</v>
      </c>
      <c r="K55" s="21">
        <v>2.5739999999999998</v>
      </c>
      <c r="L55" s="21">
        <v>4.032</v>
      </c>
      <c r="M55" s="17" t="s">
        <v>122</v>
      </c>
      <c r="N55" s="17" t="s">
        <v>117</v>
      </c>
      <c r="O55" s="21">
        <v>3</v>
      </c>
      <c r="P55" s="21">
        <v>6.6147200000000002</v>
      </c>
      <c r="Q55" s="21">
        <v>19.399999999999999</v>
      </c>
    </row>
    <row r="56" spans="1:17" ht="16.5" x14ac:dyDescent="0.25">
      <c r="A56" s="2"/>
      <c r="B56" s="4"/>
      <c r="C56" s="18"/>
      <c r="E56" s="20">
        <v>45855</v>
      </c>
      <c r="F56" s="17" t="s">
        <v>229</v>
      </c>
      <c r="G56" s="21">
        <v>22.2</v>
      </c>
      <c r="H56" s="21">
        <v>25.5</v>
      </c>
      <c r="I56" s="25">
        <v>0.12941176470588239</v>
      </c>
      <c r="J56" s="21">
        <v>0</v>
      </c>
      <c r="K56" s="21">
        <v>3.9959999999999996</v>
      </c>
      <c r="L56" s="21">
        <v>0</v>
      </c>
      <c r="M56" s="17" t="s">
        <v>113</v>
      </c>
      <c r="N56" s="17" t="s">
        <v>115</v>
      </c>
      <c r="O56" s="21">
        <v>0</v>
      </c>
      <c r="P56" s="21">
        <v>0</v>
      </c>
      <c r="Q56" s="21">
        <v>25.5</v>
      </c>
    </row>
    <row r="57" spans="1:17" ht="16.5" x14ac:dyDescent="0.25">
      <c r="A57" s="2"/>
      <c r="B57" s="4"/>
      <c r="C57" s="18"/>
      <c r="E57" s="20">
        <v>45855</v>
      </c>
      <c r="F57" s="17" t="s">
        <v>228</v>
      </c>
      <c r="G57" s="21">
        <v>16.5</v>
      </c>
      <c r="H57" s="21">
        <v>19</v>
      </c>
      <c r="I57" s="25">
        <v>0.13157894736842105</v>
      </c>
      <c r="J57" s="21">
        <v>0</v>
      </c>
      <c r="K57" s="21">
        <v>2.9699999999999998</v>
      </c>
      <c r="L57" s="21">
        <v>0</v>
      </c>
      <c r="M57" s="17" t="s">
        <v>113</v>
      </c>
      <c r="N57" s="17" t="s">
        <v>115</v>
      </c>
      <c r="O57" s="21">
        <v>0</v>
      </c>
      <c r="P57" s="21">
        <v>0</v>
      </c>
      <c r="Q57" s="21">
        <v>19</v>
      </c>
    </row>
    <row r="58" spans="1:17" ht="16.5" x14ac:dyDescent="0.25">
      <c r="A58" s="2"/>
      <c r="B58" s="4"/>
      <c r="C58" s="18"/>
      <c r="E58" s="20">
        <v>45855</v>
      </c>
      <c r="F58" s="17" t="s">
        <v>227</v>
      </c>
      <c r="G58" s="21">
        <v>15.2</v>
      </c>
      <c r="H58" s="21">
        <v>17.5</v>
      </c>
      <c r="I58" s="25">
        <v>0.13142857142857148</v>
      </c>
      <c r="J58" s="21">
        <v>0</v>
      </c>
      <c r="K58" s="21">
        <v>2.7359999999999998</v>
      </c>
      <c r="L58" s="21">
        <v>0</v>
      </c>
      <c r="M58" s="17" t="s">
        <v>113</v>
      </c>
      <c r="N58" s="17" t="s">
        <v>115</v>
      </c>
      <c r="O58" s="21">
        <v>0</v>
      </c>
      <c r="P58" s="21">
        <v>0</v>
      </c>
      <c r="Q58" s="21">
        <v>17.5</v>
      </c>
    </row>
    <row r="59" spans="1:17" ht="16.5" x14ac:dyDescent="0.25">
      <c r="A59" s="2"/>
      <c r="B59" s="4"/>
      <c r="C59" s="18"/>
      <c r="E59" s="20">
        <v>45855</v>
      </c>
      <c r="F59" s="17" t="s">
        <v>226</v>
      </c>
      <c r="G59" s="21">
        <v>14.3</v>
      </c>
      <c r="H59" s="21">
        <v>16.5</v>
      </c>
      <c r="I59" s="25">
        <v>0.1333333333333333</v>
      </c>
      <c r="J59" s="21">
        <v>0</v>
      </c>
      <c r="K59" s="21">
        <v>2.5739999999999998</v>
      </c>
      <c r="L59" s="21">
        <v>0</v>
      </c>
      <c r="M59" s="17" t="s">
        <v>113</v>
      </c>
      <c r="N59" s="17" t="s">
        <v>115</v>
      </c>
      <c r="O59" s="21">
        <v>0</v>
      </c>
      <c r="P59" s="21">
        <v>0</v>
      </c>
      <c r="Q59" s="21">
        <v>16.5</v>
      </c>
    </row>
    <row r="60" spans="1:17" ht="16.5" x14ac:dyDescent="0.25">
      <c r="A60" s="2"/>
      <c r="B60" s="4"/>
      <c r="C60" s="18"/>
      <c r="E60" s="20">
        <v>45855</v>
      </c>
      <c r="F60" s="17" t="s">
        <v>225</v>
      </c>
      <c r="G60" s="21">
        <v>22.2</v>
      </c>
      <c r="H60" s="21">
        <v>26.5</v>
      </c>
      <c r="I60" s="25">
        <v>0.16226415094339625</v>
      </c>
      <c r="J60" s="21">
        <v>0</v>
      </c>
      <c r="K60" s="21">
        <v>3.9959999999999996</v>
      </c>
      <c r="L60" s="21">
        <v>0</v>
      </c>
      <c r="M60" s="17" t="s">
        <v>113</v>
      </c>
      <c r="N60" s="17" t="s">
        <v>115</v>
      </c>
      <c r="O60" s="21">
        <v>0</v>
      </c>
      <c r="P60" s="21">
        <v>0</v>
      </c>
      <c r="Q60" s="21">
        <v>26.5</v>
      </c>
    </row>
    <row r="61" spans="1:17" ht="16.5" x14ac:dyDescent="0.25">
      <c r="A61" s="2"/>
      <c r="B61" s="4"/>
      <c r="C61" s="18"/>
      <c r="E61" s="20">
        <v>45855</v>
      </c>
      <c r="F61" s="17" t="s">
        <v>224</v>
      </c>
      <c r="G61" s="21">
        <v>16.5</v>
      </c>
      <c r="H61" s="21">
        <v>19.5</v>
      </c>
      <c r="I61" s="25">
        <v>0.15384615384615385</v>
      </c>
      <c r="J61" s="21">
        <v>0</v>
      </c>
      <c r="K61" s="21">
        <v>2.9699999999999998</v>
      </c>
      <c r="L61" s="21">
        <v>0</v>
      </c>
      <c r="M61" s="17" t="s">
        <v>113</v>
      </c>
      <c r="N61" s="17" t="s">
        <v>115</v>
      </c>
      <c r="O61" s="21">
        <v>0</v>
      </c>
      <c r="P61" s="21">
        <v>0</v>
      </c>
      <c r="Q61" s="21">
        <v>19.5</v>
      </c>
    </row>
    <row r="62" spans="1:17" ht="16.5" x14ac:dyDescent="0.25">
      <c r="A62" s="2"/>
      <c r="B62" s="4"/>
      <c r="C62" s="18"/>
      <c r="E62" s="20">
        <v>45855</v>
      </c>
      <c r="F62" s="17" t="s">
        <v>223</v>
      </c>
      <c r="G62" s="21">
        <v>15.2</v>
      </c>
      <c r="H62" s="21">
        <v>18</v>
      </c>
      <c r="I62" s="25">
        <v>0.15555555555555559</v>
      </c>
      <c r="J62" s="21">
        <v>0</v>
      </c>
      <c r="K62" s="21">
        <v>2.7359999999999998</v>
      </c>
      <c r="L62" s="21">
        <v>0</v>
      </c>
      <c r="M62" s="17" t="s">
        <v>113</v>
      </c>
      <c r="N62" s="17" t="s">
        <v>115</v>
      </c>
      <c r="O62" s="21">
        <v>0</v>
      </c>
      <c r="P62" s="21">
        <v>0</v>
      </c>
      <c r="Q62" s="21">
        <v>18</v>
      </c>
    </row>
    <row r="63" spans="1:17" ht="16.5" x14ac:dyDescent="0.25">
      <c r="A63" s="2"/>
      <c r="B63" s="4"/>
      <c r="C63" s="18"/>
      <c r="E63" s="20">
        <v>45855</v>
      </c>
      <c r="F63" s="17" t="s">
        <v>222</v>
      </c>
      <c r="G63" s="21">
        <v>14.3</v>
      </c>
      <c r="H63" s="21">
        <v>16.899999999999999</v>
      </c>
      <c r="I63" s="25">
        <v>0.15384615384615374</v>
      </c>
      <c r="J63" s="21">
        <v>0</v>
      </c>
      <c r="K63" s="21">
        <v>2.5739999999999998</v>
      </c>
      <c r="L63" s="21">
        <v>0</v>
      </c>
      <c r="M63" s="17" t="s">
        <v>113</v>
      </c>
      <c r="N63" s="17" t="s">
        <v>115</v>
      </c>
      <c r="O63" s="21">
        <v>0</v>
      </c>
      <c r="P63" s="21">
        <v>0</v>
      </c>
      <c r="Q63" s="21">
        <v>16.899999999999999</v>
      </c>
    </row>
    <row r="64" spans="1:17" ht="16.5" x14ac:dyDescent="0.25">
      <c r="A64" s="2"/>
      <c r="B64" s="4"/>
      <c r="C64" s="18"/>
      <c r="E64" s="20">
        <v>45749</v>
      </c>
      <c r="F64" s="17" t="s">
        <v>136</v>
      </c>
      <c r="G64" s="21">
        <v>16</v>
      </c>
      <c r="H64" s="21">
        <v>18</v>
      </c>
      <c r="I64" s="25">
        <v>0.1111111111111111</v>
      </c>
      <c r="J64" s="21">
        <v>0</v>
      </c>
      <c r="K64" s="21">
        <v>1.92</v>
      </c>
      <c r="L64" s="21">
        <v>0</v>
      </c>
      <c r="M64" s="17" t="s">
        <v>113</v>
      </c>
      <c r="N64" s="17" t="s">
        <v>115</v>
      </c>
      <c r="O64" s="21">
        <v>0</v>
      </c>
      <c r="P64" s="21">
        <v>0</v>
      </c>
      <c r="Q64" s="21">
        <v>18</v>
      </c>
    </row>
    <row r="65" spans="1:17" ht="16.5" x14ac:dyDescent="0.25">
      <c r="A65" s="2"/>
      <c r="B65" s="4"/>
      <c r="C65" s="18"/>
      <c r="E65" s="20">
        <v>45749</v>
      </c>
      <c r="F65" s="17" t="s">
        <v>136</v>
      </c>
      <c r="G65" s="21">
        <v>14.08</v>
      </c>
      <c r="H65" s="21">
        <v>20</v>
      </c>
      <c r="I65" s="25">
        <v>0.12039197386840868</v>
      </c>
      <c r="J65" s="21">
        <v>0</v>
      </c>
      <c r="K65" s="21">
        <v>1.92</v>
      </c>
      <c r="L65" s="21">
        <v>2.4</v>
      </c>
      <c r="M65" s="17" t="s">
        <v>122</v>
      </c>
      <c r="N65" s="17" t="s">
        <v>117</v>
      </c>
      <c r="O65" s="21">
        <v>1</v>
      </c>
      <c r="P65" s="21">
        <v>2.8560000000000003</v>
      </c>
      <c r="Q65" s="21">
        <v>19</v>
      </c>
    </row>
    <row r="66" spans="1:17" ht="16.5" x14ac:dyDescent="0.25">
      <c r="A66" s="2"/>
      <c r="B66" s="4"/>
      <c r="C66" s="18"/>
      <c r="E66" s="20">
        <v>45749</v>
      </c>
      <c r="F66" s="17" t="s">
        <v>137</v>
      </c>
      <c r="G66" s="21">
        <v>7.92</v>
      </c>
      <c r="H66" s="21">
        <v>12</v>
      </c>
      <c r="I66" s="25">
        <v>0.13283558873852858</v>
      </c>
      <c r="J66" s="21">
        <v>0</v>
      </c>
      <c r="K66" s="21">
        <v>1.08</v>
      </c>
      <c r="L66" s="21">
        <v>1.44</v>
      </c>
      <c r="M66" s="17" t="s">
        <v>122</v>
      </c>
      <c r="N66" s="17" t="s">
        <v>117</v>
      </c>
      <c r="O66" s="21">
        <v>1</v>
      </c>
      <c r="P66" s="21">
        <v>1.7136</v>
      </c>
      <c r="Q66" s="21">
        <v>11</v>
      </c>
    </row>
    <row r="67" spans="1:17" ht="16.5" x14ac:dyDescent="0.25">
      <c r="A67" s="2"/>
      <c r="B67" s="4"/>
      <c r="C67" s="18"/>
      <c r="E67" s="20">
        <v>45749</v>
      </c>
      <c r="F67" s="17" t="s">
        <v>137</v>
      </c>
      <c r="G67" s="21">
        <v>9</v>
      </c>
      <c r="H67" s="21">
        <v>10</v>
      </c>
      <c r="I67" s="25">
        <v>0.1</v>
      </c>
      <c r="J67" s="21">
        <v>0</v>
      </c>
      <c r="K67" s="21">
        <v>1.08</v>
      </c>
      <c r="L67" s="21">
        <v>0</v>
      </c>
      <c r="M67" s="17" t="s">
        <v>113</v>
      </c>
      <c r="N67" s="17" t="s">
        <v>115</v>
      </c>
      <c r="O67" s="21">
        <v>0</v>
      </c>
      <c r="P67" s="21">
        <v>0</v>
      </c>
      <c r="Q67" s="21">
        <v>10</v>
      </c>
    </row>
    <row r="68" spans="1:17" ht="16.5" x14ac:dyDescent="0.25">
      <c r="A68" s="2"/>
      <c r="B68" s="4"/>
      <c r="C68" s="18"/>
      <c r="E68" s="20">
        <v>45744</v>
      </c>
      <c r="F68" s="17" t="s">
        <v>94</v>
      </c>
      <c r="G68" s="21">
        <v>4.2</v>
      </c>
      <c r="H68" s="21">
        <v>6</v>
      </c>
      <c r="I68" s="25">
        <v>0.14999999999999994</v>
      </c>
      <c r="J68" s="21">
        <v>0.60000000000000009</v>
      </c>
      <c r="K68" s="21">
        <v>0.10752</v>
      </c>
      <c r="L68" s="21">
        <v>0</v>
      </c>
      <c r="M68" s="17" t="s">
        <v>121</v>
      </c>
      <c r="N68" s="17" t="s">
        <v>115</v>
      </c>
      <c r="O68" s="21">
        <v>0.30000000000000004</v>
      </c>
      <c r="P68" s="21">
        <v>0</v>
      </c>
      <c r="Q68" s="21">
        <v>6</v>
      </c>
    </row>
    <row r="69" spans="1:17" ht="16.5" x14ac:dyDescent="0.25">
      <c r="A69" s="2"/>
      <c r="B69" s="4"/>
      <c r="C69" s="18"/>
      <c r="E69" s="20">
        <v>45744</v>
      </c>
      <c r="F69" s="17" t="s">
        <v>94</v>
      </c>
      <c r="G69" s="21">
        <v>4.2</v>
      </c>
      <c r="H69" s="21">
        <v>5.8</v>
      </c>
      <c r="I69" s="25">
        <v>0.12586206896551719</v>
      </c>
      <c r="J69" s="21">
        <v>0.57999999999999996</v>
      </c>
      <c r="K69" s="21">
        <v>0.10752</v>
      </c>
      <c r="L69" s="21">
        <v>0</v>
      </c>
      <c r="M69" s="17" t="s">
        <v>120</v>
      </c>
      <c r="N69" s="17" t="s">
        <v>115</v>
      </c>
      <c r="O69" s="21">
        <v>0.28999999999999998</v>
      </c>
      <c r="P69" s="21">
        <v>0</v>
      </c>
      <c r="Q69" s="21">
        <v>5.8</v>
      </c>
    </row>
    <row r="70" spans="1:17" ht="16.5" x14ac:dyDescent="0.25">
      <c r="A70" s="2"/>
      <c r="B70" s="4"/>
      <c r="C70" s="18"/>
      <c r="E70" s="20">
        <v>45744</v>
      </c>
      <c r="F70" s="17" t="s">
        <v>94</v>
      </c>
      <c r="G70" s="21">
        <v>4.2</v>
      </c>
      <c r="H70" s="21">
        <v>5.6</v>
      </c>
      <c r="I70" s="25">
        <v>9.9999999999999922E-2</v>
      </c>
      <c r="J70" s="21">
        <v>0.55999999999999994</v>
      </c>
      <c r="K70" s="21">
        <v>0.10752</v>
      </c>
      <c r="L70" s="21">
        <v>0</v>
      </c>
      <c r="M70" s="17" t="s">
        <v>113</v>
      </c>
      <c r="N70" s="17" t="s">
        <v>115</v>
      </c>
      <c r="O70" s="21">
        <v>0.27999999999999997</v>
      </c>
      <c r="P70" s="21">
        <v>0</v>
      </c>
      <c r="Q70" s="21">
        <v>5.6</v>
      </c>
    </row>
    <row r="71" spans="1:17" ht="16.5" x14ac:dyDescent="0.25">
      <c r="A71" s="2"/>
      <c r="B71" s="4"/>
      <c r="C71" s="18"/>
      <c r="E71" s="20">
        <v>45744</v>
      </c>
      <c r="F71" s="17" t="s">
        <v>203</v>
      </c>
      <c r="G71" s="21">
        <v>16</v>
      </c>
      <c r="H71" s="21">
        <v>20.5</v>
      </c>
      <c r="I71" s="25">
        <v>9.665763324299903E-2</v>
      </c>
      <c r="J71" s="21">
        <v>0</v>
      </c>
      <c r="K71" s="21">
        <v>0</v>
      </c>
      <c r="L71" s="21">
        <v>1.1274999999999999</v>
      </c>
      <c r="M71" s="17" t="s">
        <v>122</v>
      </c>
      <c r="N71" s="17" t="s">
        <v>116</v>
      </c>
      <c r="O71" s="21">
        <v>1.5</v>
      </c>
      <c r="P71" s="21">
        <v>1.1274999999999999</v>
      </c>
      <c r="Q71" s="21">
        <v>19</v>
      </c>
    </row>
    <row r="72" spans="1:17" ht="16.5" x14ac:dyDescent="0.25">
      <c r="A72" s="2"/>
      <c r="B72" s="4"/>
      <c r="C72" s="18"/>
      <c r="E72" s="20">
        <v>45744</v>
      </c>
      <c r="F72" s="17" t="s">
        <v>203</v>
      </c>
      <c r="G72" s="21">
        <v>15.590400000000001</v>
      </c>
      <c r="H72" s="21">
        <v>22</v>
      </c>
      <c r="I72" s="25">
        <v>9.3751325669197749E-2</v>
      </c>
      <c r="J72" s="21">
        <v>0</v>
      </c>
      <c r="K72" s="21">
        <v>0.40960000000000002</v>
      </c>
      <c r="L72" s="21">
        <v>2.6399999999999997</v>
      </c>
      <c r="M72" s="17" t="s">
        <v>122</v>
      </c>
      <c r="N72" s="17" t="s">
        <v>117</v>
      </c>
      <c r="O72" s="21">
        <v>1.5</v>
      </c>
      <c r="P72" s="21">
        <v>3.1416000000000004</v>
      </c>
      <c r="Q72" s="21">
        <v>20.5</v>
      </c>
    </row>
    <row r="73" spans="1:17" ht="16.5" x14ac:dyDescent="0.25">
      <c r="A73" s="2"/>
      <c r="B73" s="4"/>
      <c r="C73" s="18"/>
      <c r="E73" s="20">
        <v>45744</v>
      </c>
      <c r="F73" s="17" t="s">
        <v>203</v>
      </c>
      <c r="G73" s="21">
        <v>15.590400000000001</v>
      </c>
      <c r="H73" s="21">
        <v>22</v>
      </c>
      <c r="I73" s="25">
        <v>9.3751325669197749E-2</v>
      </c>
      <c r="J73" s="21">
        <v>0</v>
      </c>
      <c r="K73" s="21">
        <v>0.40960000000000002</v>
      </c>
      <c r="L73" s="21">
        <v>2.6399999999999997</v>
      </c>
      <c r="M73" s="17" t="s">
        <v>113</v>
      </c>
      <c r="N73" s="17" t="s">
        <v>117</v>
      </c>
      <c r="O73" s="21">
        <v>1.5</v>
      </c>
      <c r="P73" s="21">
        <v>3.1416000000000004</v>
      </c>
      <c r="Q73" s="21">
        <v>20.5</v>
      </c>
    </row>
    <row r="74" spans="1:17" ht="16.5" x14ac:dyDescent="0.25">
      <c r="A74" s="2"/>
      <c r="B74" s="4"/>
      <c r="C74" s="18"/>
      <c r="E74" s="20">
        <v>45744</v>
      </c>
      <c r="F74" s="17" t="s">
        <v>203</v>
      </c>
      <c r="G74" s="21">
        <v>16</v>
      </c>
      <c r="H74" s="21">
        <v>20.5</v>
      </c>
      <c r="I74" s="25">
        <v>9.665763324299903E-2</v>
      </c>
      <c r="J74" s="21">
        <v>0</v>
      </c>
      <c r="K74" s="21">
        <v>0</v>
      </c>
      <c r="L74" s="21">
        <v>1.1274999999999999</v>
      </c>
      <c r="M74" s="17" t="s">
        <v>113</v>
      </c>
      <c r="N74" s="17" t="s">
        <v>116</v>
      </c>
      <c r="O74" s="21">
        <v>1.5</v>
      </c>
      <c r="P74" s="21">
        <v>1.1274999999999999</v>
      </c>
      <c r="Q74" s="21">
        <v>19</v>
      </c>
    </row>
    <row r="75" spans="1:17" ht="16.5" x14ac:dyDescent="0.25">
      <c r="A75" s="2"/>
      <c r="B75" s="4"/>
      <c r="C75" s="18"/>
      <c r="E75" s="20">
        <v>45744</v>
      </c>
      <c r="F75" s="17" t="s">
        <v>203</v>
      </c>
      <c r="G75" s="21">
        <v>16</v>
      </c>
      <c r="H75" s="21">
        <v>18</v>
      </c>
      <c r="I75" s="25">
        <v>0.1111111111111111</v>
      </c>
      <c r="J75" s="21">
        <v>0</v>
      </c>
      <c r="K75" s="21">
        <v>0.40960000000000002</v>
      </c>
      <c r="L75" s="21">
        <v>0</v>
      </c>
      <c r="M75" s="17" t="s">
        <v>113</v>
      </c>
      <c r="N75" s="17" t="s">
        <v>115</v>
      </c>
      <c r="O75" s="21">
        <v>0</v>
      </c>
      <c r="P75" s="21">
        <v>0</v>
      </c>
      <c r="Q75" s="21">
        <v>18</v>
      </c>
    </row>
    <row r="76" spans="1:17" ht="16.5" x14ac:dyDescent="0.25">
      <c r="A76" s="2"/>
      <c r="B76" s="4"/>
      <c r="C76" s="18"/>
      <c r="E76" s="20">
        <v>45744</v>
      </c>
      <c r="F76" s="17" t="s">
        <v>95</v>
      </c>
      <c r="G76" s="21">
        <v>7.7952000000000004</v>
      </c>
      <c r="H76" s="21">
        <v>12</v>
      </c>
      <c r="I76" s="25">
        <v>0.14496811323689532</v>
      </c>
      <c r="J76" s="21">
        <v>0</v>
      </c>
      <c r="K76" s="21">
        <v>0.20480000000000001</v>
      </c>
      <c r="L76" s="21">
        <v>1.44</v>
      </c>
      <c r="M76" s="17" t="s">
        <v>122</v>
      </c>
      <c r="N76" s="17" t="s">
        <v>117</v>
      </c>
      <c r="O76" s="21">
        <v>1</v>
      </c>
      <c r="P76" s="21">
        <v>1.7136</v>
      </c>
      <c r="Q76" s="21">
        <v>11</v>
      </c>
    </row>
    <row r="77" spans="1:17" ht="16.5" x14ac:dyDescent="0.25">
      <c r="A77" s="2"/>
      <c r="B77" s="4"/>
      <c r="C77" s="18"/>
      <c r="E77" s="20">
        <v>45744</v>
      </c>
      <c r="F77" s="17" t="s">
        <v>95</v>
      </c>
      <c r="G77" s="21">
        <v>8</v>
      </c>
      <c r="H77" s="21">
        <v>11</v>
      </c>
      <c r="I77" s="25">
        <v>0.13419913419913415</v>
      </c>
      <c r="J77" s="21">
        <v>0</v>
      </c>
      <c r="K77" s="21">
        <v>0</v>
      </c>
      <c r="L77" s="21">
        <v>0.60499999999999998</v>
      </c>
      <c r="M77" s="17" t="s">
        <v>122</v>
      </c>
      <c r="N77" s="17" t="s">
        <v>116</v>
      </c>
      <c r="O77" s="21">
        <v>1</v>
      </c>
      <c r="P77" s="21">
        <v>0.60499999999999998</v>
      </c>
      <c r="Q77" s="21">
        <v>10</v>
      </c>
    </row>
    <row r="78" spans="1:17" ht="16.5" x14ac:dyDescent="0.25">
      <c r="A78" s="2"/>
      <c r="B78" s="4"/>
      <c r="C78" s="18"/>
      <c r="E78" s="20">
        <v>45744</v>
      </c>
      <c r="F78" s="17" t="s">
        <v>95</v>
      </c>
      <c r="G78" s="21">
        <v>8</v>
      </c>
      <c r="H78" s="21">
        <v>9.5</v>
      </c>
      <c r="I78" s="25">
        <v>0.15789473684210525</v>
      </c>
      <c r="J78" s="21">
        <v>0</v>
      </c>
      <c r="K78" s="21">
        <v>0.20480000000000001</v>
      </c>
      <c r="L78" s="21">
        <v>0</v>
      </c>
      <c r="M78" s="17" t="s">
        <v>113</v>
      </c>
      <c r="N78" s="17" t="s">
        <v>115</v>
      </c>
      <c r="O78" s="21">
        <v>0</v>
      </c>
      <c r="P78" s="21">
        <v>0</v>
      </c>
      <c r="Q78" s="21">
        <v>9.5</v>
      </c>
    </row>
    <row r="79" spans="1:17" ht="16.5" x14ac:dyDescent="0.25">
      <c r="A79" s="2"/>
      <c r="B79" s="4"/>
      <c r="C79" s="18"/>
      <c r="E79" s="20">
        <v>45744</v>
      </c>
      <c r="F79" s="17" t="s">
        <v>94</v>
      </c>
      <c r="G79" s="21">
        <v>4.0924800000000001</v>
      </c>
      <c r="H79" s="21">
        <v>6.9</v>
      </c>
      <c r="I79" s="25">
        <v>0.13901005633440869</v>
      </c>
      <c r="J79" s="21">
        <v>0</v>
      </c>
      <c r="K79" s="21">
        <v>0.10752</v>
      </c>
      <c r="L79" s="21">
        <v>0.82799999999999996</v>
      </c>
      <c r="M79" s="17" t="s">
        <v>122</v>
      </c>
      <c r="N79" s="17" t="s">
        <v>117</v>
      </c>
      <c r="O79" s="21">
        <v>1</v>
      </c>
      <c r="P79" s="21">
        <v>0.98532000000000008</v>
      </c>
      <c r="Q79" s="21">
        <v>5.9</v>
      </c>
    </row>
    <row r="80" spans="1:17" ht="16.5" x14ac:dyDescent="0.25">
      <c r="A80" s="2"/>
      <c r="B80" s="4"/>
      <c r="C80" s="18"/>
      <c r="E80" s="20">
        <v>45744</v>
      </c>
      <c r="F80" s="17" t="s">
        <v>94</v>
      </c>
      <c r="G80" s="21">
        <v>4.2</v>
      </c>
      <c r="H80" s="21">
        <v>6.3</v>
      </c>
      <c r="I80" s="25">
        <v>0.12656420592928527</v>
      </c>
      <c r="J80" s="21">
        <v>0</v>
      </c>
      <c r="K80" s="21">
        <v>0</v>
      </c>
      <c r="L80" s="21">
        <v>0.34649999999999997</v>
      </c>
      <c r="M80" s="17" t="s">
        <v>122</v>
      </c>
      <c r="N80" s="17" t="s">
        <v>116</v>
      </c>
      <c r="O80" s="21">
        <v>1</v>
      </c>
      <c r="P80" s="21">
        <v>0.34649999999999997</v>
      </c>
      <c r="Q80" s="21">
        <v>5.3</v>
      </c>
    </row>
    <row r="81" spans="1:17" ht="16.5" x14ac:dyDescent="0.25">
      <c r="A81" s="2"/>
      <c r="B81" s="4"/>
      <c r="C81" s="18"/>
      <c r="E81" s="20">
        <v>45744</v>
      </c>
      <c r="F81" s="17" t="s">
        <v>94</v>
      </c>
      <c r="G81" s="21">
        <v>4.2</v>
      </c>
      <c r="H81" s="21">
        <v>4.9000000000000004</v>
      </c>
      <c r="I81" s="25">
        <v>0.14285714285714288</v>
      </c>
      <c r="J81" s="21">
        <v>0</v>
      </c>
      <c r="K81" s="21">
        <v>0.10752</v>
      </c>
      <c r="L81" s="21">
        <v>0</v>
      </c>
      <c r="M81" s="17" t="s">
        <v>113</v>
      </c>
      <c r="N81" s="17" t="s">
        <v>115</v>
      </c>
      <c r="O81" s="21">
        <v>0</v>
      </c>
      <c r="P81" s="21">
        <v>0</v>
      </c>
      <c r="Q81" s="21">
        <v>4.9000000000000004</v>
      </c>
    </row>
    <row r="82" spans="1:17" ht="16.5" x14ac:dyDescent="0.25">
      <c r="A82" s="2"/>
      <c r="B82" s="4"/>
      <c r="C82" s="18"/>
      <c r="E82" s="20">
        <v>45721</v>
      </c>
      <c r="F82" s="17" t="s">
        <v>92</v>
      </c>
      <c r="G82" s="21">
        <v>8.8874999999999993</v>
      </c>
      <c r="H82" s="21">
        <v>14</v>
      </c>
      <c r="I82" s="25">
        <v>9.5937266096885909E-2</v>
      </c>
      <c r="J82" s="21">
        <v>0</v>
      </c>
      <c r="K82" s="21">
        <v>0.1125</v>
      </c>
      <c r="L82" s="21">
        <v>1.68</v>
      </c>
      <c r="M82" s="17" t="s">
        <v>122</v>
      </c>
      <c r="N82" s="17" t="s">
        <v>117</v>
      </c>
      <c r="O82" s="21">
        <v>1.5</v>
      </c>
      <c r="P82" s="21">
        <v>2.5102000000000002</v>
      </c>
      <c r="Q82" s="21">
        <v>12.5</v>
      </c>
    </row>
    <row r="83" spans="1:17" ht="16.5" x14ac:dyDescent="0.25">
      <c r="A83" s="2"/>
      <c r="B83" s="4"/>
      <c r="C83" s="18"/>
      <c r="E83" s="20">
        <v>45721</v>
      </c>
      <c r="F83" s="17" t="s">
        <v>92</v>
      </c>
      <c r="G83" s="21">
        <v>9</v>
      </c>
      <c r="H83" s="21">
        <v>13</v>
      </c>
      <c r="I83" s="25">
        <v>0.14529914529914531</v>
      </c>
      <c r="J83" s="21">
        <v>0</v>
      </c>
      <c r="K83" s="21">
        <v>0</v>
      </c>
      <c r="L83" s="21">
        <v>0.71499999999999997</v>
      </c>
      <c r="M83" s="17" t="s">
        <v>122</v>
      </c>
      <c r="N83" s="17" t="s">
        <v>116</v>
      </c>
      <c r="O83" s="21">
        <v>1.5</v>
      </c>
      <c r="P83" s="21">
        <v>0.71499999999999997</v>
      </c>
      <c r="Q83" s="21">
        <v>11.5</v>
      </c>
    </row>
    <row r="84" spans="1:17" ht="16.5" x14ac:dyDescent="0.25">
      <c r="A84" s="2"/>
      <c r="B84" s="4"/>
      <c r="C84" s="18"/>
      <c r="E84" s="20">
        <v>45721</v>
      </c>
      <c r="F84" s="17" t="s">
        <v>202</v>
      </c>
      <c r="G84" s="21">
        <v>15.8</v>
      </c>
      <c r="H84" s="21">
        <v>24.5</v>
      </c>
      <c r="I84" s="25">
        <v>0.11474276563312055</v>
      </c>
      <c r="J84" s="21">
        <v>0</v>
      </c>
      <c r="K84" s="21">
        <v>0.2</v>
      </c>
      <c r="L84" s="21">
        <v>2.94</v>
      </c>
      <c r="M84" s="17" t="s">
        <v>122</v>
      </c>
      <c r="N84" s="17" t="s">
        <v>117</v>
      </c>
      <c r="O84" s="21">
        <v>2</v>
      </c>
      <c r="P84" s="21">
        <v>4.3928500000000001</v>
      </c>
      <c r="Q84" s="21">
        <v>22.5</v>
      </c>
    </row>
    <row r="85" spans="1:17" ht="16.5" x14ac:dyDescent="0.25">
      <c r="A85" s="2"/>
      <c r="B85" s="4"/>
      <c r="C85" s="18"/>
      <c r="E85" s="20">
        <v>45721</v>
      </c>
      <c r="F85" s="17" t="s">
        <v>202</v>
      </c>
      <c r="G85" s="21">
        <v>16</v>
      </c>
      <c r="H85" s="21">
        <v>22.5</v>
      </c>
      <c r="I85" s="25">
        <v>0.1299235743680188</v>
      </c>
      <c r="J85" s="21">
        <v>0</v>
      </c>
      <c r="K85" s="21">
        <v>0</v>
      </c>
      <c r="L85" s="21">
        <v>1.2375</v>
      </c>
      <c r="M85" s="17" t="s">
        <v>122</v>
      </c>
      <c r="N85" s="17" t="s">
        <v>116</v>
      </c>
      <c r="O85" s="21">
        <v>2.5</v>
      </c>
      <c r="P85" s="21">
        <v>1.2375</v>
      </c>
      <c r="Q85" s="21">
        <v>20</v>
      </c>
    </row>
    <row r="86" spans="1:17" ht="16.5" x14ac:dyDescent="0.25">
      <c r="A86" s="2"/>
      <c r="B86" s="4"/>
      <c r="C86" s="18"/>
      <c r="E86" s="20">
        <v>45721</v>
      </c>
      <c r="F86" s="17" t="s">
        <v>202</v>
      </c>
      <c r="G86" s="21">
        <v>16</v>
      </c>
      <c r="H86" s="21">
        <v>18</v>
      </c>
      <c r="I86" s="25">
        <v>0.1111111111111111</v>
      </c>
      <c r="J86" s="21">
        <v>0</v>
      </c>
      <c r="K86" s="21">
        <v>0.2</v>
      </c>
      <c r="L86" s="21">
        <v>0</v>
      </c>
      <c r="M86" s="17" t="s">
        <v>113</v>
      </c>
      <c r="N86" s="17" t="s">
        <v>115</v>
      </c>
      <c r="O86" s="21">
        <v>0</v>
      </c>
      <c r="P86" s="21">
        <v>0</v>
      </c>
      <c r="Q86" s="21">
        <v>18</v>
      </c>
    </row>
    <row r="87" spans="1:17" ht="16.5" x14ac:dyDescent="0.25">
      <c r="A87" s="2"/>
      <c r="B87" s="4"/>
      <c r="C87" s="18"/>
      <c r="E87" s="20">
        <v>45721</v>
      </c>
      <c r="F87" s="17" t="s">
        <v>92</v>
      </c>
      <c r="G87" s="21">
        <v>9</v>
      </c>
      <c r="H87" s="21">
        <v>10.5</v>
      </c>
      <c r="I87" s="25">
        <v>0.14285714285714285</v>
      </c>
      <c r="J87" s="21">
        <v>0</v>
      </c>
      <c r="K87" s="21">
        <v>0.1125</v>
      </c>
      <c r="L87" s="21">
        <v>0</v>
      </c>
      <c r="M87" s="17" t="s">
        <v>113</v>
      </c>
      <c r="N87" s="17" t="s">
        <v>115</v>
      </c>
      <c r="O87" s="21">
        <v>0</v>
      </c>
      <c r="P87" s="21">
        <v>0</v>
      </c>
      <c r="Q87" s="21">
        <v>10.5</v>
      </c>
    </row>
    <row r="88" spans="1:17" ht="16.5" x14ac:dyDescent="0.25">
      <c r="A88" s="2"/>
      <c r="B88" s="4"/>
      <c r="C88" s="18"/>
      <c r="E88" s="20">
        <v>45716</v>
      </c>
      <c r="F88" s="17" t="s">
        <v>199</v>
      </c>
      <c r="G88" s="21">
        <v>34.068750000000001</v>
      </c>
      <c r="H88" s="21">
        <v>54</v>
      </c>
      <c r="I88" s="25">
        <v>0.11844112297993124</v>
      </c>
      <c r="J88" s="21">
        <v>0</v>
      </c>
      <c r="K88" s="21">
        <v>0.43125000000000002</v>
      </c>
      <c r="L88" s="21">
        <v>6.4799999999999995</v>
      </c>
      <c r="M88" s="17" t="s">
        <v>122</v>
      </c>
      <c r="N88" s="17" t="s">
        <v>117</v>
      </c>
      <c r="O88" s="21">
        <v>5</v>
      </c>
      <c r="P88" s="21">
        <v>9.6822000000000017</v>
      </c>
      <c r="Q88" s="21">
        <v>49</v>
      </c>
    </row>
    <row r="89" spans="1:17" ht="16.5" x14ac:dyDescent="0.25">
      <c r="A89" s="2"/>
      <c r="B89" s="4"/>
      <c r="C89" s="18"/>
      <c r="E89" s="20">
        <v>45716</v>
      </c>
      <c r="F89" s="17" t="s">
        <v>199</v>
      </c>
      <c r="G89" s="21">
        <v>34.5</v>
      </c>
      <c r="H89" s="21">
        <v>50</v>
      </c>
      <c r="I89" s="25">
        <v>0.16402116402116401</v>
      </c>
      <c r="J89" s="21">
        <v>0</v>
      </c>
      <c r="K89" s="21">
        <v>0</v>
      </c>
      <c r="L89" s="21">
        <v>2.75</v>
      </c>
      <c r="M89" s="17" t="s">
        <v>122</v>
      </c>
      <c r="N89" s="17" t="s">
        <v>116</v>
      </c>
      <c r="O89" s="21">
        <v>5</v>
      </c>
      <c r="P89" s="21">
        <v>2.75</v>
      </c>
      <c r="Q89" s="21">
        <v>45</v>
      </c>
    </row>
    <row r="90" spans="1:17" ht="16.5" x14ac:dyDescent="0.25">
      <c r="A90" s="2"/>
      <c r="B90" s="4"/>
      <c r="C90" s="18"/>
      <c r="E90" s="20">
        <v>45716</v>
      </c>
      <c r="F90" s="17" t="s">
        <v>199</v>
      </c>
      <c r="G90" s="21">
        <v>34.5</v>
      </c>
      <c r="H90" s="21">
        <v>41</v>
      </c>
      <c r="I90" s="25">
        <v>0.15853658536585366</v>
      </c>
      <c r="J90" s="21">
        <v>0</v>
      </c>
      <c r="K90" s="21">
        <v>0.43125000000000002</v>
      </c>
      <c r="L90" s="21">
        <v>0</v>
      </c>
      <c r="M90" s="17" t="s">
        <v>113</v>
      </c>
      <c r="N90" s="17" t="s">
        <v>115</v>
      </c>
      <c r="O90" s="21">
        <v>0</v>
      </c>
      <c r="P90" s="21">
        <v>0</v>
      </c>
      <c r="Q90" s="21">
        <v>41</v>
      </c>
    </row>
    <row r="91" spans="1:17" ht="16.5" x14ac:dyDescent="0.25">
      <c r="A91" s="2"/>
      <c r="B91" s="4"/>
      <c r="C91" s="18"/>
      <c r="E91" s="20">
        <v>45716</v>
      </c>
      <c r="F91" s="17" t="s">
        <v>200</v>
      </c>
      <c r="G91" s="21">
        <v>34.5625</v>
      </c>
      <c r="H91" s="21">
        <v>55</v>
      </c>
      <c r="I91" s="25">
        <v>0.12353091042015132</v>
      </c>
      <c r="J91" s="21">
        <v>0</v>
      </c>
      <c r="K91" s="21">
        <v>0.4375</v>
      </c>
      <c r="L91" s="21">
        <v>6.6</v>
      </c>
      <c r="M91" s="17" t="s">
        <v>122</v>
      </c>
      <c r="N91" s="17" t="s">
        <v>117</v>
      </c>
      <c r="O91" s="21">
        <v>5</v>
      </c>
      <c r="P91" s="21">
        <v>9.8615000000000013</v>
      </c>
      <c r="Q91" s="21">
        <v>50</v>
      </c>
    </row>
    <row r="92" spans="1:17" ht="16.5" x14ac:dyDescent="0.25">
      <c r="A92" s="2"/>
      <c r="B92" s="4"/>
      <c r="C92" s="18"/>
      <c r="E92" s="20">
        <v>45716</v>
      </c>
      <c r="F92" s="17" t="s">
        <v>200</v>
      </c>
      <c r="G92" s="21">
        <v>35</v>
      </c>
      <c r="H92" s="21">
        <v>51</v>
      </c>
      <c r="I92" s="25">
        <v>0.17003838572466023</v>
      </c>
      <c r="J92" s="21">
        <v>0</v>
      </c>
      <c r="K92" s="21">
        <v>0</v>
      </c>
      <c r="L92" s="21">
        <v>2.8050000000000002</v>
      </c>
      <c r="M92" s="17" t="s">
        <v>122</v>
      </c>
      <c r="N92" s="17" t="s">
        <v>116</v>
      </c>
      <c r="O92" s="21">
        <v>5</v>
      </c>
      <c r="P92" s="21">
        <v>2.8050000000000002</v>
      </c>
      <c r="Q92" s="21">
        <v>46</v>
      </c>
    </row>
    <row r="93" spans="1:17" ht="16.5" x14ac:dyDescent="0.25">
      <c r="A93" s="2"/>
      <c r="B93" s="4"/>
      <c r="C93" s="18"/>
      <c r="E93" s="20">
        <v>45716</v>
      </c>
      <c r="F93" s="17" t="s">
        <v>200</v>
      </c>
      <c r="G93" s="21">
        <v>35</v>
      </c>
      <c r="H93" s="21">
        <v>51</v>
      </c>
      <c r="I93" s="25">
        <v>0.17003838572466023</v>
      </c>
      <c r="J93" s="21">
        <v>0</v>
      </c>
      <c r="K93" s="21">
        <v>0</v>
      </c>
      <c r="L93" s="21">
        <v>2.8050000000000002</v>
      </c>
      <c r="M93" s="17" t="s">
        <v>113</v>
      </c>
      <c r="N93" s="17" t="s">
        <v>116</v>
      </c>
      <c r="O93" s="21">
        <v>5</v>
      </c>
      <c r="P93" s="21">
        <v>2.8050000000000002</v>
      </c>
      <c r="Q93" s="21">
        <v>46</v>
      </c>
    </row>
    <row r="94" spans="1:17" ht="16.5" x14ac:dyDescent="0.25">
      <c r="A94" s="2"/>
      <c r="B94" s="4"/>
      <c r="C94" s="18"/>
      <c r="E94" s="20">
        <v>45716</v>
      </c>
      <c r="F94" s="17" t="s">
        <v>200</v>
      </c>
      <c r="G94" s="21">
        <v>35</v>
      </c>
      <c r="H94" s="21">
        <v>45</v>
      </c>
      <c r="I94" s="25">
        <v>0.22222222222222221</v>
      </c>
      <c r="J94" s="21">
        <v>0</v>
      </c>
      <c r="K94" s="21">
        <v>0.4375</v>
      </c>
      <c r="L94" s="21">
        <v>0</v>
      </c>
      <c r="M94" s="17" t="s">
        <v>113</v>
      </c>
      <c r="N94" s="17" t="s">
        <v>115</v>
      </c>
      <c r="O94" s="21">
        <v>0</v>
      </c>
      <c r="P94" s="21">
        <v>0</v>
      </c>
      <c r="Q94" s="21">
        <v>45</v>
      </c>
    </row>
    <row r="95" spans="1:17" ht="16.5" x14ac:dyDescent="0.25">
      <c r="A95" s="2"/>
      <c r="B95" s="4"/>
      <c r="C95" s="18"/>
      <c r="E95" s="20">
        <v>45716</v>
      </c>
      <c r="F95" s="17" t="s">
        <v>201</v>
      </c>
      <c r="G95" s="21">
        <v>17.774999999999999</v>
      </c>
      <c r="H95" s="21">
        <v>28</v>
      </c>
      <c r="I95" s="25">
        <v>0.13945412452784206</v>
      </c>
      <c r="J95" s="21">
        <v>0</v>
      </c>
      <c r="K95" s="21">
        <v>0.22500000000000001</v>
      </c>
      <c r="L95" s="21">
        <v>3.36</v>
      </c>
      <c r="M95" s="17" t="s">
        <v>122</v>
      </c>
      <c r="N95" s="17" t="s">
        <v>117</v>
      </c>
      <c r="O95" s="21">
        <v>2</v>
      </c>
      <c r="P95" s="21">
        <v>5.0204000000000004</v>
      </c>
      <c r="Q95" s="21">
        <v>26</v>
      </c>
    </row>
    <row r="96" spans="1:17" ht="16.5" x14ac:dyDescent="0.25">
      <c r="A96" s="2"/>
      <c r="B96" s="4"/>
      <c r="C96" s="18"/>
      <c r="E96" s="20">
        <v>45716</v>
      </c>
      <c r="F96" s="17" t="s">
        <v>201</v>
      </c>
      <c r="G96" s="21">
        <v>18</v>
      </c>
      <c r="H96" s="21">
        <v>27</v>
      </c>
      <c r="I96" s="25">
        <v>0.21614736429551246</v>
      </c>
      <c r="J96" s="21">
        <v>0</v>
      </c>
      <c r="K96" s="21">
        <v>0</v>
      </c>
      <c r="L96" s="21">
        <v>1.4850000000000001</v>
      </c>
      <c r="M96" s="17" t="s">
        <v>122</v>
      </c>
      <c r="N96" s="17" t="s">
        <v>116</v>
      </c>
      <c r="O96" s="21">
        <v>2</v>
      </c>
      <c r="P96" s="21">
        <v>1.4850000000000001</v>
      </c>
      <c r="Q96" s="21">
        <v>25</v>
      </c>
    </row>
    <row r="97" spans="1:17" ht="16.5" x14ac:dyDescent="0.25">
      <c r="A97" s="2"/>
      <c r="B97" s="4"/>
      <c r="C97" s="18"/>
      <c r="E97" s="20">
        <v>45716</v>
      </c>
      <c r="F97" s="17" t="s">
        <v>201</v>
      </c>
      <c r="G97" s="21">
        <v>18</v>
      </c>
      <c r="H97" s="21">
        <v>23</v>
      </c>
      <c r="I97" s="25">
        <v>0.21739130434782608</v>
      </c>
      <c r="J97" s="21">
        <v>0</v>
      </c>
      <c r="K97" s="21">
        <v>0.22500000000000001</v>
      </c>
      <c r="L97" s="21">
        <v>0</v>
      </c>
      <c r="M97" s="17" t="s">
        <v>113</v>
      </c>
      <c r="N97" s="17" t="s">
        <v>115</v>
      </c>
      <c r="O97" s="21">
        <v>0</v>
      </c>
      <c r="P97" s="21">
        <v>0</v>
      </c>
      <c r="Q97" s="21">
        <v>23</v>
      </c>
    </row>
    <row r="98" spans="1:17" ht="16.5" x14ac:dyDescent="0.25">
      <c r="A98" s="2"/>
      <c r="B98" s="4"/>
      <c r="C98" s="18"/>
      <c r="E98" s="20">
        <v>45709</v>
      </c>
      <c r="F98" s="17" t="s">
        <v>101</v>
      </c>
      <c r="G98" s="21">
        <v>13.728</v>
      </c>
      <c r="H98" s="21">
        <v>20</v>
      </c>
      <c r="I98" s="25">
        <v>0.12553118180774098</v>
      </c>
      <c r="J98" s="21">
        <v>0</v>
      </c>
      <c r="K98" s="21">
        <v>1.8719999999999999</v>
      </c>
      <c r="L98" s="21">
        <v>1.4000000000000001</v>
      </c>
      <c r="M98" s="17" t="s">
        <v>122</v>
      </c>
      <c r="N98" s="17" t="s">
        <v>117</v>
      </c>
      <c r="O98" s="21">
        <v>1.5</v>
      </c>
      <c r="P98" s="21">
        <v>2.5859999999999999</v>
      </c>
      <c r="Q98" s="21">
        <v>18.5</v>
      </c>
    </row>
    <row r="99" spans="1:17" ht="16.5" x14ac:dyDescent="0.25">
      <c r="A99" s="2"/>
      <c r="B99" s="4"/>
      <c r="C99" s="18"/>
      <c r="E99" s="20">
        <v>45709</v>
      </c>
      <c r="F99" s="17" t="s">
        <v>101</v>
      </c>
      <c r="G99" s="21">
        <v>13.728</v>
      </c>
      <c r="H99" s="21">
        <v>19.5</v>
      </c>
      <c r="I99" s="25">
        <v>0.1031089044181959</v>
      </c>
      <c r="J99" s="21">
        <v>0</v>
      </c>
      <c r="K99" s="21">
        <v>1.8719999999999999</v>
      </c>
      <c r="L99" s="21">
        <v>1.3650000000000002</v>
      </c>
      <c r="M99" s="17" t="s">
        <v>122</v>
      </c>
      <c r="N99" s="17" t="s">
        <v>117</v>
      </c>
      <c r="O99" s="21">
        <v>1.5</v>
      </c>
      <c r="P99" s="21">
        <v>2.52135</v>
      </c>
      <c r="Q99" s="21">
        <v>18</v>
      </c>
    </row>
    <row r="100" spans="1:17" ht="16.5" x14ac:dyDescent="0.25">
      <c r="A100" s="2"/>
      <c r="B100" s="4"/>
      <c r="C100" s="18"/>
      <c r="E100" s="20">
        <v>45709</v>
      </c>
      <c r="F100" s="17" t="s">
        <v>101</v>
      </c>
      <c r="G100" s="21">
        <v>13.728</v>
      </c>
      <c r="H100" s="21">
        <v>19.5</v>
      </c>
      <c r="I100" s="25">
        <v>0.1031089044181959</v>
      </c>
      <c r="J100" s="21">
        <v>0</v>
      </c>
      <c r="K100" s="21">
        <v>1.8719999999999999</v>
      </c>
      <c r="L100" s="21">
        <v>1.3650000000000002</v>
      </c>
      <c r="M100" s="17" t="s">
        <v>122</v>
      </c>
      <c r="N100" s="17" t="s">
        <v>117</v>
      </c>
      <c r="O100" s="21">
        <v>1.5</v>
      </c>
      <c r="P100" s="21">
        <v>2.52135</v>
      </c>
      <c r="Q100" s="21">
        <v>18</v>
      </c>
    </row>
    <row r="101" spans="1:17" ht="16.5" x14ac:dyDescent="0.25">
      <c r="A101" s="2"/>
      <c r="B101" s="4"/>
      <c r="C101" s="18"/>
      <c r="E101" s="20">
        <v>45709</v>
      </c>
      <c r="F101" s="17" t="s">
        <v>102</v>
      </c>
      <c r="G101" s="21">
        <v>25.695999999999998</v>
      </c>
      <c r="H101" s="21">
        <v>35</v>
      </c>
      <c r="I101" s="25">
        <v>0.10758174867512187</v>
      </c>
      <c r="J101" s="21">
        <v>0</v>
      </c>
      <c r="K101" s="21">
        <v>3.504</v>
      </c>
      <c r="L101" s="21">
        <v>2.4500000000000002</v>
      </c>
      <c r="M101" s="17" t="s">
        <v>122</v>
      </c>
      <c r="N101" s="17" t="s">
        <v>117</v>
      </c>
      <c r="O101" s="21">
        <v>1.5</v>
      </c>
      <c r="P101" s="21">
        <v>4.5255000000000001</v>
      </c>
      <c r="Q101" s="21">
        <v>33.5</v>
      </c>
    </row>
    <row r="102" spans="1:17" ht="16.5" x14ac:dyDescent="0.25">
      <c r="A102" s="2"/>
      <c r="B102" s="4"/>
      <c r="C102" s="18"/>
      <c r="E102" s="20">
        <v>45709</v>
      </c>
      <c r="F102" s="17" t="s">
        <v>103</v>
      </c>
      <c r="G102" s="21">
        <v>10.824000000000002</v>
      </c>
      <c r="H102" s="21">
        <v>16</v>
      </c>
      <c r="I102" s="25">
        <v>0.11536694613529336</v>
      </c>
      <c r="J102" s="21">
        <v>0</v>
      </c>
      <c r="K102" s="21">
        <v>1.476</v>
      </c>
      <c r="L102" s="21">
        <v>1.1200000000000001</v>
      </c>
      <c r="M102" s="17" t="s">
        <v>122</v>
      </c>
      <c r="N102" s="17" t="s">
        <v>117</v>
      </c>
      <c r="O102" s="21">
        <v>1.5</v>
      </c>
      <c r="P102" s="21">
        <v>2.0688</v>
      </c>
      <c r="Q102" s="21">
        <v>14.5</v>
      </c>
    </row>
    <row r="103" spans="1:17" ht="16.5" x14ac:dyDescent="0.25">
      <c r="A103" s="2"/>
      <c r="B103" s="4"/>
      <c r="C103" s="18"/>
      <c r="E103" s="20">
        <v>45693</v>
      </c>
      <c r="F103" s="17" t="s">
        <v>100</v>
      </c>
      <c r="G103" s="21">
        <v>20</v>
      </c>
      <c r="H103" s="21">
        <v>25</v>
      </c>
      <c r="I103" s="25">
        <v>8.9947089947089942E-2</v>
      </c>
      <c r="J103" s="21">
        <v>0</v>
      </c>
      <c r="K103" s="21">
        <v>0</v>
      </c>
      <c r="L103" s="21">
        <v>1.375</v>
      </c>
      <c r="M103" s="17" t="s">
        <v>122</v>
      </c>
      <c r="N103" s="17" t="s">
        <v>116</v>
      </c>
      <c r="O103" s="21">
        <v>1.5</v>
      </c>
      <c r="P103" s="21">
        <v>1.375</v>
      </c>
      <c r="Q103" s="21">
        <v>23.5</v>
      </c>
    </row>
    <row r="104" spans="1:17" ht="16.5" x14ac:dyDescent="0.25">
      <c r="A104" s="2"/>
      <c r="B104" s="4"/>
      <c r="C104" s="18"/>
      <c r="E104" s="20">
        <v>45693</v>
      </c>
      <c r="F104" s="17" t="s">
        <v>100</v>
      </c>
      <c r="G104" s="21">
        <v>19.75</v>
      </c>
      <c r="H104" s="21">
        <v>28</v>
      </c>
      <c r="I104" s="25">
        <v>7.5266758342181675E-2</v>
      </c>
      <c r="J104" s="21">
        <v>0</v>
      </c>
      <c r="K104" s="21">
        <v>0.25</v>
      </c>
      <c r="L104" s="21">
        <v>3.36</v>
      </c>
      <c r="M104" s="17" t="s">
        <v>122</v>
      </c>
      <c r="N104" s="17" t="s">
        <v>117</v>
      </c>
      <c r="O104" s="21">
        <v>1.5</v>
      </c>
      <c r="P104" s="21">
        <v>5.0204000000000004</v>
      </c>
      <c r="Q104" s="21">
        <v>26.5</v>
      </c>
    </row>
    <row r="105" spans="1:17" ht="16.5" x14ac:dyDescent="0.25">
      <c r="A105" s="2"/>
      <c r="B105" s="4"/>
      <c r="C105" s="18"/>
      <c r="E105" s="20">
        <v>45693</v>
      </c>
      <c r="F105" s="17" t="s">
        <v>99</v>
      </c>
      <c r="G105" s="21">
        <v>13.824999999999999</v>
      </c>
      <c r="H105" s="21">
        <v>20.5</v>
      </c>
      <c r="I105" s="25">
        <v>8.9117855964717788E-2</v>
      </c>
      <c r="J105" s="21">
        <v>0</v>
      </c>
      <c r="K105" s="21">
        <v>0.17500000000000002</v>
      </c>
      <c r="L105" s="21">
        <v>2.46</v>
      </c>
      <c r="M105" s="17" t="s">
        <v>122</v>
      </c>
      <c r="N105" s="17" t="s">
        <v>117</v>
      </c>
      <c r="O105" s="21">
        <v>1.5</v>
      </c>
      <c r="P105" s="21">
        <v>3.6756500000000001</v>
      </c>
      <c r="Q105" s="21">
        <v>19</v>
      </c>
    </row>
    <row r="106" spans="1:17" ht="16.5" x14ac:dyDescent="0.25">
      <c r="A106" s="2"/>
      <c r="B106" s="4"/>
      <c r="C106" s="18"/>
      <c r="E106" s="20">
        <v>45693</v>
      </c>
      <c r="F106" s="17" t="s">
        <v>99</v>
      </c>
      <c r="G106" s="21">
        <v>14</v>
      </c>
      <c r="H106" s="21">
        <v>18.5</v>
      </c>
      <c r="I106" s="25">
        <v>0.11339911339911349</v>
      </c>
      <c r="J106" s="21">
        <v>0</v>
      </c>
      <c r="K106" s="21">
        <v>0</v>
      </c>
      <c r="L106" s="21">
        <v>1.0175000000000001</v>
      </c>
      <c r="M106" s="17" t="s">
        <v>122</v>
      </c>
      <c r="N106" s="17" t="s">
        <v>116</v>
      </c>
      <c r="O106" s="21">
        <v>1.5</v>
      </c>
      <c r="P106" s="21">
        <v>1.0175000000000001</v>
      </c>
      <c r="Q106" s="21">
        <v>17</v>
      </c>
    </row>
    <row r="107" spans="1:17" ht="16.5" x14ac:dyDescent="0.25">
      <c r="A107" s="2"/>
      <c r="B107" s="4"/>
      <c r="C107" s="18"/>
      <c r="E107" s="20">
        <v>45693</v>
      </c>
      <c r="F107" s="17" t="s">
        <v>99</v>
      </c>
      <c r="G107" s="21">
        <v>14</v>
      </c>
      <c r="H107" s="21">
        <v>16</v>
      </c>
      <c r="I107" s="25">
        <v>0.125</v>
      </c>
      <c r="J107" s="21">
        <v>0</v>
      </c>
      <c r="K107" s="21">
        <v>0.17500000000000002</v>
      </c>
      <c r="L107" s="21">
        <v>0</v>
      </c>
      <c r="M107" s="17" t="s">
        <v>113</v>
      </c>
      <c r="N107" s="17" t="s">
        <v>115</v>
      </c>
      <c r="O107" s="21">
        <v>0</v>
      </c>
      <c r="P107" s="21">
        <v>0</v>
      </c>
      <c r="Q107" s="21">
        <v>16</v>
      </c>
    </row>
    <row r="108" spans="1:17" ht="16.5" x14ac:dyDescent="0.25">
      <c r="A108" s="2"/>
      <c r="B108" s="4"/>
      <c r="C108" s="18"/>
      <c r="E108" s="20">
        <v>45693</v>
      </c>
      <c r="F108" s="17" t="s">
        <v>100</v>
      </c>
      <c r="G108" s="21">
        <v>20</v>
      </c>
      <c r="H108" s="21">
        <v>22</v>
      </c>
      <c r="I108" s="25">
        <v>9.0909090909090912E-2</v>
      </c>
      <c r="J108" s="21">
        <v>0</v>
      </c>
      <c r="K108" s="21">
        <v>0.25</v>
      </c>
      <c r="L108" s="21">
        <v>0</v>
      </c>
      <c r="M108" s="17" t="s">
        <v>113</v>
      </c>
      <c r="N108" s="17" t="s">
        <v>115</v>
      </c>
      <c r="O108" s="21">
        <v>0</v>
      </c>
      <c r="P108" s="21">
        <v>0</v>
      </c>
      <c r="Q108" s="21">
        <v>22</v>
      </c>
    </row>
    <row r="109" spans="1:17" ht="16.5" x14ac:dyDescent="0.25">
      <c r="A109" s="2"/>
      <c r="B109" s="4"/>
      <c r="C109" s="18"/>
      <c r="E109" s="20">
        <v>45693</v>
      </c>
      <c r="F109" s="17" t="s">
        <v>196</v>
      </c>
      <c r="G109" s="21">
        <v>8.8000000000000007</v>
      </c>
      <c r="H109" s="21">
        <v>14.9</v>
      </c>
      <c r="I109" s="25">
        <v>9.1264404120895384E-2</v>
      </c>
      <c r="J109" s="21">
        <v>0</v>
      </c>
      <c r="K109" s="21">
        <v>1.2</v>
      </c>
      <c r="L109" s="21">
        <v>2.6819999999999999</v>
      </c>
      <c r="M109" s="17" t="s">
        <v>122</v>
      </c>
      <c r="N109" s="17" t="s">
        <v>117</v>
      </c>
      <c r="O109" s="21">
        <v>1.5</v>
      </c>
      <c r="P109" s="21">
        <v>3.5655700000000001</v>
      </c>
      <c r="Q109" s="21">
        <v>13.4</v>
      </c>
    </row>
    <row r="110" spans="1:17" ht="16.5" x14ac:dyDescent="0.25">
      <c r="A110" s="2"/>
      <c r="B110" s="4"/>
      <c r="C110" s="18"/>
      <c r="E110" s="20">
        <v>45693</v>
      </c>
      <c r="F110" s="17" t="s">
        <v>195</v>
      </c>
      <c r="G110" s="21">
        <v>10.295999999999999</v>
      </c>
      <c r="H110" s="21">
        <v>16.899999999999999</v>
      </c>
      <c r="I110" s="25">
        <v>8.2439640225485111E-2</v>
      </c>
      <c r="J110" s="21">
        <v>0</v>
      </c>
      <c r="K110" s="21">
        <v>1.4039999999999999</v>
      </c>
      <c r="L110" s="21">
        <v>3.0419999999999998</v>
      </c>
      <c r="M110" s="17" t="s">
        <v>122</v>
      </c>
      <c r="N110" s="17" t="s">
        <v>117</v>
      </c>
      <c r="O110" s="21">
        <v>1.5</v>
      </c>
      <c r="P110" s="21">
        <v>4.0441700000000003</v>
      </c>
      <c r="Q110" s="21">
        <v>15.4</v>
      </c>
    </row>
    <row r="111" spans="1:17" ht="16.5" x14ac:dyDescent="0.25">
      <c r="A111" s="2"/>
      <c r="B111" s="4"/>
      <c r="C111" s="18"/>
      <c r="E111" s="20">
        <v>45693</v>
      </c>
      <c r="F111" s="17" t="s">
        <v>193</v>
      </c>
      <c r="G111" s="21">
        <v>11.7</v>
      </c>
      <c r="H111" s="21">
        <v>15.5</v>
      </c>
      <c r="I111" s="25">
        <v>9.882232462877634E-2</v>
      </c>
      <c r="J111" s="21">
        <v>0</v>
      </c>
      <c r="K111" s="21">
        <v>0</v>
      </c>
      <c r="L111" s="21">
        <v>0.85250000000000004</v>
      </c>
      <c r="M111" s="17" t="s">
        <v>122</v>
      </c>
      <c r="N111" s="17" t="s">
        <v>116</v>
      </c>
      <c r="O111" s="21">
        <v>1.5</v>
      </c>
      <c r="P111" s="21">
        <v>0.85250000000000004</v>
      </c>
      <c r="Q111" s="21">
        <v>14</v>
      </c>
    </row>
    <row r="112" spans="1:17" ht="16.5" x14ac:dyDescent="0.25">
      <c r="A112" s="2"/>
      <c r="B112" s="4"/>
      <c r="C112" s="18"/>
      <c r="E112" s="20">
        <v>45693</v>
      </c>
      <c r="F112" s="17" t="s">
        <v>193</v>
      </c>
      <c r="G112" s="21">
        <v>10.295999999999999</v>
      </c>
      <c r="H112" s="21">
        <v>15.9</v>
      </c>
      <c r="I112" s="25">
        <v>9.6031689468953144E-2</v>
      </c>
      <c r="J112" s="21">
        <v>0</v>
      </c>
      <c r="K112" s="21">
        <v>1.4039999999999999</v>
      </c>
      <c r="L112" s="21">
        <v>1.9079999999999999</v>
      </c>
      <c r="M112" s="17" t="s">
        <v>122</v>
      </c>
      <c r="N112" s="17" t="s">
        <v>117</v>
      </c>
      <c r="O112" s="21">
        <v>1.5</v>
      </c>
      <c r="P112" s="21">
        <v>2.8508700000000005</v>
      </c>
      <c r="Q112" s="21">
        <v>14.4</v>
      </c>
    </row>
    <row r="113" spans="1:17" ht="16.5" x14ac:dyDescent="0.25">
      <c r="A113" s="2"/>
      <c r="B113" s="4"/>
      <c r="C113" s="18"/>
      <c r="E113" s="20">
        <v>45693</v>
      </c>
      <c r="F113" s="17" t="s">
        <v>194</v>
      </c>
      <c r="G113" s="21">
        <v>10</v>
      </c>
      <c r="H113" s="21">
        <v>13.5</v>
      </c>
      <c r="I113" s="25">
        <v>9.8569468939839325E-2</v>
      </c>
      <c r="J113" s="21">
        <v>0</v>
      </c>
      <c r="K113" s="21">
        <v>0</v>
      </c>
      <c r="L113" s="21">
        <v>0.74250000000000005</v>
      </c>
      <c r="M113" s="17" t="s">
        <v>122</v>
      </c>
      <c r="N113" s="17" t="s">
        <v>116</v>
      </c>
      <c r="O113" s="21">
        <v>1.5</v>
      </c>
      <c r="P113" s="21">
        <v>0.74250000000000005</v>
      </c>
      <c r="Q113" s="21">
        <v>12</v>
      </c>
    </row>
    <row r="114" spans="1:17" ht="16.5" x14ac:dyDescent="0.25">
      <c r="A114" s="2"/>
      <c r="B114" s="4"/>
      <c r="C114" s="18"/>
      <c r="E114" s="20">
        <v>45693</v>
      </c>
      <c r="F114" s="17" t="s">
        <v>194</v>
      </c>
      <c r="G114" s="21">
        <v>8.8000000000000007</v>
      </c>
      <c r="H114" s="21">
        <v>13.9</v>
      </c>
      <c r="I114" s="25">
        <v>9.7103455288650761E-2</v>
      </c>
      <c r="J114" s="21">
        <v>0</v>
      </c>
      <c r="K114" s="21">
        <v>1.2</v>
      </c>
      <c r="L114" s="21">
        <v>1.6679999999999999</v>
      </c>
      <c r="M114" s="17" t="s">
        <v>122</v>
      </c>
      <c r="N114" s="17" t="s">
        <v>117</v>
      </c>
      <c r="O114" s="21">
        <v>1.5</v>
      </c>
      <c r="P114" s="21">
        <v>2.4922700000000004</v>
      </c>
      <c r="Q114" s="21">
        <v>12.4</v>
      </c>
    </row>
    <row r="115" spans="1:17" ht="16.5" x14ac:dyDescent="0.25">
      <c r="A115" s="2"/>
      <c r="B115" s="4"/>
      <c r="C115" s="18"/>
      <c r="E115" s="20">
        <v>45670</v>
      </c>
      <c r="F115" s="17" t="s">
        <v>186</v>
      </c>
      <c r="G115" s="21">
        <v>9.2765141335888455</v>
      </c>
      <c r="H115" s="21">
        <v>17</v>
      </c>
      <c r="I115" s="25">
        <v>0.12800793900441185</v>
      </c>
      <c r="J115" s="21">
        <v>0</v>
      </c>
      <c r="K115" s="21">
        <v>0.52427083333333335</v>
      </c>
      <c r="L115" s="21">
        <v>3.06</v>
      </c>
      <c r="M115" s="17" t="s">
        <v>122</v>
      </c>
      <c r="N115" s="17" t="s">
        <v>117</v>
      </c>
      <c r="O115" s="21">
        <v>2</v>
      </c>
      <c r="P115" s="21">
        <v>4.0681000000000003</v>
      </c>
      <c r="Q115" s="21">
        <v>15</v>
      </c>
    </row>
    <row r="116" spans="1:17" ht="16.5" x14ac:dyDescent="0.25">
      <c r="A116" s="2"/>
      <c r="B116" s="4"/>
      <c r="C116" s="18"/>
      <c r="E116" s="20">
        <v>45670</v>
      </c>
      <c r="F116" s="17" t="s">
        <v>185</v>
      </c>
      <c r="G116" s="21">
        <v>4.2707759485114982</v>
      </c>
      <c r="H116" s="21">
        <v>9.5</v>
      </c>
      <c r="I116" s="25">
        <v>0.27064740252931874</v>
      </c>
      <c r="J116" s="21">
        <v>0</v>
      </c>
      <c r="K116" s="21">
        <v>0.46104166666666668</v>
      </c>
      <c r="L116" s="21">
        <v>1.71</v>
      </c>
      <c r="M116" s="17" t="s">
        <v>122</v>
      </c>
      <c r="N116" s="17" t="s">
        <v>117</v>
      </c>
      <c r="O116" s="21">
        <v>1</v>
      </c>
      <c r="P116" s="21">
        <v>2.2733500000000002</v>
      </c>
      <c r="Q116" s="21">
        <v>8.5</v>
      </c>
    </row>
    <row r="117" spans="1:17" ht="16.5" x14ac:dyDescent="0.25">
      <c r="A117" s="2"/>
      <c r="B117" s="4"/>
      <c r="C117" s="18"/>
      <c r="E117" s="20">
        <v>45670</v>
      </c>
      <c r="F117" s="17" t="s">
        <v>184</v>
      </c>
      <c r="G117" s="21">
        <v>9.8474516335888449</v>
      </c>
      <c r="H117" s="21">
        <v>18</v>
      </c>
      <c r="I117" s="25">
        <v>0.13475514996502885</v>
      </c>
      <c r="J117" s="21">
        <v>0</v>
      </c>
      <c r="K117" s="21">
        <v>0.92208333333333337</v>
      </c>
      <c r="L117" s="21">
        <v>3.2399999999999998</v>
      </c>
      <c r="M117" s="17" t="s">
        <v>122</v>
      </c>
      <c r="N117" s="17" t="s">
        <v>117</v>
      </c>
      <c r="O117" s="21">
        <v>2</v>
      </c>
      <c r="P117" s="21">
        <v>4.3074000000000003</v>
      </c>
      <c r="Q117" s="21">
        <v>16</v>
      </c>
    </row>
    <row r="118" spans="1:17" ht="16.5" x14ac:dyDescent="0.25">
      <c r="A118" s="2"/>
      <c r="B118" s="4"/>
      <c r="C118" s="18"/>
      <c r="E118" s="20">
        <v>45670</v>
      </c>
      <c r="F118" s="17" t="s">
        <v>87</v>
      </c>
      <c r="G118" s="21">
        <v>4.2707759485114982</v>
      </c>
      <c r="H118" s="21">
        <v>9</v>
      </c>
      <c r="I118" s="25">
        <v>0.32738971855193161</v>
      </c>
      <c r="J118" s="21">
        <v>0</v>
      </c>
      <c r="K118" s="21">
        <v>0.46104166666666668</v>
      </c>
      <c r="L118" s="21">
        <v>0.63000000000000012</v>
      </c>
      <c r="M118" s="17" t="s">
        <v>122</v>
      </c>
      <c r="N118" s="17" t="s">
        <v>117</v>
      </c>
      <c r="O118" s="21">
        <v>1</v>
      </c>
      <c r="P118" s="21">
        <v>1.1637</v>
      </c>
      <c r="Q118" s="21">
        <v>8</v>
      </c>
    </row>
    <row r="119" spans="1:17" ht="16.5" x14ac:dyDescent="0.25">
      <c r="A119" s="2"/>
      <c r="B119" s="4"/>
      <c r="C119" s="18"/>
      <c r="E119" s="20">
        <v>45670</v>
      </c>
      <c r="F119" s="17" t="s">
        <v>87</v>
      </c>
      <c r="G119" s="21">
        <v>4.7318176151781648</v>
      </c>
      <c r="H119" s="21">
        <v>7.5</v>
      </c>
      <c r="I119" s="25">
        <v>0.36909098464291135</v>
      </c>
      <c r="J119" s="21">
        <v>0</v>
      </c>
      <c r="K119" s="21">
        <v>0.46104166666666668</v>
      </c>
      <c r="L119" s="21">
        <v>0</v>
      </c>
      <c r="M119" s="17" t="s">
        <v>113</v>
      </c>
      <c r="N119" s="17" t="s">
        <v>115</v>
      </c>
      <c r="O119" s="21">
        <v>0</v>
      </c>
      <c r="P119" s="21">
        <v>0</v>
      </c>
      <c r="Q119" s="21">
        <v>7.5</v>
      </c>
    </row>
    <row r="120" spans="1:17" ht="16.5" x14ac:dyDescent="0.25">
      <c r="A120" s="2"/>
      <c r="B120" s="4"/>
      <c r="C120" s="18"/>
      <c r="E120" s="20">
        <v>45670</v>
      </c>
      <c r="F120" s="17" t="s">
        <v>88</v>
      </c>
      <c r="G120" s="21">
        <v>9.800784966922178</v>
      </c>
      <c r="H120" s="21">
        <v>13</v>
      </c>
      <c r="I120" s="25">
        <v>0.24609346408290939</v>
      </c>
      <c r="J120" s="21">
        <v>0</v>
      </c>
      <c r="K120" s="21">
        <v>0.52427083333333335</v>
      </c>
      <c r="L120" s="21">
        <v>0</v>
      </c>
      <c r="M120" s="17" t="s">
        <v>113</v>
      </c>
      <c r="N120" s="17" t="s">
        <v>115</v>
      </c>
      <c r="O120" s="21">
        <v>0</v>
      </c>
      <c r="P120" s="21">
        <v>0</v>
      </c>
      <c r="Q120" s="21">
        <v>13</v>
      </c>
    </row>
    <row r="121" spans="1:17" ht="16.5" x14ac:dyDescent="0.25">
      <c r="A121" s="2"/>
      <c r="B121" s="4"/>
      <c r="C121" s="18"/>
      <c r="E121" s="20">
        <v>45670</v>
      </c>
      <c r="F121" s="17" t="s">
        <v>88</v>
      </c>
      <c r="G121" s="21">
        <v>9.2765141335888455</v>
      </c>
      <c r="H121" s="21">
        <v>15.5</v>
      </c>
      <c r="I121" s="25">
        <v>0.16444580122120173</v>
      </c>
      <c r="J121" s="21">
        <v>0</v>
      </c>
      <c r="K121" s="21">
        <v>0.52427083333333335</v>
      </c>
      <c r="L121" s="21">
        <v>1.0850000000000002</v>
      </c>
      <c r="M121" s="17" t="s">
        <v>122</v>
      </c>
      <c r="N121" s="17" t="s">
        <v>117</v>
      </c>
      <c r="O121" s="21">
        <v>2</v>
      </c>
      <c r="P121" s="21">
        <v>2.0041500000000001</v>
      </c>
      <c r="Q121" s="21">
        <v>13.5</v>
      </c>
    </row>
    <row r="122" spans="1:17" ht="16.5" x14ac:dyDescent="0.25">
      <c r="A122" s="2"/>
      <c r="B122" s="4"/>
      <c r="C122" s="18"/>
      <c r="E122" s="20">
        <v>45670</v>
      </c>
      <c r="F122" s="17" t="s">
        <v>86</v>
      </c>
      <c r="G122" s="21">
        <v>9.8474516335888449</v>
      </c>
      <c r="H122" s="21">
        <v>16.5</v>
      </c>
      <c r="I122" s="25">
        <v>0.17534469767697569</v>
      </c>
      <c r="J122" s="21">
        <v>0</v>
      </c>
      <c r="K122" s="21">
        <v>0.92208333333333337</v>
      </c>
      <c r="L122" s="21">
        <v>1.155</v>
      </c>
      <c r="M122" s="17" t="s">
        <v>122</v>
      </c>
      <c r="N122" s="17" t="s">
        <v>117</v>
      </c>
      <c r="O122" s="21">
        <v>2</v>
      </c>
      <c r="P122" s="21">
        <v>2.1334499999999998</v>
      </c>
      <c r="Q122" s="21">
        <v>14.5</v>
      </c>
    </row>
    <row r="123" spans="1:17" ht="16.5" x14ac:dyDescent="0.25">
      <c r="A123" s="2"/>
      <c r="B123" s="4"/>
      <c r="C123" s="18"/>
      <c r="E123" s="20">
        <v>45670</v>
      </c>
      <c r="F123" s="17" t="s">
        <v>86</v>
      </c>
      <c r="G123" s="21">
        <v>9.8474516335888449</v>
      </c>
      <c r="H123" s="21">
        <v>16.5</v>
      </c>
      <c r="I123" s="25">
        <v>0.17534469767697569</v>
      </c>
      <c r="J123" s="21">
        <v>0</v>
      </c>
      <c r="K123" s="21">
        <v>0.92208333333333337</v>
      </c>
      <c r="L123" s="21">
        <v>1.155</v>
      </c>
      <c r="M123" s="17" t="s">
        <v>122</v>
      </c>
      <c r="N123" s="17" t="s">
        <v>117</v>
      </c>
      <c r="O123" s="21">
        <v>2</v>
      </c>
      <c r="P123" s="21">
        <v>2.1334499999999998</v>
      </c>
      <c r="Q123" s="21">
        <v>14.5</v>
      </c>
    </row>
    <row r="124" spans="1:17" ht="16.5" x14ac:dyDescent="0.25">
      <c r="A124" s="2"/>
      <c r="B124" s="4"/>
      <c r="C124" s="18"/>
      <c r="E124" s="20">
        <v>45670</v>
      </c>
      <c r="F124" s="17" t="s">
        <v>86</v>
      </c>
      <c r="G124" s="21">
        <v>9.8474516335888449</v>
      </c>
      <c r="H124" s="21">
        <v>16.5</v>
      </c>
      <c r="I124" s="25">
        <v>0.17534469767697569</v>
      </c>
      <c r="J124" s="21">
        <v>0</v>
      </c>
      <c r="K124" s="21">
        <v>0.92208333333333337</v>
      </c>
      <c r="L124" s="21">
        <v>1.155</v>
      </c>
      <c r="M124" s="17" t="s">
        <v>113</v>
      </c>
      <c r="N124" s="17" t="s">
        <v>117</v>
      </c>
      <c r="O124" s="21">
        <v>2</v>
      </c>
      <c r="P124" s="21">
        <v>2.1334499999999998</v>
      </c>
      <c r="Q124" s="21">
        <v>14.5</v>
      </c>
    </row>
    <row r="125" spans="1:17" ht="16.5" x14ac:dyDescent="0.25">
      <c r="A125" s="2"/>
      <c r="B125" s="4"/>
      <c r="C125" s="18"/>
      <c r="E125" s="20">
        <v>45670</v>
      </c>
      <c r="F125" s="17" t="s">
        <v>86</v>
      </c>
      <c r="G125" s="21">
        <v>10.769534966922178</v>
      </c>
      <c r="H125" s="21">
        <v>14</v>
      </c>
      <c r="I125" s="25">
        <v>0.23074750236270156</v>
      </c>
      <c r="J125" s="21">
        <v>0</v>
      </c>
      <c r="K125" s="21">
        <v>0.92208333333333337</v>
      </c>
      <c r="L125" s="21">
        <v>0</v>
      </c>
      <c r="M125" s="17" t="s">
        <v>113</v>
      </c>
      <c r="N125" s="17" t="s">
        <v>115</v>
      </c>
      <c r="O125" s="21">
        <v>0</v>
      </c>
      <c r="P125" s="21">
        <v>0</v>
      </c>
      <c r="Q125" s="21">
        <v>14</v>
      </c>
    </row>
    <row r="126" spans="1:17" ht="16.5" x14ac:dyDescent="0.25">
      <c r="A126" s="2"/>
      <c r="B126" s="4"/>
      <c r="C126" s="18"/>
      <c r="E126" s="20">
        <v>45586</v>
      </c>
      <c r="F126" s="17" t="s">
        <v>134</v>
      </c>
      <c r="G126" s="21">
        <v>140</v>
      </c>
      <c r="H126" s="21">
        <v>150</v>
      </c>
      <c r="I126" s="25">
        <v>6.6666666666666666E-2</v>
      </c>
      <c r="J126" s="21">
        <v>0</v>
      </c>
      <c r="K126" s="21">
        <v>16.8</v>
      </c>
      <c r="L126" s="21">
        <v>0</v>
      </c>
      <c r="M126" s="17" t="s">
        <v>113</v>
      </c>
      <c r="N126" s="17" t="s">
        <v>115</v>
      </c>
      <c r="O126" s="21">
        <v>0</v>
      </c>
      <c r="P126" s="21">
        <v>0</v>
      </c>
      <c r="Q126" s="21">
        <v>150</v>
      </c>
    </row>
    <row r="127" spans="1:17" ht="16.5" x14ac:dyDescent="0.25">
      <c r="A127" s="2"/>
      <c r="B127" s="4"/>
      <c r="C127" s="18"/>
      <c r="E127" s="20">
        <v>45586</v>
      </c>
      <c r="F127" s="17" t="s">
        <v>134</v>
      </c>
      <c r="G127" s="21">
        <v>123.2</v>
      </c>
      <c r="H127" s="21">
        <v>160</v>
      </c>
      <c r="I127" s="25">
        <v>6.5270648623424993E-2</v>
      </c>
      <c r="J127" s="21">
        <v>0</v>
      </c>
      <c r="K127" s="21">
        <v>16.8</v>
      </c>
      <c r="L127" s="21">
        <v>19.2</v>
      </c>
      <c r="M127" s="17" t="s">
        <v>122</v>
      </c>
      <c r="N127" s="17" t="s">
        <v>117</v>
      </c>
      <c r="O127" s="21">
        <v>5</v>
      </c>
      <c r="P127" s="21">
        <v>22.848000000000003</v>
      </c>
      <c r="Q127" s="21">
        <v>155</v>
      </c>
    </row>
    <row r="128" spans="1:17" ht="16.5" x14ac:dyDescent="0.25">
      <c r="A128" s="2"/>
      <c r="B128" s="4"/>
      <c r="C128" s="18"/>
      <c r="E128" s="20">
        <v>45586</v>
      </c>
      <c r="F128" s="17" t="s">
        <v>136</v>
      </c>
      <c r="G128" s="21">
        <v>12.32</v>
      </c>
      <c r="H128" s="21">
        <v>17</v>
      </c>
      <c r="I128" s="25">
        <v>8.5943290055172775E-2</v>
      </c>
      <c r="J128" s="21">
        <v>0</v>
      </c>
      <c r="K128" s="21">
        <v>1.68</v>
      </c>
      <c r="L128" s="21">
        <v>2.04</v>
      </c>
      <c r="M128" s="17" t="s">
        <v>122</v>
      </c>
      <c r="N128" s="17" t="s">
        <v>117</v>
      </c>
      <c r="O128" s="21">
        <v>1</v>
      </c>
      <c r="P128" s="21">
        <v>2.4276</v>
      </c>
      <c r="Q128" s="21">
        <v>16</v>
      </c>
    </row>
    <row r="129" spans="1:17" ht="16.5" x14ac:dyDescent="0.25">
      <c r="A129" s="2"/>
      <c r="B129" s="4"/>
      <c r="C129" s="18"/>
      <c r="E129" s="20">
        <v>45586</v>
      </c>
      <c r="F129" s="17" t="s">
        <v>136</v>
      </c>
      <c r="G129" s="21">
        <v>14</v>
      </c>
      <c r="H129" s="21">
        <v>15.5</v>
      </c>
      <c r="I129" s="25">
        <v>9.6774193548387094E-2</v>
      </c>
      <c r="J129" s="21">
        <v>0</v>
      </c>
      <c r="K129" s="21">
        <v>1.68</v>
      </c>
      <c r="L129" s="21">
        <v>0</v>
      </c>
      <c r="M129" s="17" t="s">
        <v>113</v>
      </c>
      <c r="N129" s="17" t="s">
        <v>115</v>
      </c>
      <c r="O129" s="21">
        <v>0</v>
      </c>
      <c r="P129" s="21">
        <v>0</v>
      </c>
      <c r="Q129" s="21">
        <v>15.5</v>
      </c>
    </row>
    <row r="130" spans="1:17" ht="16.5" x14ac:dyDescent="0.25">
      <c r="A130" s="2"/>
      <c r="B130" s="4"/>
      <c r="C130" s="18"/>
      <c r="E130" s="20">
        <v>45586</v>
      </c>
      <c r="F130" s="17" t="s">
        <v>137</v>
      </c>
      <c r="G130" s="21">
        <v>7.04</v>
      </c>
      <c r="H130" s="21">
        <v>10.5</v>
      </c>
      <c r="I130" s="25">
        <v>0.10672621825211656</v>
      </c>
      <c r="J130" s="21">
        <v>0</v>
      </c>
      <c r="K130" s="21">
        <v>0.96</v>
      </c>
      <c r="L130" s="21">
        <v>1.26</v>
      </c>
      <c r="M130" s="17" t="s">
        <v>122</v>
      </c>
      <c r="N130" s="17" t="s">
        <v>117</v>
      </c>
      <c r="O130" s="21">
        <v>1</v>
      </c>
      <c r="P130" s="21">
        <v>1.4994000000000001</v>
      </c>
      <c r="Q130" s="21">
        <v>9.5</v>
      </c>
    </row>
    <row r="131" spans="1:17" ht="16.5" x14ac:dyDescent="0.25">
      <c r="A131" s="2"/>
      <c r="B131" s="4"/>
      <c r="C131" s="18"/>
      <c r="E131" s="20">
        <v>45586</v>
      </c>
      <c r="F131" s="17" t="s">
        <v>137</v>
      </c>
      <c r="G131" s="21">
        <v>8</v>
      </c>
      <c r="H131" s="21">
        <v>9</v>
      </c>
      <c r="I131" s="25">
        <v>0.1111111111111111</v>
      </c>
      <c r="J131" s="21">
        <v>0</v>
      </c>
      <c r="K131" s="21">
        <v>0.96</v>
      </c>
      <c r="L131" s="21">
        <v>0</v>
      </c>
      <c r="M131" s="17" t="s">
        <v>113</v>
      </c>
      <c r="N131" s="17" t="s">
        <v>115</v>
      </c>
      <c r="O131" s="21">
        <v>0</v>
      </c>
      <c r="P131" s="21">
        <v>0</v>
      </c>
      <c r="Q131" s="21">
        <v>9</v>
      </c>
    </row>
    <row r="132" spans="1:17" ht="16.5" x14ac:dyDescent="0.25">
      <c r="A132" s="2"/>
      <c r="B132" s="4"/>
      <c r="C132" s="18"/>
      <c r="E132" s="20">
        <v>45586</v>
      </c>
      <c r="F132" s="17" t="s">
        <v>95</v>
      </c>
      <c r="G132" s="21">
        <v>7.3079999999999998</v>
      </c>
      <c r="H132" s="21">
        <v>11.5</v>
      </c>
      <c r="I132" s="25">
        <v>0.15721560591612729</v>
      </c>
      <c r="J132" s="21">
        <v>0</v>
      </c>
      <c r="K132" s="21">
        <v>0.192</v>
      </c>
      <c r="L132" s="21">
        <v>1.38</v>
      </c>
      <c r="M132" s="17" t="s">
        <v>122</v>
      </c>
      <c r="N132" s="17" t="s">
        <v>117</v>
      </c>
      <c r="O132" s="21">
        <v>1</v>
      </c>
      <c r="P132" s="21">
        <v>1.6422000000000001</v>
      </c>
      <c r="Q132" s="21">
        <v>10.5</v>
      </c>
    </row>
    <row r="133" spans="1:17" ht="16.5" x14ac:dyDescent="0.25">
      <c r="A133" s="2"/>
      <c r="B133" s="4"/>
      <c r="C133" s="18"/>
      <c r="E133" s="20">
        <v>45586</v>
      </c>
      <c r="F133" s="17" t="s">
        <v>95</v>
      </c>
      <c r="G133" s="21">
        <v>7.5</v>
      </c>
      <c r="H133" s="21">
        <v>10.5</v>
      </c>
      <c r="I133" s="25">
        <v>0.14336104812295283</v>
      </c>
      <c r="J133" s="21">
        <v>0</v>
      </c>
      <c r="K133" s="21">
        <v>0</v>
      </c>
      <c r="L133" s="21">
        <v>0.57750000000000001</v>
      </c>
      <c r="M133" s="17" t="s">
        <v>122</v>
      </c>
      <c r="N133" s="17" t="s">
        <v>116</v>
      </c>
      <c r="O133" s="21">
        <v>1</v>
      </c>
      <c r="P133" s="21">
        <v>0.57750000000000001</v>
      </c>
      <c r="Q133" s="21">
        <v>9.5</v>
      </c>
    </row>
    <row r="134" spans="1:17" ht="16.5" x14ac:dyDescent="0.25">
      <c r="A134" s="2"/>
      <c r="B134" s="4"/>
      <c r="C134" s="18"/>
      <c r="E134" s="20">
        <v>45586</v>
      </c>
      <c r="F134" s="17" t="s">
        <v>95</v>
      </c>
      <c r="G134" s="21">
        <v>7.5</v>
      </c>
      <c r="H134" s="21">
        <v>9</v>
      </c>
      <c r="I134" s="25">
        <v>0.16666666666666666</v>
      </c>
      <c r="J134" s="21">
        <v>0</v>
      </c>
      <c r="K134" s="21">
        <v>0.192</v>
      </c>
      <c r="L134" s="21">
        <v>0</v>
      </c>
      <c r="M134" s="17" t="s">
        <v>113</v>
      </c>
      <c r="N134" s="17" t="s">
        <v>115</v>
      </c>
      <c r="O134" s="21">
        <v>0</v>
      </c>
      <c r="P134" s="21">
        <v>0</v>
      </c>
      <c r="Q134" s="21">
        <v>9</v>
      </c>
    </row>
    <row r="135" spans="1:17" ht="16.5" x14ac:dyDescent="0.25">
      <c r="A135" s="2"/>
      <c r="B135" s="4"/>
      <c r="C135" s="18"/>
      <c r="E135" s="20">
        <v>45586</v>
      </c>
      <c r="F135" s="17" t="s">
        <v>203</v>
      </c>
      <c r="G135" s="21">
        <v>14.616</v>
      </c>
      <c r="H135" s="21">
        <v>21</v>
      </c>
      <c r="I135" s="25">
        <v>0.10472635157656161</v>
      </c>
      <c r="J135" s="21">
        <v>0</v>
      </c>
      <c r="K135" s="21">
        <v>0.38400000000000001</v>
      </c>
      <c r="L135" s="21">
        <v>2.52</v>
      </c>
      <c r="M135" s="17" t="s">
        <v>122</v>
      </c>
      <c r="N135" s="17" t="s">
        <v>117</v>
      </c>
      <c r="O135" s="21">
        <v>1.5</v>
      </c>
      <c r="P135" s="21">
        <v>2.9988000000000001</v>
      </c>
      <c r="Q135" s="21">
        <v>19.5</v>
      </c>
    </row>
    <row r="136" spans="1:17" ht="16.5" x14ac:dyDescent="0.25">
      <c r="A136" s="2"/>
      <c r="B136" s="4"/>
      <c r="C136" s="18"/>
      <c r="E136" s="20">
        <v>45586</v>
      </c>
      <c r="F136" s="17" t="s">
        <v>203</v>
      </c>
      <c r="G136" s="21">
        <v>15</v>
      </c>
      <c r="H136" s="21">
        <v>19.5</v>
      </c>
      <c r="I136" s="25">
        <v>0.10459910459910453</v>
      </c>
      <c r="J136" s="21">
        <v>0</v>
      </c>
      <c r="K136" s="21">
        <v>0</v>
      </c>
      <c r="L136" s="21">
        <v>1.0725</v>
      </c>
      <c r="M136" s="17" t="s">
        <v>122</v>
      </c>
      <c r="N136" s="17" t="s">
        <v>116</v>
      </c>
      <c r="O136" s="21">
        <v>1.5</v>
      </c>
      <c r="P136" s="21">
        <v>1.0725</v>
      </c>
      <c r="Q136" s="21">
        <v>18</v>
      </c>
    </row>
    <row r="137" spans="1:17" ht="16.5" x14ac:dyDescent="0.25">
      <c r="A137" s="2"/>
      <c r="B137" s="4"/>
      <c r="C137" s="18"/>
      <c r="E137" s="20">
        <v>45586</v>
      </c>
      <c r="F137" s="17" t="s">
        <v>203</v>
      </c>
      <c r="G137" s="21">
        <v>15</v>
      </c>
      <c r="H137" s="21">
        <v>17</v>
      </c>
      <c r="I137" s="25">
        <v>0.11764705882352941</v>
      </c>
      <c r="J137" s="21">
        <v>0</v>
      </c>
      <c r="K137" s="21">
        <v>0.38400000000000001</v>
      </c>
      <c r="L137" s="21">
        <v>0</v>
      </c>
      <c r="M137" s="17" t="s">
        <v>113</v>
      </c>
      <c r="N137" s="17" t="s">
        <v>115</v>
      </c>
      <c r="O137" s="21">
        <v>0</v>
      </c>
      <c r="P137" s="21">
        <v>0</v>
      </c>
      <c r="Q137" s="21">
        <v>17</v>
      </c>
    </row>
    <row r="138" spans="1:17" ht="16.5" x14ac:dyDescent="0.25">
      <c r="A138" s="2"/>
      <c r="B138" s="4"/>
      <c r="C138" s="18"/>
      <c r="E138" s="20">
        <v>45586</v>
      </c>
      <c r="F138" s="17" t="s">
        <v>95</v>
      </c>
      <c r="G138" s="21">
        <v>7.5</v>
      </c>
      <c r="H138" s="21">
        <v>8.5</v>
      </c>
      <c r="I138" s="25">
        <v>0.11764705882352941</v>
      </c>
      <c r="J138" s="21">
        <v>0</v>
      </c>
      <c r="K138" s="21">
        <v>0.192</v>
      </c>
      <c r="L138" s="21">
        <v>0</v>
      </c>
      <c r="M138" s="17" t="s">
        <v>113</v>
      </c>
      <c r="N138" s="17" t="s">
        <v>115</v>
      </c>
      <c r="O138" s="21">
        <v>0</v>
      </c>
      <c r="P138" s="21">
        <v>0</v>
      </c>
      <c r="Q138" s="21">
        <v>8.5</v>
      </c>
    </row>
    <row r="139" spans="1:17" ht="16.5" x14ac:dyDescent="0.25">
      <c r="A139" s="2"/>
      <c r="B139" s="4"/>
      <c r="C139" s="18"/>
      <c r="E139" s="20">
        <v>45586</v>
      </c>
      <c r="F139" s="17" t="s">
        <v>95</v>
      </c>
      <c r="G139" s="21">
        <v>7.5</v>
      </c>
      <c r="H139" s="21">
        <v>10</v>
      </c>
      <c r="I139" s="25">
        <v>0.10052910052910047</v>
      </c>
      <c r="J139" s="21">
        <v>0</v>
      </c>
      <c r="K139" s="21">
        <v>0</v>
      </c>
      <c r="L139" s="21">
        <v>0.55000000000000004</v>
      </c>
      <c r="M139" s="17" t="s">
        <v>122</v>
      </c>
      <c r="N139" s="17" t="s">
        <v>116</v>
      </c>
      <c r="O139" s="21">
        <v>1</v>
      </c>
      <c r="P139" s="21">
        <v>0.55000000000000004</v>
      </c>
      <c r="Q139" s="21">
        <v>9</v>
      </c>
    </row>
    <row r="140" spans="1:17" ht="16.5" x14ac:dyDescent="0.25">
      <c r="A140" s="2"/>
      <c r="B140" s="4"/>
      <c r="C140" s="18"/>
      <c r="E140" s="20">
        <v>45586</v>
      </c>
      <c r="F140" s="17" t="s">
        <v>95</v>
      </c>
      <c r="G140" s="21">
        <v>7.3079999999999998</v>
      </c>
      <c r="H140" s="21">
        <v>11</v>
      </c>
      <c r="I140" s="25">
        <v>0.1189072243668604</v>
      </c>
      <c r="J140" s="21">
        <v>0</v>
      </c>
      <c r="K140" s="21">
        <v>0.192</v>
      </c>
      <c r="L140" s="21">
        <v>1.3199999999999998</v>
      </c>
      <c r="M140" s="17" t="s">
        <v>122</v>
      </c>
      <c r="N140" s="17" t="s">
        <v>117</v>
      </c>
      <c r="O140" s="21">
        <v>1</v>
      </c>
      <c r="P140" s="21">
        <v>1.5708000000000002</v>
      </c>
      <c r="Q140" s="21">
        <v>10</v>
      </c>
    </row>
    <row r="141" spans="1:17" ht="16.5" x14ac:dyDescent="0.25">
      <c r="A141" s="2"/>
      <c r="B141" s="4"/>
      <c r="C141" s="18"/>
      <c r="E141" s="20">
        <v>45586</v>
      </c>
      <c r="F141" s="17" t="s">
        <v>95</v>
      </c>
      <c r="G141" s="21">
        <v>7.5</v>
      </c>
      <c r="H141" s="21">
        <v>10.5</v>
      </c>
      <c r="I141" s="25">
        <v>0.14336104812295283</v>
      </c>
      <c r="J141" s="21">
        <v>0</v>
      </c>
      <c r="K141" s="21">
        <v>0</v>
      </c>
      <c r="L141" s="21">
        <v>0.57750000000000001</v>
      </c>
      <c r="M141" s="17" t="s">
        <v>122</v>
      </c>
      <c r="N141" s="17" t="s">
        <v>116</v>
      </c>
      <c r="O141" s="21">
        <v>1</v>
      </c>
      <c r="P141" s="21">
        <v>0.57750000000000001</v>
      </c>
      <c r="Q141" s="21">
        <v>9.5</v>
      </c>
    </row>
    <row r="142" spans="1:17" ht="16.5" x14ac:dyDescent="0.25">
      <c r="A142" s="2"/>
      <c r="B142" s="4"/>
      <c r="C142" s="18"/>
      <c r="E142" s="20">
        <v>45586</v>
      </c>
      <c r="F142" s="17" t="s">
        <v>95</v>
      </c>
      <c r="G142" s="21">
        <v>7.5</v>
      </c>
      <c r="H142" s="21">
        <v>9</v>
      </c>
      <c r="I142" s="25">
        <v>0.16666666666666666</v>
      </c>
      <c r="J142" s="21">
        <v>0</v>
      </c>
      <c r="K142" s="21">
        <v>0.192</v>
      </c>
      <c r="L142" s="21">
        <v>0</v>
      </c>
      <c r="M142" s="17" t="s">
        <v>113</v>
      </c>
      <c r="N142" s="17" t="s">
        <v>115</v>
      </c>
      <c r="O142" s="21">
        <v>0</v>
      </c>
      <c r="P142" s="21">
        <v>0</v>
      </c>
      <c r="Q142" s="21">
        <v>9</v>
      </c>
    </row>
    <row r="143" spans="1:17" ht="16.5" x14ac:dyDescent="0.25">
      <c r="A143" s="2"/>
      <c r="B143" s="4"/>
      <c r="C143" s="18"/>
      <c r="E143" s="20">
        <v>45586</v>
      </c>
      <c r="F143" s="17" t="s">
        <v>94</v>
      </c>
      <c r="G143" s="21">
        <v>3.80016</v>
      </c>
      <c r="H143" s="21">
        <v>6.5</v>
      </c>
      <c r="I143" s="25">
        <v>0.13849025449585406</v>
      </c>
      <c r="J143" s="21">
        <v>0</v>
      </c>
      <c r="K143" s="21">
        <v>9.9839999999999998E-2</v>
      </c>
      <c r="L143" s="21">
        <v>0.78</v>
      </c>
      <c r="M143" s="17" t="s">
        <v>122</v>
      </c>
      <c r="N143" s="17" t="s">
        <v>117</v>
      </c>
      <c r="O143" s="21">
        <v>1</v>
      </c>
      <c r="P143" s="21">
        <v>0.92820000000000003</v>
      </c>
      <c r="Q143" s="21">
        <v>5.5</v>
      </c>
    </row>
    <row r="144" spans="1:17" ht="16.5" x14ac:dyDescent="0.25">
      <c r="A144" s="2"/>
      <c r="B144" s="4"/>
      <c r="C144" s="18"/>
      <c r="E144" s="20">
        <v>45586</v>
      </c>
      <c r="F144" s="17" t="s">
        <v>94</v>
      </c>
      <c r="G144" s="21">
        <v>3.9</v>
      </c>
      <c r="H144" s="21">
        <v>5.9</v>
      </c>
      <c r="I144" s="25">
        <v>0.12115505335844319</v>
      </c>
      <c r="J144" s="21">
        <v>0</v>
      </c>
      <c r="K144" s="21">
        <v>0</v>
      </c>
      <c r="L144" s="21">
        <v>0.32450000000000001</v>
      </c>
      <c r="M144" s="17" t="s">
        <v>122</v>
      </c>
      <c r="N144" s="17" t="s">
        <v>116</v>
      </c>
      <c r="O144" s="21">
        <v>1</v>
      </c>
      <c r="P144" s="21">
        <v>0.32450000000000001</v>
      </c>
      <c r="Q144" s="21">
        <v>4.9000000000000004</v>
      </c>
    </row>
    <row r="145" spans="1:17" ht="16.5" x14ac:dyDescent="0.25">
      <c r="A145" s="2"/>
      <c r="B145" s="4"/>
      <c r="C145" s="18"/>
      <c r="E145" s="20">
        <v>45586</v>
      </c>
      <c r="F145" s="17" t="s">
        <v>94</v>
      </c>
      <c r="G145" s="21">
        <v>3.9</v>
      </c>
      <c r="H145" s="21">
        <v>6.2</v>
      </c>
      <c r="I145" s="25">
        <v>0.16367980884109917</v>
      </c>
      <c r="J145" s="21">
        <v>0</v>
      </c>
      <c r="K145" s="21">
        <v>0</v>
      </c>
      <c r="L145" s="21">
        <v>0.34100000000000003</v>
      </c>
      <c r="M145" s="17" t="s">
        <v>122</v>
      </c>
      <c r="N145" s="17" t="s">
        <v>116</v>
      </c>
      <c r="O145" s="21">
        <v>1</v>
      </c>
      <c r="P145" s="21">
        <v>0.34100000000000003</v>
      </c>
      <c r="Q145" s="21">
        <v>5.2</v>
      </c>
    </row>
    <row r="146" spans="1:17" ht="16.5" x14ac:dyDescent="0.25">
      <c r="A146" s="2"/>
      <c r="B146" s="4"/>
      <c r="C146" s="18"/>
      <c r="E146" s="20">
        <v>45586</v>
      </c>
      <c r="F146" s="17" t="s">
        <v>94</v>
      </c>
      <c r="G146" s="21">
        <v>3.9</v>
      </c>
      <c r="H146" s="21">
        <v>5.9</v>
      </c>
      <c r="I146" s="25">
        <v>0.16949152542372889</v>
      </c>
      <c r="J146" s="21">
        <v>0</v>
      </c>
      <c r="K146" s="21">
        <v>9.9839999999999998E-2</v>
      </c>
      <c r="L146" s="21">
        <v>0</v>
      </c>
      <c r="M146" s="17" t="s">
        <v>122</v>
      </c>
      <c r="N146" s="17" t="s">
        <v>115</v>
      </c>
      <c r="O146" s="21">
        <v>1</v>
      </c>
      <c r="P146" s="21">
        <v>0</v>
      </c>
      <c r="Q146" s="21">
        <v>4.9000000000000004</v>
      </c>
    </row>
    <row r="147" spans="1:17" ht="16.5" x14ac:dyDescent="0.25">
      <c r="A147" s="2"/>
      <c r="B147" s="4"/>
      <c r="C147" s="18"/>
      <c r="E147" s="20">
        <v>45586</v>
      </c>
      <c r="F147" s="17" t="s">
        <v>94</v>
      </c>
      <c r="G147" s="21">
        <v>3.9</v>
      </c>
      <c r="H147" s="21">
        <v>4.5999999999999996</v>
      </c>
      <c r="I147" s="25">
        <v>0.15217391304347822</v>
      </c>
      <c r="J147" s="21">
        <v>0</v>
      </c>
      <c r="K147" s="21">
        <v>9.9839999999999998E-2</v>
      </c>
      <c r="L147" s="21">
        <v>0</v>
      </c>
      <c r="M147" s="17" t="s">
        <v>113</v>
      </c>
      <c r="N147" s="17" t="s">
        <v>115</v>
      </c>
      <c r="O147" s="21">
        <v>0</v>
      </c>
      <c r="P147" s="21">
        <v>0</v>
      </c>
      <c r="Q147" s="21">
        <v>4.5999999999999996</v>
      </c>
    </row>
    <row r="148" spans="1:17" ht="16.5" x14ac:dyDescent="0.25">
      <c r="A148" s="2"/>
      <c r="B148" s="4"/>
      <c r="C148" s="18"/>
      <c r="E148" s="20">
        <v>45586</v>
      </c>
      <c r="F148" s="17" t="s">
        <v>94</v>
      </c>
      <c r="G148" s="21">
        <v>3.9</v>
      </c>
      <c r="H148" s="21">
        <v>4.5999999999999996</v>
      </c>
      <c r="I148" s="25">
        <v>0.15217391304347822</v>
      </c>
      <c r="J148" s="21">
        <v>0</v>
      </c>
      <c r="K148" s="21">
        <v>9.9839999999999998E-2</v>
      </c>
      <c r="L148" s="21">
        <v>0</v>
      </c>
      <c r="M148" s="17" t="s">
        <v>122</v>
      </c>
      <c r="N148" s="17" t="s">
        <v>115</v>
      </c>
      <c r="O148" s="21">
        <v>0</v>
      </c>
      <c r="P148" s="21">
        <v>0</v>
      </c>
      <c r="Q148" s="21">
        <v>4.5999999999999996</v>
      </c>
    </row>
    <row r="149" spans="1:17" ht="16.5" x14ac:dyDescent="0.25">
      <c r="A149" s="2"/>
      <c r="B149" s="4"/>
      <c r="C149" s="18"/>
      <c r="E149" s="20">
        <v>45484</v>
      </c>
      <c r="F149" s="17" t="s">
        <v>201</v>
      </c>
      <c r="G149" s="21">
        <v>16.787500000000001</v>
      </c>
      <c r="H149" s="21">
        <v>27</v>
      </c>
      <c r="I149" s="25">
        <v>0.15214654157020421</v>
      </c>
      <c r="J149" s="21">
        <v>0</v>
      </c>
      <c r="K149" s="21">
        <v>0.21250000000000002</v>
      </c>
      <c r="L149" s="21">
        <v>3.2399999999999998</v>
      </c>
      <c r="M149" s="17" t="s">
        <v>122</v>
      </c>
      <c r="N149" s="17" t="s">
        <v>117</v>
      </c>
      <c r="O149" s="21">
        <v>2</v>
      </c>
      <c r="P149" s="21">
        <v>4.8411000000000008</v>
      </c>
      <c r="Q149" s="21">
        <v>25</v>
      </c>
    </row>
    <row r="150" spans="1:17" ht="16.5" x14ac:dyDescent="0.25">
      <c r="A150" s="2"/>
      <c r="B150" s="4"/>
      <c r="C150" s="18"/>
      <c r="E150" s="20">
        <v>45484</v>
      </c>
      <c r="F150" s="17" t="s">
        <v>201</v>
      </c>
      <c r="G150" s="21">
        <v>17</v>
      </c>
      <c r="H150" s="21">
        <v>26</v>
      </c>
      <c r="I150" s="25">
        <v>0.22669922669922671</v>
      </c>
      <c r="J150" s="21">
        <v>0</v>
      </c>
      <c r="K150" s="21">
        <v>0</v>
      </c>
      <c r="L150" s="21">
        <v>1.43</v>
      </c>
      <c r="M150" s="17" t="s">
        <v>122</v>
      </c>
      <c r="N150" s="17" t="s">
        <v>116</v>
      </c>
      <c r="O150" s="21">
        <v>2</v>
      </c>
      <c r="P150" s="21">
        <v>1.43</v>
      </c>
      <c r="Q150" s="21">
        <v>24</v>
      </c>
    </row>
    <row r="151" spans="1:17" ht="16.5" x14ac:dyDescent="0.25">
      <c r="A151" s="2"/>
      <c r="B151" s="4"/>
      <c r="C151" s="18"/>
      <c r="E151" s="20">
        <v>45484</v>
      </c>
      <c r="F151" s="17" t="s">
        <v>201</v>
      </c>
      <c r="G151" s="21">
        <v>17</v>
      </c>
      <c r="H151" s="21">
        <v>26</v>
      </c>
      <c r="I151" s="25">
        <v>0.22669922669922671</v>
      </c>
      <c r="J151" s="21">
        <v>0</v>
      </c>
      <c r="K151" s="21">
        <v>0</v>
      </c>
      <c r="L151" s="21">
        <v>1.43</v>
      </c>
      <c r="M151" s="17" t="s">
        <v>122</v>
      </c>
      <c r="N151" s="17" t="s">
        <v>116</v>
      </c>
      <c r="O151" s="21">
        <v>2</v>
      </c>
      <c r="P151" s="21">
        <v>1.43</v>
      </c>
      <c r="Q151" s="21">
        <v>24</v>
      </c>
    </row>
    <row r="152" spans="1:17" ht="16.5" x14ac:dyDescent="0.25">
      <c r="A152" s="2"/>
      <c r="B152" s="4"/>
      <c r="C152" s="18"/>
      <c r="E152" s="20">
        <v>45484</v>
      </c>
      <c r="F152" s="17" t="s">
        <v>201</v>
      </c>
      <c r="G152" s="21">
        <v>17</v>
      </c>
      <c r="H152" s="21">
        <v>22</v>
      </c>
      <c r="I152" s="25">
        <v>0.22727272727272727</v>
      </c>
      <c r="J152" s="21">
        <v>0</v>
      </c>
      <c r="K152" s="21">
        <v>0.21250000000000002</v>
      </c>
      <c r="L152" s="21">
        <v>0</v>
      </c>
      <c r="M152" s="17" t="s">
        <v>113</v>
      </c>
      <c r="N152" s="17" t="s">
        <v>115</v>
      </c>
      <c r="O152" s="21">
        <v>0</v>
      </c>
      <c r="P152" s="21">
        <v>0</v>
      </c>
      <c r="Q152" s="21">
        <v>22</v>
      </c>
    </row>
    <row r="153" spans="1:17" ht="16.5" x14ac:dyDescent="0.25">
      <c r="A153" s="2"/>
      <c r="B153" s="4"/>
      <c r="C153" s="18"/>
      <c r="E153" s="20">
        <v>45484</v>
      </c>
      <c r="F153" s="17" t="s">
        <v>200</v>
      </c>
      <c r="G153" s="21">
        <v>32.587499999999999</v>
      </c>
      <c r="H153" s="21">
        <v>51</v>
      </c>
      <c r="I153" s="25">
        <v>0.11391996788967812</v>
      </c>
      <c r="J153" s="21">
        <v>0</v>
      </c>
      <c r="K153" s="21">
        <v>0.41250000000000003</v>
      </c>
      <c r="L153" s="21">
        <v>6.12</v>
      </c>
      <c r="M153" s="17" t="s">
        <v>122</v>
      </c>
      <c r="N153" s="17" t="s">
        <v>117</v>
      </c>
      <c r="O153" s="21">
        <v>4.5</v>
      </c>
      <c r="P153" s="21">
        <v>9.1443000000000012</v>
      </c>
      <c r="Q153" s="21">
        <v>46.5</v>
      </c>
    </row>
    <row r="154" spans="1:17" ht="16.5" x14ac:dyDescent="0.25">
      <c r="A154" s="2"/>
      <c r="B154" s="4"/>
      <c r="C154" s="18"/>
      <c r="E154" s="20">
        <v>45484</v>
      </c>
      <c r="F154" s="17" t="s">
        <v>200</v>
      </c>
      <c r="G154" s="21">
        <v>33</v>
      </c>
      <c r="H154" s="21">
        <v>48</v>
      </c>
      <c r="I154" s="25">
        <v>0.17328042328042326</v>
      </c>
      <c r="J154" s="21">
        <v>0</v>
      </c>
      <c r="K154" s="21">
        <v>0</v>
      </c>
      <c r="L154" s="21">
        <v>2.64</v>
      </c>
      <c r="M154" s="17" t="s">
        <v>122</v>
      </c>
      <c r="N154" s="17" t="s">
        <v>116</v>
      </c>
      <c r="O154" s="21">
        <v>4.5</v>
      </c>
      <c r="P154" s="21">
        <v>2.64</v>
      </c>
      <c r="Q154" s="21">
        <v>43.5</v>
      </c>
    </row>
    <row r="155" spans="1:17" ht="16.5" x14ac:dyDescent="0.25">
      <c r="A155" s="2"/>
      <c r="B155" s="4"/>
      <c r="C155" s="18"/>
      <c r="E155" s="20">
        <v>45484</v>
      </c>
      <c r="F155" s="17" t="s">
        <v>200</v>
      </c>
      <c r="G155" s="21">
        <v>33</v>
      </c>
      <c r="H155" s="21">
        <v>42.5</v>
      </c>
      <c r="I155" s="25">
        <v>0.22352941176470589</v>
      </c>
      <c r="J155" s="21">
        <v>0</v>
      </c>
      <c r="K155" s="21">
        <v>0.41250000000000003</v>
      </c>
      <c r="L155" s="21">
        <v>0</v>
      </c>
      <c r="M155" s="17" t="s">
        <v>113</v>
      </c>
      <c r="N155" s="17" t="s">
        <v>115</v>
      </c>
      <c r="O155" s="21">
        <v>0</v>
      </c>
      <c r="P155" s="21">
        <v>0</v>
      </c>
      <c r="Q155" s="21">
        <v>42.5</v>
      </c>
    </row>
    <row r="156" spans="1:17" ht="16.5" x14ac:dyDescent="0.25">
      <c r="A156" s="2"/>
      <c r="B156" s="4"/>
      <c r="C156" s="18"/>
      <c r="E156" s="20">
        <v>45484</v>
      </c>
      <c r="F156" s="17" t="s">
        <v>199</v>
      </c>
      <c r="G156" s="21">
        <v>32</v>
      </c>
      <c r="H156" s="21">
        <v>39</v>
      </c>
      <c r="I156" s="25">
        <v>0.17948717948717949</v>
      </c>
      <c r="J156" s="21">
        <v>0</v>
      </c>
      <c r="K156" s="21">
        <v>0.4</v>
      </c>
      <c r="L156" s="21">
        <v>0</v>
      </c>
      <c r="M156" s="17" t="s">
        <v>113</v>
      </c>
      <c r="N156" s="17" t="s">
        <v>115</v>
      </c>
      <c r="O156" s="21">
        <v>0</v>
      </c>
      <c r="P156" s="21">
        <v>0</v>
      </c>
      <c r="Q156" s="21">
        <v>39</v>
      </c>
    </row>
    <row r="157" spans="1:17" ht="16.5" x14ac:dyDescent="0.25">
      <c r="A157" s="2"/>
      <c r="B157" s="4"/>
      <c r="C157" s="18"/>
      <c r="E157" s="20">
        <v>45484</v>
      </c>
      <c r="F157" s="17" t="s">
        <v>199</v>
      </c>
      <c r="G157" s="21">
        <v>32</v>
      </c>
      <c r="H157" s="21">
        <v>39</v>
      </c>
      <c r="I157" s="25">
        <v>0.17948717948717949</v>
      </c>
      <c r="J157" s="21">
        <v>0</v>
      </c>
      <c r="K157" s="21">
        <v>0.4</v>
      </c>
      <c r="L157" s="21">
        <v>0</v>
      </c>
      <c r="M157" s="17" t="s">
        <v>122</v>
      </c>
      <c r="N157" s="17" t="s">
        <v>115</v>
      </c>
      <c r="O157" s="21">
        <v>0</v>
      </c>
      <c r="P157" s="21">
        <v>0</v>
      </c>
      <c r="Q157" s="21">
        <v>39</v>
      </c>
    </row>
    <row r="158" spans="1:17" ht="16.5" x14ac:dyDescent="0.25">
      <c r="A158" s="2"/>
      <c r="B158" s="4"/>
      <c r="C158" s="18"/>
      <c r="E158" s="20">
        <v>45484</v>
      </c>
      <c r="F158" s="17" t="s">
        <v>199</v>
      </c>
      <c r="G158" s="21">
        <v>32</v>
      </c>
      <c r="H158" s="21">
        <v>46.5</v>
      </c>
      <c r="I158" s="25">
        <v>0.18074756784434209</v>
      </c>
      <c r="J158" s="21">
        <v>0</v>
      </c>
      <c r="K158" s="21">
        <v>0</v>
      </c>
      <c r="L158" s="21">
        <v>2.5575000000000001</v>
      </c>
      <c r="M158" s="17" t="s">
        <v>122</v>
      </c>
      <c r="N158" s="17" t="s">
        <v>116</v>
      </c>
      <c r="O158" s="21">
        <v>4</v>
      </c>
      <c r="P158" s="21">
        <v>2.5575000000000001</v>
      </c>
      <c r="Q158" s="21">
        <v>42.5</v>
      </c>
    </row>
    <row r="159" spans="1:17" ht="16.5" x14ac:dyDescent="0.25">
      <c r="A159" s="2"/>
      <c r="B159" s="4"/>
      <c r="C159" s="18"/>
      <c r="E159" s="20">
        <v>45484</v>
      </c>
      <c r="F159" s="17" t="s">
        <v>199</v>
      </c>
      <c r="G159" s="21">
        <v>31.6</v>
      </c>
      <c r="H159" s="21">
        <v>48</v>
      </c>
      <c r="I159" s="25">
        <v>9.6299906583810518E-2</v>
      </c>
      <c r="J159" s="21">
        <v>0</v>
      </c>
      <c r="K159" s="21">
        <v>0.4</v>
      </c>
      <c r="L159" s="21">
        <v>5.76</v>
      </c>
      <c r="M159" s="17" t="s">
        <v>122</v>
      </c>
      <c r="N159" s="17" t="s">
        <v>117</v>
      </c>
      <c r="O159" s="21">
        <v>4</v>
      </c>
      <c r="P159" s="21">
        <v>8.6064000000000007</v>
      </c>
      <c r="Q159" s="21">
        <v>44</v>
      </c>
    </row>
    <row r="160" spans="1:17" ht="16.5" x14ac:dyDescent="0.25">
      <c r="A160" s="2"/>
      <c r="B160" s="4"/>
      <c r="C160" s="18"/>
      <c r="E160" s="20">
        <v>45484</v>
      </c>
      <c r="F160" s="17" t="s">
        <v>199</v>
      </c>
      <c r="G160" s="21">
        <v>32</v>
      </c>
      <c r="H160" s="21">
        <v>45.5</v>
      </c>
      <c r="I160" s="25">
        <v>0.16274201988487708</v>
      </c>
      <c r="J160" s="21">
        <v>0</v>
      </c>
      <c r="K160" s="21">
        <v>0</v>
      </c>
      <c r="L160" s="21">
        <v>2.5024999999999999</v>
      </c>
      <c r="M160" s="17" t="s">
        <v>122</v>
      </c>
      <c r="N160" s="17" t="s">
        <v>116</v>
      </c>
      <c r="O160" s="21">
        <v>4</v>
      </c>
      <c r="P160" s="21">
        <v>2.5024999999999999</v>
      </c>
      <c r="Q160" s="21">
        <v>41.5</v>
      </c>
    </row>
    <row r="161" spans="1:17" ht="16.5" x14ac:dyDescent="0.25">
      <c r="A161" s="2"/>
      <c r="B161" s="4"/>
      <c r="C161" s="18"/>
      <c r="E161" s="20">
        <v>45484</v>
      </c>
      <c r="F161" s="17" t="s">
        <v>200</v>
      </c>
      <c r="G161" s="21">
        <v>32.587499999999999</v>
      </c>
      <c r="H161" s="21">
        <v>50</v>
      </c>
      <c r="I161" s="25">
        <v>9.6198367247471633E-2</v>
      </c>
      <c r="J161" s="21">
        <v>0</v>
      </c>
      <c r="K161" s="21">
        <v>0.41250000000000003</v>
      </c>
      <c r="L161" s="21">
        <v>6</v>
      </c>
      <c r="M161" s="17" t="s">
        <v>122</v>
      </c>
      <c r="N161" s="17" t="s">
        <v>117</v>
      </c>
      <c r="O161" s="21">
        <v>4.5</v>
      </c>
      <c r="P161" s="21">
        <v>8.9649999999999999</v>
      </c>
      <c r="Q161" s="21">
        <v>45.5</v>
      </c>
    </row>
    <row r="162" spans="1:17" ht="16.5" x14ac:dyDescent="0.25">
      <c r="A162" s="2"/>
      <c r="B162" s="4"/>
      <c r="C162" s="18"/>
      <c r="E162" s="20">
        <v>45484</v>
      </c>
      <c r="F162" s="17" t="s">
        <v>200</v>
      </c>
      <c r="G162" s="21">
        <v>33</v>
      </c>
      <c r="H162" s="21">
        <v>47</v>
      </c>
      <c r="I162" s="25">
        <v>0.15569064505234717</v>
      </c>
      <c r="J162" s="21">
        <v>0</v>
      </c>
      <c r="K162" s="21">
        <v>0</v>
      </c>
      <c r="L162" s="21">
        <v>2.585</v>
      </c>
      <c r="M162" s="17" t="s">
        <v>122</v>
      </c>
      <c r="N162" s="17" t="s">
        <v>116</v>
      </c>
      <c r="O162" s="21">
        <v>4.5</v>
      </c>
      <c r="P162" s="21">
        <v>2.585</v>
      </c>
      <c r="Q162" s="21">
        <v>42.5</v>
      </c>
    </row>
    <row r="163" spans="1:17" ht="16.5" x14ac:dyDescent="0.25">
      <c r="A163" s="2"/>
      <c r="B163" s="4"/>
      <c r="C163" s="18"/>
      <c r="E163" s="20">
        <v>45484</v>
      </c>
      <c r="F163" s="17" t="s">
        <v>201</v>
      </c>
      <c r="G163" s="21">
        <v>16.787500000000001</v>
      </c>
      <c r="H163" s="21">
        <v>26.5</v>
      </c>
      <c r="I163" s="25">
        <v>0.13614930650549117</v>
      </c>
      <c r="J163" s="21">
        <v>0</v>
      </c>
      <c r="K163" s="21">
        <v>0.21250000000000002</v>
      </c>
      <c r="L163" s="21">
        <v>3.1799999999999997</v>
      </c>
      <c r="M163" s="17" t="s">
        <v>122</v>
      </c>
      <c r="N163" s="17" t="s">
        <v>117</v>
      </c>
      <c r="O163" s="21">
        <v>2</v>
      </c>
      <c r="P163" s="21">
        <v>4.7514500000000002</v>
      </c>
      <c r="Q163" s="21">
        <v>24.5</v>
      </c>
    </row>
    <row r="164" spans="1:17" ht="16.5" x14ac:dyDescent="0.25">
      <c r="A164" s="2"/>
      <c r="B164" s="4"/>
      <c r="C164" s="18"/>
      <c r="E164" s="20">
        <v>45484</v>
      </c>
      <c r="F164" s="17" t="s">
        <v>201</v>
      </c>
      <c r="G164" s="21">
        <v>17</v>
      </c>
      <c r="H164" s="21">
        <v>25.5</v>
      </c>
      <c r="I164" s="25">
        <v>0.21153646643842722</v>
      </c>
      <c r="J164" s="21">
        <v>0</v>
      </c>
      <c r="K164" s="21">
        <v>0</v>
      </c>
      <c r="L164" s="21">
        <v>1.4025000000000001</v>
      </c>
      <c r="M164" s="17" t="s">
        <v>122</v>
      </c>
      <c r="N164" s="17" t="s">
        <v>116</v>
      </c>
      <c r="O164" s="21">
        <v>2</v>
      </c>
      <c r="P164" s="21">
        <v>1.4025000000000001</v>
      </c>
      <c r="Q164" s="21">
        <v>23.5</v>
      </c>
    </row>
    <row r="165" spans="1:17" ht="16.5" x14ac:dyDescent="0.25">
      <c r="A165" s="2"/>
      <c r="B165" s="4"/>
      <c r="C165" s="18"/>
      <c r="E165" s="20">
        <v>45484</v>
      </c>
      <c r="F165" s="17" t="s">
        <v>201</v>
      </c>
      <c r="G165" s="21">
        <v>17</v>
      </c>
      <c r="H165" s="21">
        <v>23.5</v>
      </c>
      <c r="I165" s="25">
        <v>0.14443318698637847</v>
      </c>
      <c r="J165" s="21">
        <v>0</v>
      </c>
      <c r="K165" s="21">
        <v>0</v>
      </c>
      <c r="L165" s="21">
        <v>1.2925</v>
      </c>
      <c r="M165" s="17" t="s">
        <v>122</v>
      </c>
      <c r="N165" s="17" t="s">
        <v>116</v>
      </c>
      <c r="O165" s="21">
        <v>2</v>
      </c>
      <c r="P165" s="21">
        <v>1.2925</v>
      </c>
      <c r="Q165" s="21">
        <v>21.5</v>
      </c>
    </row>
    <row r="166" spans="1:17" ht="16.5" x14ac:dyDescent="0.25">
      <c r="A166" s="2"/>
      <c r="B166" s="4"/>
      <c r="C166" s="18"/>
      <c r="E166" s="20">
        <v>45484</v>
      </c>
      <c r="F166" s="17" t="s">
        <v>199</v>
      </c>
      <c r="G166" s="21">
        <v>32</v>
      </c>
      <c r="H166" s="21">
        <v>38</v>
      </c>
      <c r="I166" s="25">
        <v>0.15789473684210525</v>
      </c>
      <c r="J166" s="21">
        <v>0</v>
      </c>
      <c r="K166" s="21">
        <v>0.4</v>
      </c>
      <c r="L166" s="21">
        <v>0</v>
      </c>
      <c r="M166" s="17" t="s">
        <v>113</v>
      </c>
      <c r="N166" s="17" t="s">
        <v>115</v>
      </c>
      <c r="O166" s="21">
        <v>0</v>
      </c>
      <c r="P166" s="21">
        <v>0</v>
      </c>
      <c r="Q166" s="21">
        <v>38</v>
      </c>
    </row>
    <row r="167" spans="1:17" ht="16.5" x14ac:dyDescent="0.25">
      <c r="A167" s="2"/>
      <c r="B167" s="4"/>
      <c r="C167" s="18"/>
      <c r="E167" s="20">
        <v>45484</v>
      </c>
      <c r="F167" s="17" t="s">
        <v>200</v>
      </c>
      <c r="G167" s="21">
        <v>33</v>
      </c>
      <c r="H167" s="21">
        <v>41.5</v>
      </c>
      <c r="I167" s="25">
        <v>0.20481927710843373</v>
      </c>
      <c r="J167" s="21">
        <v>0</v>
      </c>
      <c r="K167" s="21">
        <v>0.41250000000000003</v>
      </c>
      <c r="L167" s="21">
        <v>0</v>
      </c>
      <c r="M167" s="17" t="s">
        <v>113</v>
      </c>
      <c r="N167" s="17" t="s">
        <v>115</v>
      </c>
      <c r="O167" s="21">
        <v>0</v>
      </c>
      <c r="P167" s="21">
        <v>0</v>
      </c>
      <c r="Q167" s="21">
        <v>41.5</v>
      </c>
    </row>
    <row r="168" spans="1:17" ht="16.5" x14ac:dyDescent="0.25">
      <c r="A168" s="2"/>
      <c r="B168" s="4"/>
      <c r="C168" s="18"/>
      <c r="E168" s="20">
        <v>45484</v>
      </c>
      <c r="F168" s="17" t="s">
        <v>201</v>
      </c>
      <c r="G168" s="21">
        <v>17</v>
      </c>
      <c r="H168" s="21">
        <v>21.5</v>
      </c>
      <c r="I168" s="25">
        <v>0.20930232558139536</v>
      </c>
      <c r="J168" s="21">
        <v>0</v>
      </c>
      <c r="K168" s="21">
        <v>0.21250000000000002</v>
      </c>
      <c r="L168" s="21">
        <v>0</v>
      </c>
      <c r="M168" s="17" t="s">
        <v>113</v>
      </c>
      <c r="N168" s="17" t="s">
        <v>115</v>
      </c>
      <c r="O168" s="21">
        <v>0</v>
      </c>
      <c r="P168" s="21">
        <v>0</v>
      </c>
      <c r="Q168" s="21">
        <v>21.5</v>
      </c>
    </row>
    <row r="169" spans="1:17" ht="16.5" x14ac:dyDescent="0.25">
      <c r="A169" s="2"/>
      <c r="B169" s="4"/>
      <c r="C169" s="18"/>
      <c r="E169" s="20">
        <v>45464</v>
      </c>
      <c r="F169" s="17" t="s">
        <v>94</v>
      </c>
      <c r="G169" s="21">
        <v>3.25</v>
      </c>
      <c r="H169" s="21">
        <v>4.2</v>
      </c>
      <c r="I169" s="25">
        <v>0.22619047619047622</v>
      </c>
      <c r="J169" s="21">
        <v>0</v>
      </c>
      <c r="K169" s="21">
        <v>8.320000000000001E-2</v>
      </c>
      <c r="L169" s="21">
        <v>0</v>
      </c>
      <c r="M169" s="17" t="s">
        <v>113</v>
      </c>
      <c r="N169" s="17" t="s">
        <v>115</v>
      </c>
      <c r="O169" s="21">
        <v>0</v>
      </c>
      <c r="P169" s="21">
        <v>0</v>
      </c>
      <c r="Q169" s="21">
        <v>4.2</v>
      </c>
    </row>
    <row r="170" spans="1:17" ht="16.5" x14ac:dyDescent="0.25">
      <c r="A170" s="2"/>
      <c r="B170" s="4"/>
      <c r="C170" s="18"/>
      <c r="E170" s="20">
        <v>45464</v>
      </c>
      <c r="F170" s="17" t="s">
        <v>95</v>
      </c>
      <c r="G170" s="21">
        <v>6.3335999999999997</v>
      </c>
      <c r="H170" s="21">
        <v>10.5</v>
      </c>
      <c r="I170" s="25">
        <v>0.18520987489722915</v>
      </c>
      <c r="J170" s="21">
        <v>0</v>
      </c>
      <c r="K170" s="21">
        <v>0.16640000000000002</v>
      </c>
      <c r="L170" s="21">
        <v>1.26</v>
      </c>
      <c r="M170" s="17" t="s">
        <v>122</v>
      </c>
      <c r="N170" s="17" t="s">
        <v>117</v>
      </c>
      <c r="O170" s="21">
        <v>1</v>
      </c>
      <c r="P170" s="21">
        <v>1.4994000000000001</v>
      </c>
      <c r="Q170" s="21">
        <v>9.5</v>
      </c>
    </row>
    <row r="171" spans="1:17" ht="16.5" x14ac:dyDescent="0.25">
      <c r="A171" s="2"/>
      <c r="B171" s="4"/>
      <c r="C171" s="18"/>
      <c r="E171" s="20">
        <v>45464</v>
      </c>
      <c r="F171" s="17" t="s">
        <v>94</v>
      </c>
      <c r="G171" s="21">
        <v>3.25</v>
      </c>
      <c r="H171" s="21">
        <v>5.5</v>
      </c>
      <c r="I171" s="25">
        <v>0.18229918229918227</v>
      </c>
      <c r="J171" s="21">
        <v>0</v>
      </c>
      <c r="K171" s="21">
        <v>0</v>
      </c>
      <c r="L171" s="21">
        <v>0.30249999999999999</v>
      </c>
      <c r="M171" s="17" t="s">
        <v>122</v>
      </c>
      <c r="N171" s="17" t="s">
        <v>116</v>
      </c>
      <c r="O171" s="21">
        <v>1</v>
      </c>
      <c r="P171" s="21">
        <v>0.30249999999999999</v>
      </c>
      <c r="Q171" s="21">
        <v>4.5</v>
      </c>
    </row>
    <row r="172" spans="1:17" ht="16.5" x14ac:dyDescent="0.25">
      <c r="A172" s="2"/>
      <c r="B172" s="4"/>
      <c r="C172" s="18"/>
      <c r="E172" s="20">
        <v>45464</v>
      </c>
      <c r="F172" s="17" t="s">
        <v>94</v>
      </c>
      <c r="G172" s="21">
        <v>3.1667999999999998</v>
      </c>
      <c r="H172" s="21">
        <v>6</v>
      </c>
      <c r="I172" s="25">
        <v>0.18984289936226481</v>
      </c>
      <c r="J172" s="21">
        <v>0</v>
      </c>
      <c r="K172" s="21">
        <v>8.320000000000001E-2</v>
      </c>
      <c r="L172" s="21">
        <v>0.72</v>
      </c>
      <c r="M172" s="17" t="s">
        <v>122</v>
      </c>
      <c r="N172" s="17" t="s">
        <v>117</v>
      </c>
      <c r="O172" s="21">
        <v>1</v>
      </c>
      <c r="P172" s="21">
        <v>0.85680000000000001</v>
      </c>
      <c r="Q172" s="21">
        <v>5</v>
      </c>
    </row>
    <row r="173" spans="1:17" ht="16.5" x14ac:dyDescent="0.25">
      <c r="A173" s="2"/>
      <c r="B173" s="4"/>
      <c r="C173" s="18"/>
      <c r="E173" s="20">
        <v>45464</v>
      </c>
      <c r="F173" s="17" t="s">
        <v>94</v>
      </c>
      <c r="G173" s="21">
        <v>3.1667999999999998</v>
      </c>
      <c r="H173" s="21">
        <v>6</v>
      </c>
      <c r="I173" s="25">
        <v>9.2627158189454106E-2</v>
      </c>
      <c r="J173" s="21">
        <v>0</v>
      </c>
      <c r="K173" s="21">
        <v>8.320000000000001E-2</v>
      </c>
      <c r="L173" s="21">
        <v>0.72</v>
      </c>
      <c r="M173" s="17" t="s">
        <v>122</v>
      </c>
      <c r="N173" s="17" t="s">
        <v>117</v>
      </c>
      <c r="O173" s="21">
        <v>1.5</v>
      </c>
      <c r="P173" s="21">
        <v>0.85680000000000001</v>
      </c>
      <c r="Q173" s="21">
        <v>4.5</v>
      </c>
    </row>
    <row r="174" spans="1:17" ht="16.5" x14ac:dyDescent="0.25">
      <c r="A174" s="2"/>
      <c r="B174" s="4"/>
      <c r="C174" s="18"/>
      <c r="E174" s="20">
        <v>45464</v>
      </c>
      <c r="F174" s="17" t="s">
        <v>94</v>
      </c>
      <c r="G174" s="21">
        <v>3.1667999999999998</v>
      </c>
      <c r="H174" s="21">
        <v>6</v>
      </c>
      <c r="I174" s="25">
        <v>9.2627158189454106E-2</v>
      </c>
      <c r="J174" s="21">
        <v>0</v>
      </c>
      <c r="K174" s="21">
        <v>8.320000000000001E-2</v>
      </c>
      <c r="L174" s="21">
        <v>0.72</v>
      </c>
      <c r="M174" s="17" t="s">
        <v>122</v>
      </c>
      <c r="N174" s="17" t="s">
        <v>117</v>
      </c>
      <c r="O174" s="21">
        <v>1.5</v>
      </c>
      <c r="P174" s="21">
        <v>0.85680000000000001</v>
      </c>
      <c r="Q174" s="21">
        <v>4.5</v>
      </c>
    </row>
    <row r="175" spans="1:17" ht="16.5" x14ac:dyDescent="0.25">
      <c r="A175" s="2"/>
      <c r="B175" s="4"/>
      <c r="C175" s="18"/>
      <c r="E175" s="20">
        <v>45464</v>
      </c>
      <c r="F175" s="17" t="s">
        <v>95</v>
      </c>
      <c r="G175" s="21">
        <v>6.3335999999999997</v>
      </c>
      <c r="H175" s="21">
        <v>10.5</v>
      </c>
      <c r="I175" s="25">
        <v>0.12965802279848018</v>
      </c>
      <c r="J175" s="21">
        <v>0</v>
      </c>
      <c r="K175" s="21">
        <v>0.16640000000000002</v>
      </c>
      <c r="L175" s="21">
        <v>1.26</v>
      </c>
      <c r="M175" s="17" t="s">
        <v>122</v>
      </c>
      <c r="N175" s="17" t="s">
        <v>117</v>
      </c>
      <c r="O175" s="21">
        <v>1.5</v>
      </c>
      <c r="P175" s="21">
        <v>1.4994000000000001</v>
      </c>
      <c r="Q175" s="21">
        <v>9</v>
      </c>
    </row>
    <row r="176" spans="1:17" ht="16.5" x14ac:dyDescent="0.25">
      <c r="A176" s="2"/>
      <c r="B176" s="4"/>
      <c r="C176" s="18"/>
      <c r="E176" s="20">
        <v>45464</v>
      </c>
      <c r="F176" s="17" t="s">
        <v>203</v>
      </c>
      <c r="G176" s="21">
        <v>12.667199999999999</v>
      </c>
      <c r="H176" s="21">
        <v>19</v>
      </c>
      <c r="I176" s="25">
        <v>0.13014220104624605</v>
      </c>
      <c r="J176" s="21">
        <v>0</v>
      </c>
      <c r="K176" s="21">
        <v>0.33280000000000004</v>
      </c>
      <c r="L176" s="21">
        <v>2.2799999999999998</v>
      </c>
      <c r="M176" s="17" t="s">
        <v>122</v>
      </c>
      <c r="N176" s="17" t="s">
        <v>117</v>
      </c>
      <c r="O176" s="21">
        <v>1.5</v>
      </c>
      <c r="P176" s="21">
        <v>2.7132000000000001</v>
      </c>
      <c r="Q176" s="21">
        <v>17.5</v>
      </c>
    </row>
    <row r="177" spans="1:17" ht="16.5" x14ac:dyDescent="0.25">
      <c r="A177" s="2"/>
      <c r="B177" s="4"/>
      <c r="C177" s="18"/>
      <c r="E177" s="20">
        <v>45464</v>
      </c>
      <c r="F177" s="17" t="s">
        <v>203</v>
      </c>
      <c r="G177" s="21">
        <v>13</v>
      </c>
      <c r="H177" s="21">
        <v>17.5</v>
      </c>
      <c r="I177" s="25">
        <v>0.12320483749055185</v>
      </c>
      <c r="J177" s="21">
        <v>0</v>
      </c>
      <c r="K177" s="21">
        <v>0</v>
      </c>
      <c r="L177" s="21">
        <v>0.96250000000000002</v>
      </c>
      <c r="M177" s="17" t="s">
        <v>122</v>
      </c>
      <c r="N177" s="17" t="s">
        <v>116</v>
      </c>
      <c r="O177" s="21">
        <v>1.5</v>
      </c>
      <c r="P177" s="21">
        <v>0.96250000000000002</v>
      </c>
      <c r="Q177" s="21">
        <v>16</v>
      </c>
    </row>
    <row r="178" spans="1:17" ht="16.5" x14ac:dyDescent="0.25">
      <c r="A178" s="2"/>
      <c r="B178" s="4"/>
      <c r="C178" s="18"/>
      <c r="E178" s="20">
        <v>45464</v>
      </c>
      <c r="F178" s="17" t="s">
        <v>95</v>
      </c>
      <c r="G178" s="21">
        <v>6.3335999999999997</v>
      </c>
      <c r="H178" s="21">
        <v>10</v>
      </c>
      <c r="I178" s="25">
        <v>0.14447036864209048</v>
      </c>
      <c r="J178" s="21">
        <v>0</v>
      </c>
      <c r="K178" s="21">
        <v>0.16640000000000002</v>
      </c>
      <c r="L178" s="21">
        <v>1.2</v>
      </c>
      <c r="M178" s="17" t="s">
        <v>122</v>
      </c>
      <c r="N178" s="17" t="s">
        <v>117</v>
      </c>
      <c r="O178" s="21">
        <v>1</v>
      </c>
      <c r="P178" s="21">
        <v>1.4280000000000002</v>
      </c>
      <c r="Q178" s="21">
        <v>9</v>
      </c>
    </row>
    <row r="179" spans="1:17" ht="16.5" x14ac:dyDescent="0.25">
      <c r="A179" s="2"/>
      <c r="B179" s="4"/>
      <c r="C179" s="18"/>
      <c r="E179" s="20">
        <v>45464</v>
      </c>
      <c r="F179" s="17" t="s">
        <v>95</v>
      </c>
      <c r="G179" s="21">
        <v>6.3335999999999997</v>
      </c>
      <c r="H179" s="21">
        <v>9.9</v>
      </c>
      <c r="I179" s="25">
        <v>0.13582865519403095</v>
      </c>
      <c r="J179" s="21">
        <v>0</v>
      </c>
      <c r="K179" s="21">
        <v>0.16640000000000002</v>
      </c>
      <c r="L179" s="21">
        <v>1.1879999999999999</v>
      </c>
      <c r="M179" s="17" t="s">
        <v>122</v>
      </c>
      <c r="N179" s="17" t="s">
        <v>117</v>
      </c>
      <c r="O179" s="21">
        <v>1</v>
      </c>
      <c r="P179" s="21">
        <v>1.4137200000000001</v>
      </c>
      <c r="Q179" s="21">
        <v>8.9</v>
      </c>
    </row>
    <row r="180" spans="1:17" ht="16.5" x14ac:dyDescent="0.25">
      <c r="A180" s="2"/>
      <c r="B180" s="4"/>
      <c r="C180" s="18"/>
      <c r="E180" s="20">
        <v>45464</v>
      </c>
      <c r="F180" s="17" t="s">
        <v>95</v>
      </c>
      <c r="G180" s="21">
        <v>6.3335999999999997</v>
      </c>
      <c r="H180" s="21">
        <v>10.5</v>
      </c>
      <c r="I180" s="25">
        <v>0.18520987489722915</v>
      </c>
      <c r="J180" s="21">
        <v>0</v>
      </c>
      <c r="K180" s="21">
        <v>0.16640000000000002</v>
      </c>
      <c r="L180" s="21">
        <v>1.26</v>
      </c>
      <c r="M180" s="17" t="s">
        <v>122</v>
      </c>
      <c r="N180" s="17" t="s">
        <v>117</v>
      </c>
      <c r="O180" s="21">
        <v>1</v>
      </c>
      <c r="P180" s="21">
        <v>1.4994000000000001</v>
      </c>
      <c r="Q180" s="21">
        <v>9.5</v>
      </c>
    </row>
    <row r="181" spans="1:17" ht="16.5" x14ac:dyDescent="0.25">
      <c r="A181" s="2"/>
      <c r="B181" s="4"/>
      <c r="C181" s="18"/>
      <c r="E181" s="20">
        <v>45464</v>
      </c>
      <c r="F181" s="17" t="s">
        <v>95</v>
      </c>
      <c r="G181" s="21">
        <v>6.5</v>
      </c>
      <c r="H181" s="21">
        <v>9.5</v>
      </c>
      <c r="I181" s="25">
        <v>0.16457811194653291</v>
      </c>
      <c r="J181" s="21">
        <v>0</v>
      </c>
      <c r="K181" s="21">
        <v>0</v>
      </c>
      <c r="L181" s="21">
        <v>0.52249999999999996</v>
      </c>
      <c r="M181" s="17" t="s">
        <v>122</v>
      </c>
      <c r="N181" s="17" t="s">
        <v>116</v>
      </c>
      <c r="O181" s="21">
        <v>1</v>
      </c>
      <c r="P181" s="21">
        <v>0.52249999999999996</v>
      </c>
      <c r="Q181" s="21">
        <v>8.5</v>
      </c>
    </row>
    <row r="182" spans="1:17" ht="16.5" x14ac:dyDescent="0.25">
      <c r="A182" s="2"/>
      <c r="B182" s="4"/>
      <c r="C182" s="18"/>
      <c r="E182" s="20">
        <v>45464</v>
      </c>
      <c r="F182" s="17" t="s">
        <v>94</v>
      </c>
      <c r="G182" s="21">
        <v>3.1667999999999998</v>
      </c>
      <c r="H182" s="21">
        <v>5.9</v>
      </c>
      <c r="I182" s="25">
        <v>0.19588411620016294</v>
      </c>
      <c r="J182" s="21">
        <v>0</v>
      </c>
      <c r="K182" s="21">
        <v>8.320000000000001E-2</v>
      </c>
      <c r="L182" s="21">
        <v>0.70799999999999996</v>
      </c>
      <c r="M182" s="17" t="s">
        <v>122</v>
      </c>
      <c r="N182" s="17" t="s">
        <v>117</v>
      </c>
      <c r="O182" s="21">
        <v>0.9</v>
      </c>
      <c r="P182" s="21">
        <v>0.84252000000000016</v>
      </c>
      <c r="Q182" s="21">
        <v>5</v>
      </c>
    </row>
    <row r="183" spans="1:17" ht="16.5" x14ac:dyDescent="0.25">
      <c r="A183" s="2"/>
      <c r="B183" s="4"/>
      <c r="C183" s="18"/>
      <c r="E183" s="20">
        <v>45464</v>
      </c>
      <c r="F183" s="17" t="s">
        <v>94</v>
      </c>
      <c r="G183" s="21">
        <v>3.25</v>
      </c>
      <c r="H183" s="21">
        <v>5.5</v>
      </c>
      <c r="I183" s="25">
        <v>0.20153920153920152</v>
      </c>
      <c r="J183" s="21">
        <v>0</v>
      </c>
      <c r="K183" s="21">
        <v>0</v>
      </c>
      <c r="L183" s="21">
        <v>0.30249999999999999</v>
      </c>
      <c r="M183" s="17" t="s">
        <v>122</v>
      </c>
      <c r="N183" s="17" t="s">
        <v>116</v>
      </c>
      <c r="O183" s="21">
        <v>0.9</v>
      </c>
      <c r="P183" s="21">
        <v>0.30249999999999999</v>
      </c>
      <c r="Q183" s="21">
        <v>4.5999999999999996</v>
      </c>
    </row>
    <row r="184" spans="1:17" ht="16.5" x14ac:dyDescent="0.25">
      <c r="A184" s="2"/>
      <c r="B184" s="4"/>
      <c r="C184" s="18"/>
      <c r="E184" s="20">
        <v>45464</v>
      </c>
      <c r="F184" s="17" t="s">
        <v>94</v>
      </c>
      <c r="G184" s="21">
        <v>3.25</v>
      </c>
      <c r="H184" s="21">
        <v>5.5</v>
      </c>
      <c r="I184" s="25">
        <v>0.20153920153920152</v>
      </c>
      <c r="J184" s="21">
        <v>0</v>
      </c>
      <c r="K184" s="21">
        <v>0</v>
      </c>
      <c r="L184" s="21">
        <v>0.30249999999999999</v>
      </c>
      <c r="M184" s="17" t="s">
        <v>113</v>
      </c>
      <c r="N184" s="17" t="s">
        <v>116</v>
      </c>
      <c r="O184" s="21">
        <v>0.9</v>
      </c>
      <c r="P184" s="21">
        <v>0.30249999999999999</v>
      </c>
      <c r="Q184" s="21">
        <v>4.5999999999999996</v>
      </c>
    </row>
    <row r="185" spans="1:17" ht="16.5" x14ac:dyDescent="0.25">
      <c r="A185" s="2"/>
      <c r="B185" s="4"/>
      <c r="C185" s="18"/>
      <c r="E185" s="20">
        <v>45464</v>
      </c>
      <c r="F185" s="17" t="s">
        <v>94</v>
      </c>
      <c r="G185" s="21">
        <v>3.25</v>
      </c>
      <c r="H185" s="21">
        <v>4.5</v>
      </c>
      <c r="I185" s="25">
        <v>0.27777777777777779</v>
      </c>
      <c r="J185" s="21">
        <v>0</v>
      </c>
      <c r="K185" s="21">
        <v>8.320000000000001E-2</v>
      </c>
      <c r="L185" s="21">
        <v>0</v>
      </c>
      <c r="M185" s="17" t="s">
        <v>113</v>
      </c>
      <c r="N185" s="17" t="s">
        <v>115</v>
      </c>
      <c r="O185" s="21">
        <v>0</v>
      </c>
      <c r="P185" s="21">
        <v>0</v>
      </c>
      <c r="Q185" s="21">
        <v>4.5</v>
      </c>
    </row>
    <row r="186" spans="1:17" ht="16.5" x14ac:dyDescent="0.25">
      <c r="A186" s="2"/>
      <c r="B186" s="4"/>
      <c r="C186" s="18"/>
      <c r="E186" s="20">
        <v>45464</v>
      </c>
      <c r="F186" s="17" t="s">
        <v>203</v>
      </c>
      <c r="G186" s="21">
        <v>13</v>
      </c>
      <c r="H186" s="21">
        <v>15</v>
      </c>
      <c r="I186" s="25">
        <v>0.13333333333333333</v>
      </c>
      <c r="J186" s="21">
        <v>0</v>
      </c>
      <c r="K186" s="21">
        <v>0.33280000000000004</v>
      </c>
      <c r="L186" s="21">
        <v>0</v>
      </c>
      <c r="M186" s="17" t="s">
        <v>113</v>
      </c>
      <c r="N186" s="17" t="s">
        <v>115</v>
      </c>
      <c r="O186" s="21">
        <v>0</v>
      </c>
      <c r="P186" s="21">
        <v>0</v>
      </c>
      <c r="Q186" s="21">
        <v>15</v>
      </c>
    </row>
    <row r="187" spans="1:17" ht="16.5" x14ac:dyDescent="0.25">
      <c r="A187" s="2"/>
      <c r="B187" s="4"/>
      <c r="C187" s="18"/>
      <c r="E187" s="20">
        <v>45464</v>
      </c>
      <c r="F187" s="17" t="s">
        <v>95</v>
      </c>
      <c r="G187" s="21">
        <v>6.5</v>
      </c>
      <c r="H187" s="21">
        <v>8</v>
      </c>
      <c r="I187" s="25">
        <v>0.1875</v>
      </c>
      <c r="J187" s="21">
        <v>0</v>
      </c>
      <c r="K187" s="21">
        <v>0.16640000000000002</v>
      </c>
      <c r="L187" s="21">
        <v>0</v>
      </c>
      <c r="M187" s="17" t="s">
        <v>113</v>
      </c>
      <c r="N187" s="17" t="s">
        <v>115</v>
      </c>
      <c r="O187" s="21">
        <v>0</v>
      </c>
      <c r="P187" s="21">
        <v>0</v>
      </c>
      <c r="Q187" s="21">
        <v>8</v>
      </c>
    </row>
    <row r="188" spans="1:17" ht="16.5" x14ac:dyDescent="0.25">
      <c r="A188" s="2"/>
      <c r="B188" s="4"/>
      <c r="C188" s="18"/>
      <c r="E188" s="20">
        <v>45464</v>
      </c>
      <c r="F188" s="17" t="s">
        <v>94</v>
      </c>
      <c r="G188" s="21">
        <v>3.25</v>
      </c>
      <c r="H188" s="21">
        <v>4.3</v>
      </c>
      <c r="I188" s="25">
        <v>0.24418604651162787</v>
      </c>
      <c r="J188" s="21">
        <v>0</v>
      </c>
      <c r="K188" s="21">
        <v>8.320000000000001E-2</v>
      </c>
      <c r="L188" s="21">
        <v>0</v>
      </c>
      <c r="M188" s="17" t="s">
        <v>113</v>
      </c>
      <c r="N188" s="17" t="s">
        <v>115</v>
      </c>
      <c r="O188" s="21">
        <v>0</v>
      </c>
      <c r="P188" s="21">
        <v>0</v>
      </c>
      <c r="Q188" s="21">
        <v>4.3</v>
      </c>
    </row>
    <row r="189" spans="1:17" ht="16.5" x14ac:dyDescent="0.25">
      <c r="A189" s="2"/>
      <c r="B189" s="4"/>
      <c r="C189" s="18"/>
      <c r="E189" s="20">
        <v>45463</v>
      </c>
      <c r="F189" s="17" t="s">
        <v>203</v>
      </c>
      <c r="G189" s="21">
        <v>13.6416</v>
      </c>
      <c r="H189" s="21">
        <v>20</v>
      </c>
      <c r="I189" s="25">
        <v>0.11679888007466158</v>
      </c>
      <c r="J189" s="21">
        <v>0</v>
      </c>
      <c r="K189" s="21">
        <v>0.3584</v>
      </c>
      <c r="L189" s="21">
        <v>2.4</v>
      </c>
      <c r="M189" s="17" t="s">
        <v>122</v>
      </c>
      <c r="N189" s="17" t="s">
        <v>117</v>
      </c>
      <c r="O189" s="21">
        <v>1.5</v>
      </c>
      <c r="P189" s="21">
        <v>2.8560000000000003</v>
      </c>
      <c r="Q189" s="21">
        <v>18.5</v>
      </c>
    </row>
    <row r="190" spans="1:17" ht="16.5" x14ac:dyDescent="0.25">
      <c r="A190" s="2"/>
      <c r="B190" s="4"/>
      <c r="C190" s="18"/>
      <c r="E190" s="20">
        <v>45463</v>
      </c>
      <c r="F190" s="17" t="s">
        <v>203</v>
      </c>
      <c r="G190" s="21">
        <v>14</v>
      </c>
      <c r="H190" s="21">
        <v>18.5</v>
      </c>
      <c r="I190" s="25">
        <v>0.11339911339911349</v>
      </c>
      <c r="J190" s="21">
        <v>0</v>
      </c>
      <c r="K190" s="21">
        <v>0</v>
      </c>
      <c r="L190" s="21">
        <v>1.0175000000000001</v>
      </c>
      <c r="M190" s="17" t="s">
        <v>122</v>
      </c>
      <c r="N190" s="17" t="s">
        <v>116</v>
      </c>
      <c r="O190" s="21">
        <v>1.5</v>
      </c>
      <c r="P190" s="21">
        <v>1.0175000000000001</v>
      </c>
      <c r="Q190" s="21">
        <v>17</v>
      </c>
    </row>
    <row r="191" spans="1:17" ht="16.5" x14ac:dyDescent="0.25">
      <c r="A191" s="2"/>
      <c r="B191" s="4"/>
      <c r="C191" s="18"/>
      <c r="E191" s="20">
        <v>45463</v>
      </c>
      <c r="F191" s="17" t="s">
        <v>203</v>
      </c>
      <c r="G191" s="21">
        <v>14</v>
      </c>
      <c r="H191" s="21">
        <v>16</v>
      </c>
      <c r="I191" s="25">
        <v>0.125</v>
      </c>
      <c r="J191" s="21">
        <v>0</v>
      </c>
      <c r="K191" s="21">
        <v>0.3584</v>
      </c>
      <c r="L191" s="21">
        <v>0</v>
      </c>
      <c r="M191" s="17" t="s">
        <v>113</v>
      </c>
      <c r="N191" s="17" t="s">
        <v>115</v>
      </c>
      <c r="O191" s="21">
        <v>0</v>
      </c>
      <c r="P191" s="21">
        <v>0</v>
      </c>
      <c r="Q191" s="21">
        <v>16</v>
      </c>
    </row>
    <row r="192" spans="1:17" ht="16.5" x14ac:dyDescent="0.25">
      <c r="A192" s="2"/>
      <c r="B192" s="4"/>
      <c r="C192" s="18"/>
      <c r="E192" s="20">
        <v>45463</v>
      </c>
      <c r="F192" s="17" t="s">
        <v>95</v>
      </c>
      <c r="G192" s="21">
        <v>6.8208000000000002</v>
      </c>
      <c r="H192" s="21">
        <v>11</v>
      </c>
      <c r="I192" s="25">
        <v>0.17057650702074403</v>
      </c>
      <c r="J192" s="21">
        <v>0</v>
      </c>
      <c r="K192" s="21">
        <v>0.1792</v>
      </c>
      <c r="L192" s="21">
        <v>1.3199999999999998</v>
      </c>
      <c r="M192" s="17" t="s">
        <v>122</v>
      </c>
      <c r="N192" s="17" t="s">
        <v>117</v>
      </c>
      <c r="O192" s="21">
        <v>1</v>
      </c>
      <c r="P192" s="21">
        <v>1.5708000000000002</v>
      </c>
      <c r="Q192" s="21">
        <v>10</v>
      </c>
    </row>
    <row r="193" spans="1:17" ht="16.5" x14ac:dyDescent="0.25">
      <c r="A193" s="2"/>
      <c r="B193" s="4"/>
      <c r="C193" s="18"/>
      <c r="E193" s="20">
        <v>45463</v>
      </c>
      <c r="F193" s="17" t="s">
        <v>95</v>
      </c>
      <c r="G193" s="21">
        <v>7</v>
      </c>
      <c r="H193" s="21">
        <v>10</v>
      </c>
      <c r="I193" s="25">
        <v>0.15343915343915338</v>
      </c>
      <c r="J193" s="21">
        <v>0</v>
      </c>
      <c r="K193" s="21">
        <v>0</v>
      </c>
      <c r="L193" s="21">
        <v>0.55000000000000004</v>
      </c>
      <c r="M193" s="17" t="s">
        <v>122</v>
      </c>
      <c r="N193" s="17" t="s">
        <v>116</v>
      </c>
      <c r="O193" s="21">
        <v>1</v>
      </c>
      <c r="P193" s="21">
        <v>0.55000000000000004</v>
      </c>
      <c r="Q193" s="21">
        <v>9</v>
      </c>
    </row>
    <row r="194" spans="1:17" ht="16.5" x14ac:dyDescent="0.25">
      <c r="A194" s="2"/>
      <c r="B194" s="4"/>
      <c r="C194" s="18"/>
      <c r="E194" s="20">
        <v>45463</v>
      </c>
      <c r="F194" s="17" t="s">
        <v>95</v>
      </c>
      <c r="G194" s="21">
        <v>7</v>
      </c>
      <c r="H194" s="21">
        <v>8.5</v>
      </c>
      <c r="I194" s="25">
        <v>0.17647058823529413</v>
      </c>
      <c r="J194" s="21">
        <v>0</v>
      </c>
      <c r="K194" s="21">
        <v>0.1792</v>
      </c>
      <c r="L194" s="21">
        <v>0</v>
      </c>
      <c r="M194" s="17" t="s">
        <v>113</v>
      </c>
      <c r="N194" s="17" t="s">
        <v>115</v>
      </c>
      <c r="O194" s="21">
        <v>0</v>
      </c>
      <c r="P194" s="21">
        <v>0</v>
      </c>
      <c r="Q194" s="21">
        <v>8.5</v>
      </c>
    </row>
    <row r="195" spans="1:17" ht="16.5" x14ac:dyDescent="0.25">
      <c r="A195" s="2"/>
      <c r="B195" s="4"/>
      <c r="C195" s="18"/>
      <c r="E195" s="20">
        <v>45463</v>
      </c>
      <c r="F195" s="17" t="s">
        <v>94</v>
      </c>
      <c r="G195" s="21">
        <v>3.4104000000000001</v>
      </c>
      <c r="H195" s="21">
        <v>6.5</v>
      </c>
      <c r="I195" s="25">
        <v>0.22639003553609241</v>
      </c>
      <c r="J195" s="21">
        <v>0</v>
      </c>
      <c r="K195" s="21">
        <v>8.9599999999999999E-2</v>
      </c>
      <c r="L195" s="21">
        <v>0.78</v>
      </c>
      <c r="M195" s="17" t="s">
        <v>122</v>
      </c>
      <c r="N195" s="17" t="s">
        <v>117</v>
      </c>
      <c r="O195" s="21">
        <v>0.9</v>
      </c>
      <c r="P195" s="21">
        <v>0.92820000000000003</v>
      </c>
      <c r="Q195" s="21">
        <v>5.6</v>
      </c>
    </row>
    <row r="196" spans="1:17" ht="16.5" x14ac:dyDescent="0.25">
      <c r="A196" s="2"/>
      <c r="B196" s="4"/>
      <c r="C196" s="18"/>
      <c r="E196" s="20">
        <v>45463</v>
      </c>
      <c r="F196" s="17" t="s">
        <v>94</v>
      </c>
      <c r="G196" s="21">
        <v>3.5</v>
      </c>
      <c r="H196" s="21">
        <v>5.8</v>
      </c>
      <c r="I196" s="25">
        <v>0.19722678343367997</v>
      </c>
      <c r="J196" s="21">
        <v>0</v>
      </c>
      <c r="K196" s="21">
        <v>0</v>
      </c>
      <c r="L196" s="21">
        <v>0.31900000000000001</v>
      </c>
      <c r="M196" s="17" t="s">
        <v>122</v>
      </c>
      <c r="N196" s="17" t="s">
        <v>116</v>
      </c>
      <c r="O196" s="21">
        <v>0.9</v>
      </c>
      <c r="P196" s="21">
        <v>0.31900000000000001</v>
      </c>
      <c r="Q196" s="21">
        <v>4.9000000000000004</v>
      </c>
    </row>
    <row r="197" spans="1:17" ht="16.5" x14ac:dyDescent="0.25">
      <c r="A197" s="2"/>
      <c r="B197" s="4"/>
      <c r="C197" s="18"/>
      <c r="E197" s="20">
        <v>45463</v>
      </c>
      <c r="F197" s="17" t="s">
        <v>94</v>
      </c>
      <c r="G197" s="21">
        <v>3.5</v>
      </c>
      <c r="H197" s="21">
        <v>4.7</v>
      </c>
      <c r="I197" s="25">
        <v>0.25531914893617025</v>
      </c>
      <c r="J197" s="21">
        <v>0</v>
      </c>
      <c r="K197" s="21">
        <v>8.9599999999999999E-2</v>
      </c>
      <c r="L197" s="21">
        <v>0</v>
      </c>
      <c r="M197" s="17" t="s">
        <v>113</v>
      </c>
      <c r="N197" s="17" t="s">
        <v>115</v>
      </c>
      <c r="O197" s="21">
        <v>0</v>
      </c>
      <c r="P197" s="21">
        <v>0</v>
      </c>
      <c r="Q197" s="21">
        <v>4.7</v>
      </c>
    </row>
    <row r="198" spans="1:17" ht="16.5" x14ac:dyDescent="0.25">
      <c r="A198" s="2"/>
      <c r="B198" s="4"/>
      <c r="C198" s="18"/>
      <c r="E198" s="20">
        <v>45460</v>
      </c>
      <c r="F198" s="17" t="s">
        <v>184</v>
      </c>
      <c r="G198" s="21">
        <v>9.5442483292629774</v>
      </c>
      <c r="H198" s="21">
        <v>16.5</v>
      </c>
      <c r="I198" s="25">
        <v>8.0253169587582537E-2</v>
      </c>
      <c r="J198" s="21">
        <v>0</v>
      </c>
      <c r="K198" s="21">
        <v>0.88114583333333329</v>
      </c>
      <c r="L198" s="21">
        <v>2.9699999999999998</v>
      </c>
      <c r="M198" s="17" t="s">
        <v>122</v>
      </c>
      <c r="N198" s="17" t="s">
        <v>117</v>
      </c>
      <c r="O198" s="21">
        <v>2</v>
      </c>
      <c r="P198" s="21">
        <v>3.9484500000000002</v>
      </c>
      <c r="Q198" s="21">
        <v>14.5</v>
      </c>
    </row>
    <row r="199" spans="1:17" ht="16.5" x14ac:dyDescent="0.25">
      <c r="A199" s="2"/>
      <c r="B199" s="4"/>
      <c r="C199" s="18"/>
      <c r="E199" s="20">
        <v>45460</v>
      </c>
      <c r="F199" s="17" t="s">
        <v>186</v>
      </c>
      <c r="G199" s="21">
        <v>9.0942483292629781</v>
      </c>
      <c r="H199" s="21">
        <v>15.5</v>
      </c>
      <c r="I199" s="25">
        <v>5.9079851811957657E-2</v>
      </c>
      <c r="J199" s="21">
        <v>0</v>
      </c>
      <c r="K199" s="21">
        <v>0.58114583333333336</v>
      </c>
      <c r="L199" s="21">
        <v>2.79</v>
      </c>
      <c r="M199" s="17" t="s">
        <v>122</v>
      </c>
      <c r="N199" s="17" t="s">
        <v>117</v>
      </c>
      <c r="O199" s="21">
        <v>2</v>
      </c>
      <c r="P199" s="21">
        <v>3.7091500000000002</v>
      </c>
      <c r="Q199" s="21">
        <v>13.5</v>
      </c>
    </row>
    <row r="200" spans="1:17" ht="16.5" x14ac:dyDescent="0.25">
      <c r="A200" s="2"/>
      <c r="B200" s="4"/>
      <c r="C200" s="18"/>
      <c r="E200" s="20">
        <v>45460</v>
      </c>
      <c r="F200" s="17" t="s">
        <v>186</v>
      </c>
      <c r="G200" s="21">
        <v>9.0942483292629781</v>
      </c>
      <c r="H200" s="21">
        <v>15.5</v>
      </c>
      <c r="I200" s="25">
        <v>5.9079851811957657E-2</v>
      </c>
      <c r="J200" s="21">
        <v>0</v>
      </c>
      <c r="K200" s="21">
        <v>0.58114583333333336</v>
      </c>
      <c r="L200" s="21">
        <v>2.79</v>
      </c>
      <c r="M200" s="17" t="s">
        <v>122</v>
      </c>
      <c r="N200" s="17" t="s">
        <v>117</v>
      </c>
      <c r="O200" s="21">
        <v>2</v>
      </c>
      <c r="P200" s="21">
        <v>3.7091500000000002</v>
      </c>
      <c r="Q200" s="21">
        <v>13.5</v>
      </c>
    </row>
    <row r="201" spans="1:17" ht="16.5" x14ac:dyDescent="0.25">
      <c r="A201" s="2"/>
      <c r="B201" s="4"/>
      <c r="C201" s="18"/>
      <c r="E201" s="20">
        <v>45460</v>
      </c>
      <c r="F201" s="17" t="s">
        <v>185</v>
      </c>
      <c r="G201" s="21">
        <v>4.2227556089835003</v>
      </c>
      <c r="H201" s="21">
        <v>9</v>
      </c>
      <c r="I201" s="25">
        <v>0.23714187093999667</v>
      </c>
      <c r="J201" s="21">
        <v>0</v>
      </c>
      <c r="K201" s="21">
        <v>0.44057291666666665</v>
      </c>
      <c r="L201" s="21">
        <v>1.6199999999999999</v>
      </c>
      <c r="M201" s="17" t="s">
        <v>122</v>
      </c>
      <c r="N201" s="17" t="s">
        <v>117</v>
      </c>
      <c r="O201" s="21">
        <v>1</v>
      </c>
      <c r="P201" s="21">
        <v>2.1537000000000002</v>
      </c>
      <c r="Q201" s="21">
        <v>8</v>
      </c>
    </row>
    <row r="202" spans="1:17" ht="16.5" x14ac:dyDescent="0.25">
      <c r="A202" s="2"/>
      <c r="B202" s="4"/>
      <c r="C202" s="18"/>
      <c r="E202" s="20">
        <v>45460</v>
      </c>
      <c r="F202" s="17" t="s">
        <v>184</v>
      </c>
      <c r="G202" s="21">
        <v>9.5442483292629774</v>
      </c>
      <c r="H202" s="21">
        <v>16</v>
      </c>
      <c r="I202" s="25">
        <v>5.1511081137194492E-2</v>
      </c>
      <c r="J202" s="21">
        <v>0</v>
      </c>
      <c r="K202" s="21">
        <v>0.88114583333333329</v>
      </c>
      <c r="L202" s="21">
        <v>2.88</v>
      </c>
      <c r="M202" s="17" t="s">
        <v>122</v>
      </c>
      <c r="N202" s="17" t="s">
        <v>117</v>
      </c>
      <c r="O202" s="21">
        <v>2</v>
      </c>
      <c r="P202" s="21">
        <v>3.8288000000000002</v>
      </c>
      <c r="Q202" s="21">
        <v>14</v>
      </c>
    </row>
    <row r="203" spans="1:17" ht="16.5" x14ac:dyDescent="0.25">
      <c r="A203" s="2"/>
      <c r="B203" s="4"/>
      <c r="C203" s="18"/>
      <c r="E203" s="20">
        <v>45460</v>
      </c>
      <c r="F203" s="17" t="s">
        <v>88</v>
      </c>
      <c r="G203" s="21">
        <v>8.1038316625963134</v>
      </c>
      <c r="H203" s="21">
        <v>14</v>
      </c>
      <c r="I203" s="25">
        <v>0.17112408221658162</v>
      </c>
      <c r="J203" s="21">
        <v>0</v>
      </c>
      <c r="K203" s="21">
        <v>0.46739583333333334</v>
      </c>
      <c r="L203" s="21">
        <v>0.98000000000000009</v>
      </c>
      <c r="M203" s="17" t="s">
        <v>122</v>
      </c>
      <c r="N203" s="17" t="s">
        <v>117</v>
      </c>
      <c r="O203" s="21">
        <v>2</v>
      </c>
      <c r="P203" s="21">
        <v>1.8102</v>
      </c>
      <c r="Q203" s="21">
        <v>12</v>
      </c>
    </row>
    <row r="204" spans="1:17" ht="16.5" x14ac:dyDescent="0.25">
      <c r="A204" s="2"/>
      <c r="B204" s="4"/>
      <c r="C204" s="18"/>
      <c r="E204" s="20">
        <v>45460</v>
      </c>
      <c r="F204" s="17" t="s">
        <v>88</v>
      </c>
      <c r="G204" s="21">
        <v>8.5712274959296462</v>
      </c>
      <c r="H204" s="21">
        <v>11.5</v>
      </c>
      <c r="I204" s="25">
        <v>0.25467586991916119</v>
      </c>
      <c r="J204" s="21">
        <v>0</v>
      </c>
      <c r="K204" s="21">
        <v>0.46739583333333334</v>
      </c>
      <c r="L204" s="21">
        <v>0</v>
      </c>
      <c r="M204" s="17" t="s">
        <v>113</v>
      </c>
      <c r="N204" s="17" t="s">
        <v>115</v>
      </c>
      <c r="O204" s="21">
        <v>0</v>
      </c>
      <c r="P204" s="21">
        <v>0</v>
      </c>
      <c r="Q204" s="21">
        <v>11.5</v>
      </c>
    </row>
    <row r="205" spans="1:17" ht="16.5" x14ac:dyDescent="0.25">
      <c r="A205" s="2"/>
      <c r="B205" s="4"/>
      <c r="C205" s="18"/>
      <c r="E205" s="20">
        <v>45460</v>
      </c>
      <c r="F205" s="17" t="s">
        <v>88</v>
      </c>
      <c r="G205" s="21">
        <v>8.1038316625963134</v>
      </c>
      <c r="H205" s="21">
        <v>11.5</v>
      </c>
      <c r="I205" s="25">
        <v>0.16601898586119013</v>
      </c>
      <c r="J205" s="21">
        <v>0</v>
      </c>
      <c r="K205" s="21">
        <v>0.46739583333333334</v>
      </c>
      <c r="L205" s="21">
        <v>0.80500000000000005</v>
      </c>
      <c r="M205" s="17" t="s">
        <v>113</v>
      </c>
      <c r="N205" s="17" t="s">
        <v>117</v>
      </c>
      <c r="O205" s="21">
        <v>0</v>
      </c>
      <c r="P205" s="21">
        <v>1.48695</v>
      </c>
      <c r="Q205" s="21">
        <v>11.5</v>
      </c>
    </row>
    <row r="206" spans="1:17" ht="16.5" x14ac:dyDescent="0.25">
      <c r="A206" s="2"/>
      <c r="B206" s="4"/>
      <c r="C206" s="18"/>
      <c r="E206" s="20">
        <v>45460</v>
      </c>
      <c r="F206" s="17" t="s">
        <v>87</v>
      </c>
      <c r="G206" s="21">
        <v>3.9120472756501679</v>
      </c>
      <c r="H206" s="21">
        <v>8.5</v>
      </c>
      <c r="I206" s="25">
        <v>0.33629503298222957</v>
      </c>
      <c r="J206" s="21">
        <v>0</v>
      </c>
      <c r="K206" s="21">
        <v>0.42419791666666667</v>
      </c>
      <c r="L206" s="21">
        <v>0.59500000000000008</v>
      </c>
      <c r="M206" s="17" t="s">
        <v>122</v>
      </c>
      <c r="N206" s="17" t="s">
        <v>117</v>
      </c>
      <c r="O206" s="21">
        <v>1</v>
      </c>
      <c r="P206" s="21">
        <v>1.0990500000000001</v>
      </c>
      <c r="Q206" s="21">
        <v>7.5</v>
      </c>
    </row>
    <row r="207" spans="1:17" ht="16.5" x14ac:dyDescent="0.25">
      <c r="A207" s="2"/>
      <c r="B207" s="4"/>
      <c r="C207" s="18"/>
      <c r="E207" s="20">
        <v>45460</v>
      </c>
      <c r="F207" s="17" t="s">
        <v>87</v>
      </c>
      <c r="G207" s="21">
        <v>4.3362451923168344</v>
      </c>
      <c r="H207" s="21">
        <v>7</v>
      </c>
      <c r="I207" s="25">
        <v>0.38053640109759507</v>
      </c>
      <c r="J207" s="21">
        <v>0</v>
      </c>
      <c r="K207" s="21">
        <v>0.42419791666666667</v>
      </c>
      <c r="L207" s="21">
        <v>0</v>
      </c>
      <c r="M207" s="17" t="s">
        <v>113</v>
      </c>
      <c r="N207" s="17" t="s">
        <v>115</v>
      </c>
      <c r="O207" s="21">
        <v>0</v>
      </c>
      <c r="P207" s="21">
        <v>0</v>
      </c>
      <c r="Q207" s="21">
        <v>7</v>
      </c>
    </row>
    <row r="208" spans="1:17" ht="16.5" x14ac:dyDescent="0.25">
      <c r="A208" s="2"/>
      <c r="B208" s="4"/>
      <c r="C208" s="18"/>
      <c r="E208" s="20">
        <v>45460</v>
      </c>
      <c r="F208" s="17" t="s">
        <v>87</v>
      </c>
      <c r="G208" s="21">
        <v>4.3362451923168344</v>
      </c>
      <c r="H208" s="21">
        <v>7</v>
      </c>
      <c r="I208" s="25">
        <v>0.38053640109759507</v>
      </c>
      <c r="J208" s="21">
        <v>0</v>
      </c>
      <c r="K208" s="21">
        <v>0.42419791666666667</v>
      </c>
      <c r="L208" s="21">
        <v>0</v>
      </c>
      <c r="M208" s="17" t="s">
        <v>122</v>
      </c>
      <c r="N208" s="17" t="s">
        <v>115</v>
      </c>
      <c r="O208" s="21">
        <v>0</v>
      </c>
      <c r="P208" s="21">
        <v>0</v>
      </c>
      <c r="Q208" s="21">
        <v>7</v>
      </c>
    </row>
    <row r="209" spans="1:17" ht="16.5" x14ac:dyDescent="0.25">
      <c r="A209" s="2"/>
      <c r="B209" s="4"/>
      <c r="C209" s="18"/>
      <c r="E209" s="20">
        <v>45460</v>
      </c>
      <c r="F209" s="17" t="s">
        <v>203</v>
      </c>
      <c r="G209" s="21">
        <v>13</v>
      </c>
      <c r="H209" s="21">
        <v>17.5</v>
      </c>
      <c r="I209" s="25">
        <v>0.12320483749055185</v>
      </c>
      <c r="J209" s="21">
        <v>0</v>
      </c>
      <c r="K209" s="21">
        <v>0</v>
      </c>
      <c r="L209" s="21">
        <v>0.96250000000000002</v>
      </c>
      <c r="M209" s="17" t="s">
        <v>113</v>
      </c>
      <c r="N209" s="17" t="s">
        <v>116</v>
      </c>
      <c r="O209" s="21">
        <v>1.5</v>
      </c>
      <c r="P209" s="21">
        <v>0.96250000000000002</v>
      </c>
      <c r="Q209" s="21">
        <v>16</v>
      </c>
    </row>
    <row r="210" spans="1:17" ht="16.5" x14ac:dyDescent="0.25">
      <c r="A210" s="2"/>
      <c r="B210" s="4"/>
      <c r="C210" s="18"/>
      <c r="E210" s="20">
        <v>45460</v>
      </c>
      <c r="F210" s="17" t="s">
        <v>87</v>
      </c>
      <c r="G210" s="21">
        <v>4.3362451923168344</v>
      </c>
      <c r="H210" s="21">
        <v>7</v>
      </c>
      <c r="I210" s="25">
        <v>0.38053640109759507</v>
      </c>
      <c r="J210" s="21">
        <v>0</v>
      </c>
      <c r="K210" s="21">
        <v>0.42419791666666667</v>
      </c>
      <c r="L210" s="21">
        <v>0</v>
      </c>
      <c r="M210" s="17" t="s">
        <v>122</v>
      </c>
      <c r="N210" s="17" t="s">
        <v>115</v>
      </c>
      <c r="O210" s="21">
        <v>0</v>
      </c>
      <c r="P210" s="21">
        <v>0</v>
      </c>
      <c r="Q210" s="21">
        <v>7</v>
      </c>
    </row>
    <row r="211" spans="1:17" ht="16.5" x14ac:dyDescent="0.25">
      <c r="A211" s="2"/>
      <c r="B211" s="4"/>
      <c r="C211" s="18"/>
      <c r="E211" s="20">
        <v>45460</v>
      </c>
      <c r="F211" s="17" t="s">
        <v>86</v>
      </c>
      <c r="G211" s="21">
        <v>8.9228316625963124</v>
      </c>
      <c r="H211" s="21">
        <v>15</v>
      </c>
      <c r="I211" s="25">
        <v>0.16367431089190207</v>
      </c>
      <c r="J211" s="21">
        <v>0</v>
      </c>
      <c r="K211" s="21">
        <v>0.84839583333333335</v>
      </c>
      <c r="L211" s="21">
        <v>1.05</v>
      </c>
      <c r="M211" s="17" t="s">
        <v>122</v>
      </c>
      <c r="N211" s="17" t="s">
        <v>117</v>
      </c>
      <c r="O211" s="21">
        <v>2</v>
      </c>
      <c r="P211" s="21">
        <v>1.9395</v>
      </c>
      <c r="Q211" s="21">
        <v>13</v>
      </c>
    </row>
    <row r="212" spans="1:17" ht="16.5" x14ac:dyDescent="0.25">
      <c r="A212" s="2"/>
      <c r="B212" s="4"/>
      <c r="C212" s="18"/>
      <c r="E212" s="20">
        <v>45460</v>
      </c>
      <c r="F212" s="17" t="s">
        <v>86</v>
      </c>
      <c r="G212" s="21">
        <v>9.7712274959296455</v>
      </c>
      <c r="H212" s="21">
        <v>12.5</v>
      </c>
      <c r="I212" s="25">
        <v>0.21830180032562838</v>
      </c>
      <c r="J212" s="21">
        <v>0</v>
      </c>
      <c r="K212" s="21">
        <v>0.84839583333333335</v>
      </c>
      <c r="L212" s="21">
        <v>0</v>
      </c>
      <c r="M212" s="17" t="s">
        <v>113</v>
      </c>
      <c r="N212" s="17" t="s">
        <v>115</v>
      </c>
      <c r="O212" s="21">
        <v>0</v>
      </c>
      <c r="P212" s="21">
        <v>0</v>
      </c>
      <c r="Q212" s="21">
        <v>12.5</v>
      </c>
    </row>
    <row r="213" spans="1:17" ht="16.5" x14ac:dyDescent="0.25">
      <c r="A213" s="2"/>
      <c r="B213" s="4"/>
      <c r="C213" s="18"/>
      <c r="E213" s="20">
        <v>45460</v>
      </c>
      <c r="F213" s="17" t="s">
        <v>203</v>
      </c>
      <c r="G213" s="21">
        <v>13</v>
      </c>
      <c r="H213" s="21">
        <v>17.5</v>
      </c>
      <c r="I213" s="25">
        <v>0.12320483749055185</v>
      </c>
      <c r="J213" s="21">
        <v>0</v>
      </c>
      <c r="K213" s="21">
        <v>0</v>
      </c>
      <c r="L213" s="21">
        <v>0.96250000000000002</v>
      </c>
      <c r="M213" s="17" t="s">
        <v>122</v>
      </c>
      <c r="N213" s="17" t="s">
        <v>116</v>
      </c>
      <c r="O213" s="21">
        <v>1.5</v>
      </c>
      <c r="P213" s="21">
        <v>0.96250000000000002</v>
      </c>
      <c r="Q213" s="21">
        <v>16</v>
      </c>
    </row>
    <row r="214" spans="1:17" ht="16.5" x14ac:dyDescent="0.25">
      <c r="A214" s="2"/>
      <c r="B214" s="4"/>
      <c r="C214" s="18"/>
      <c r="E214" s="20">
        <v>45460</v>
      </c>
      <c r="F214" s="17" t="s">
        <v>203</v>
      </c>
      <c r="G214" s="21">
        <v>12.667199999999999</v>
      </c>
      <c r="H214" s="21">
        <v>19</v>
      </c>
      <c r="I214" s="25">
        <v>0.13014220104624605</v>
      </c>
      <c r="J214" s="21">
        <v>0</v>
      </c>
      <c r="K214" s="21">
        <v>0.33280000000000004</v>
      </c>
      <c r="L214" s="21">
        <v>2.2799999999999998</v>
      </c>
      <c r="M214" s="17" t="s">
        <v>122</v>
      </c>
      <c r="N214" s="17" t="s">
        <v>117</v>
      </c>
      <c r="O214" s="21">
        <v>1.5</v>
      </c>
      <c r="P214" s="21">
        <v>2.7132000000000001</v>
      </c>
      <c r="Q214" s="21">
        <v>17.5</v>
      </c>
    </row>
    <row r="215" spans="1:17" ht="16.5" x14ac:dyDescent="0.25">
      <c r="A215" s="2"/>
      <c r="B215" s="4"/>
      <c r="C215" s="18"/>
      <c r="E215" s="20">
        <v>45460</v>
      </c>
      <c r="F215" s="17" t="s">
        <v>95</v>
      </c>
      <c r="G215" s="21">
        <v>6.3335999999999997</v>
      </c>
      <c r="H215" s="21">
        <v>10.5</v>
      </c>
      <c r="I215" s="25">
        <v>0.18520987489722915</v>
      </c>
      <c r="J215" s="21">
        <v>0</v>
      </c>
      <c r="K215" s="21">
        <v>0.16640000000000002</v>
      </c>
      <c r="L215" s="21">
        <v>1.26</v>
      </c>
      <c r="M215" s="17" t="s">
        <v>122</v>
      </c>
      <c r="N215" s="17" t="s">
        <v>117</v>
      </c>
      <c r="O215" s="21">
        <v>1</v>
      </c>
      <c r="P215" s="21">
        <v>1.4994000000000001</v>
      </c>
      <c r="Q215" s="21">
        <v>9.5</v>
      </c>
    </row>
    <row r="216" spans="1:17" ht="16.5" x14ac:dyDescent="0.25">
      <c r="A216" s="2"/>
      <c r="B216" s="4"/>
      <c r="C216" s="18"/>
      <c r="E216" s="20">
        <v>45460</v>
      </c>
      <c r="F216" s="17" t="s">
        <v>95</v>
      </c>
      <c r="G216" s="21">
        <v>6.5</v>
      </c>
      <c r="H216" s="21">
        <v>9.5</v>
      </c>
      <c r="I216" s="25">
        <v>0.16457811194653291</v>
      </c>
      <c r="J216" s="21">
        <v>0</v>
      </c>
      <c r="K216" s="21">
        <v>0</v>
      </c>
      <c r="L216" s="21">
        <v>0.52249999999999996</v>
      </c>
      <c r="M216" s="17" t="s">
        <v>122</v>
      </c>
      <c r="N216" s="17" t="s">
        <v>116</v>
      </c>
      <c r="O216" s="21">
        <v>1</v>
      </c>
      <c r="P216" s="21">
        <v>0.52249999999999996</v>
      </c>
      <c r="Q216" s="21">
        <v>8.5</v>
      </c>
    </row>
    <row r="217" spans="1:17" ht="16.5" x14ac:dyDescent="0.25">
      <c r="A217" s="2"/>
      <c r="B217" s="4"/>
      <c r="C217" s="18"/>
      <c r="E217" s="20">
        <v>45460</v>
      </c>
      <c r="F217" s="17" t="s">
        <v>94</v>
      </c>
      <c r="G217" s="21">
        <v>3.25</v>
      </c>
      <c r="H217" s="21">
        <v>5.5</v>
      </c>
      <c r="I217" s="25">
        <v>0.20153920153920152</v>
      </c>
      <c r="J217" s="21">
        <v>0</v>
      </c>
      <c r="K217" s="21">
        <v>0</v>
      </c>
      <c r="L217" s="21">
        <v>0.30249999999999999</v>
      </c>
      <c r="M217" s="17" t="s">
        <v>122</v>
      </c>
      <c r="N217" s="17" t="s">
        <v>116</v>
      </c>
      <c r="O217" s="21">
        <v>0.9</v>
      </c>
      <c r="P217" s="21">
        <v>0.30249999999999999</v>
      </c>
      <c r="Q217" s="21">
        <v>4.5999999999999996</v>
      </c>
    </row>
    <row r="218" spans="1:17" ht="16.5" x14ac:dyDescent="0.25">
      <c r="A218" s="2"/>
      <c r="B218" s="4"/>
      <c r="C218" s="18"/>
      <c r="E218" s="20">
        <v>45460</v>
      </c>
      <c r="F218" s="17" t="s">
        <v>94</v>
      </c>
      <c r="G218" s="21">
        <v>3.1667999999999998</v>
      </c>
      <c r="H218" s="21">
        <v>6</v>
      </c>
      <c r="I218" s="25">
        <v>0.20928604759682695</v>
      </c>
      <c r="J218" s="21">
        <v>0</v>
      </c>
      <c r="K218" s="21">
        <v>8.320000000000001E-2</v>
      </c>
      <c r="L218" s="21">
        <v>0.72</v>
      </c>
      <c r="M218" s="17" t="s">
        <v>122</v>
      </c>
      <c r="N218" s="17" t="s">
        <v>117</v>
      </c>
      <c r="O218" s="21">
        <v>0.9</v>
      </c>
      <c r="P218" s="21">
        <v>0.85680000000000001</v>
      </c>
      <c r="Q218" s="21">
        <v>5.0999999999999996</v>
      </c>
    </row>
    <row r="219" spans="1:17" ht="16.5" x14ac:dyDescent="0.25">
      <c r="A219" s="2"/>
      <c r="B219" s="4"/>
      <c r="C219" s="18"/>
      <c r="E219" s="20">
        <v>45460</v>
      </c>
      <c r="F219" s="17" t="s">
        <v>94</v>
      </c>
      <c r="G219" s="21">
        <v>3.25</v>
      </c>
      <c r="H219" s="21">
        <v>5.5</v>
      </c>
      <c r="I219" s="25">
        <v>0.18229918229918227</v>
      </c>
      <c r="J219" s="21">
        <v>0</v>
      </c>
      <c r="K219" s="21">
        <v>0</v>
      </c>
      <c r="L219" s="21">
        <v>0.30249999999999999</v>
      </c>
      <c r="M219" s="17" t="s">
        <v>122</v>
      </c>
      <c r="N219" s="17" t="s">
        <v>116</v>
      </c>
      <c r="O219" s="21">
        <v>1</v>
      </c>
      <c r="P219" s="21">
        <v>0.30249999999999999</v>
      </c>
      <c r="Q219" s="21">
        <v>4.5</v>
      </c>
    </row>
    <row r="220" spans="1:17" ht="16.5" x14ac:dyDescent="0.25">
      <c r="A220" s="2"/>
      <c r="B220" s="4"/>
      <c r="C220" s="18"/>
      <c r="E220" s="20">
        <v>45460</v>
      </c>
      <c r="F220" s="17" t="s">
        <v>203</v>
      </c>
      <c r="G220" s="21">
        <v>13</v>
      </c>
      <c r="H220" s="21">
        <v>15</v>
      </c>
      <c r="I220" s="25">
        <v>0.13333333333333333</v>
      </c>
      <c r="J220" s="21">
        <v>0</v>
      </c>
      <c r="K220" s="21">
        <v>0.33280000000000004</v>
      </c>
      <c r="L220" s="21">
        <v>0</v>
      </c>
      <c r="M220" s="17" t="s">
        <v>113</v>
      </c>
      <c r="N220" s="17" t="s">
        <v>115</v>
      </c>
      <c r="O220" s="21">
        <v>0</v>
      </c>
      <c r="P220" s="21">
        <v>0</v>
      </c>
      <c r="Q220" s="21">
        <v>15</v>
      </c>
    </row>
    <row r="221" spans="1:17" ht="16.5" x14ac:dyDescent="0.25">
      <c r="A221" s="2"/>
      <c r="B221" s="4"/>
      <c r="C221" s="18"/>
      <c r="E221" s="20">
        <v>45460</v>
      </c>
      <c r="F221" s="17" t="s">
        <v>95</v>
      </c>
      <c r="G221" s="21">
        <v>6.5</v>
      </c>
      <c r="H221" s="21">
        <v>8</v>
      </c>
      <c r="I221" s="25">
        <v>0.1875</v>
      </c>
      <c r="J221" s="21">
        <v>0</v>
      </c>
      <c r="K221" s="21">
        <v>0.16640000000000002</v>
      </c>
      <c r="L221" s="21">
        <v>0</v>
      </c>
      <c r="M221" s="17" t="s">
        <v>113</v>
      </c>
      <c r="N221" s="17" t="s">
        <v>115</v>
      </c>
      <c r="O221" s="21">
        <v>0</v>
      </c>
      <c r="P221" s="21">
        <v>0</v>
      </c>
      <c r="Q221" s="21">
        <v>8</v>
      </c>
    </row>
    <row r="222" spans="1:17" ht="16.5" x14ac:dyDescent="0.25">
      <c r="A222" s="2"/>
      <c r="B222" s="4"/>
      <c r="C222" s="18"/>
      <c r="E222" s="20">
        <v>45460</v>
      </c>
      <c r="F222" s="17" t="s">
        <v>94</v>
      </c>
      <c r="G222" s="21">
        <v>3.25</v>
      </c>
      <c r="H222" s="21">
        <v>4.5</v>
      </c>
      <c r="I222" s="25">
        <v>0.27777777777777779</v>
      </c>
      <c r="J222" s="21">
        <v>0</v>
      </c>
      <c r="K222" s="21">
        <v>8.320000000000001E-2</v>
      </c>
      <c r="L222" s="21">
        <v>0</v>
      </c>
      <c r="M222" s="17" t="s">
        <v>113</v>
      </c>
      <c r="N222" s="17" t="s">
        <v>115</v>
      </c>
      <c r="O222" s="21">
        <v>0</v>
      </c>
      <c r="P222" s="21">
        <v>0</v>
      </c>
      <c r="Q222" s="21">
        <v>4.5</v>
      </c>
    </row>
    <row r="223" spans="1:17" ht="16.5" x14ac:dyDescent="0.25">
      <c r="A223" s="2"/>
      <c r="B223" s="4"/>
      <c r="C223" s="18"/>
      <c r="E223" s="20">
        <v>45460</v>
      </c>
      <c r="F223" s="17" t="s">
        <v>94</v>
      </c>
      <c r="G223" s="21">
        <v>3.25</v>
      </c>
      <c r="H223" s="21">
        <v>4.5</v>
      </c>
      <c r="I223" s="25">
        <v>0.27777777777777779</v>
      </c>
      <c r="J223" s="21">
        <v>0</v>
      </c>
      <c r="K223" s="21">
        <v>8.320000000000001E-2</v>
      </c>
      <c r="L223" s="21">
        <v>0</v>
      </c>
      <c r="M223" s="17" t="s">
        <v>122</v>
      </c>
      <c r="N223" s="17" t="s">
        <v>115</v>
      </c>
      <c r="O223" s="21">
        <v>0</v>
      </c>
      <c r="P223" s="21">
        <v>0</v>
      </c>
      <c r="Q223" s="21">
        <v>4.5</v>
      </c>
    </row>
    <row r="224" spans="1:17" ht="16.5" x14ac:dyDescent="0.25">
      <c r="A224" s="2"/>
      <c r="B224" s="4"/>
      <c r="C224" s="18"/>
      <c r="E224" s="20">
        <v>45377</v>
      </c>
      <c r="F224" s="17" t="s">
        <v>92</v>
      </c>
      <c r="G224" s="21">
        <v>8.1962500000000009</v>
      </c>
      <c r="H224" s="21">
        <v>13</v>
      </c>
      <c r="I224" s="25">
        <v>9.1183886175966039E-2</v>
      </c>
      <c r="J224" s="21">
        <v>0</v>
      </c>
      <c r="K224" s="21">
        <v>0.10375000000000001</v>
      </c>
      <c r="L224" s="21">
        <v>1.56</v>
      </c>
      <c r="M224" s="17" t="s">
        <v>122</v>
      </c>
      <c r="N224" s="17" t="s">
        <v>117</v>
      </c>
      <c r="O224" s="21">
        <v>1.5</v>
      </c>
      <c r="P224" s="21">
        <v>2.3309000000000002</v>
      </c>
      <c r="Q224" s="21">
        <v>11.5</v>
      </c>
    </row>
    <row r="225" spans="1:17" ht="16.5" x14ac:dyDescent="0.25">
      <c r="A225" s="2"/>
      <c r="B225" s="4"/>
      <c r="C225" s="18"/>
      <c r="E225" s="20">
        <v>45377</v>
      </c>
      <c r="F225" s="17" t="s">
        <v>92</v>
      </c>
      <c r="G225" s="21">
        <v>8.3000000000000007</v>
      </c>
      <c r="H225" s="21">
        <v>12</v>
      </c>
      <c r="I225" s="25">
        <v>0.13580246913580241</v>
      </c>
      <c r="J225" s="21">
        <v>0</v>
      </c>
      <c r="K225" s="21">
        <v>0</v>
      </c>
      <c r="L225" s="21">
        <v>0.66</v>
      </c>
      <c r="M225" s="17" t="s">
        <v>122</v>
      </c>
      <c r="N225" s="17" t="s">
        <v>116</v>
      </c>
      <c r="O225" s="21">
        <v>1.5</v>
      </c>
      <c r="P225" s="21">
        <v>0.66</v>
      </c>
      <c r="Q225" s="21">
        <v>10.5</v>
      </c>
    </row>
    <row r="226" spans="1:17" ht="16.5" x14ac:dyDescent="0.25">
      <c r="A226" s="2"/>
      <c r="B226" s="4"/>
      <c r="C226" s="18"/>
      <c r="E226" s="20">
        <v>45377</v>
      </c>
      <c r="F226" s="17" t="s">
        <v>92</v>
      </c>
      <c r="G226" s="21">
        <v>8.3000000000000007</v>
      </c>
      <c r="H226" s="21">
        <v>9.5</v>
      </c>
      <c r="I226" s="25">
        <v>0.12631578947368413</v>
      </c>
      <c r="J226" s="21">
        <v>0</v>
      </c>
      <c r="K226" s="21">
        <v>0.10375000000000001</v>
      </c>
      <c r="L226" s="21">
        <v>0</v>
      </c>
      <c r="M226" s="17" t="s">
        <v>113</v>
      </c>
      <c r="N226" s="17" t="s">
        <v>115</v>
      </c>
      <c r="O226" s="21">
        <v>0</v>
      </c>
      <c r="P226" s="21">
        <v>0</v>
      </c>
      <c r="Q226" s="21">
        <v>9.5</v>
      </c>
    </row>
    <row r="227" spans="1:17" ht="16.5" x14ac:dyDescent="0.25">
      <c r="A227" s="2"/>
      <c r="B227" s="4"/>
      <c r="C227" s="18"/>
      <c r="E227" s="20">
        <v>45377</v>
      </c>
      <c r="F227" s="17" t="s">
        <v>202</v>
      </c>
      <c r="G227" s="21">
        <v>14.5</v>
      </c>
      <c r="H227" s="21">
        <v>16.5</v>
      </c>
      <c r="I227" s="25">
        <v>0.12121212121212122</v>
      </c>
      <c r="J227" s="21">
        <v>0</v>
      </c>
      <c r="K227" s="21">
        <v>0.18125000000000002</v>
      </c>
      <c r="L227" s="21">
        <v>0</v>
      </c>
      <c r="M227" s="17" t="s">
        <v>113</v>
      </c>
      <c r="N227" s="17" t="s">
        <v>115</v>
      </c>
      <c r="O227" s="21">
        <v>0</v>
      </c>
      <c r="P227" s="21">
        <v>0</v>
      </c>
      <c r="Q227" s="21">
        <v>16.5</v>
      </c>
    </row>
    <row r="228" spans="1:17" ht="16.5" x14ac:dyDescent="0.25">
      <c r="A228" s="2"/>
      <c r="B228" s="4"/>
      <c r="C228" s="18"/>
      <c r="E228" s="20">
        <v>45377</v>
      </c>
      <c r="F228" s="17" t="s">
        <v>202</v>
      </c>
      <c r="G228" s="21">
        <v>14.5</v>
      </c>
      <c r="H228" s="21">
        <v>21</v>
      </c>
      <c r="I228" s="25">
        <v>8.0086580086580109E-2</v>
      </c>
      <c r="J228" s="21">
        <v>0</v>
      </c>
      <c r="K228" s="21">
        <v>0</v>
      </c>
      <c r="L228" s="21">
        <v>2.52</v>
      </c>
      <c r="M228" s="17" t="s">
        <v>122</v>
      </c>
      <c r="N228" s="17" t="s">
        <v>116</v>
      </c>
      <c r="O228" s="21">
        <v>2.5</v>
      </c>
      <c r="P228" s="21">
        <v>2.52</v>
      </c>
      <c r="Q228" s="21">
        <v>18.5</v>
      </c>
    </row>
    <row r="229" spans="1:17" ht="16.5" x14ac:dyDescent="0.25">
      <c r="A229" s="2"/>
      <c r="B229" s="4"/>
      <c r="C229" s="18"/>
      <c r="E229" s="20">
        <v>45377</v>
      </c>
      <c r="F229" s="17" t="s">
        <v>202</v>
      </c>
      <c r="G229" s="21">
        <v>14.31875</v>
      </c>
      <c r="H229" s="21">
        <v>22.5</v>
      </c>
      <c r="I229" s="25">
        <v>0.11626930939712712</v>
      </c>
      <c r="J229" s="21">
        <v>0</v>
      </c>
      <c r="K229" s="21">
        <v>0.18125000000000002</v>
      </c>
      <c r="L229" s="21">
        <v>2.6999999999999997</v>
      </c>
      <c r="M229" s="17" t="s">
        <v>122</v>
      </c>
      <c r="N229" s="17" t="s">
        <v>117</v>
      </c>
      <c r="O229" s="21">
        <v>2</v>
      </c>
      <c r="P229" s="21">
        <v>4.0342500000000001</v>
      </c>
      <c r="Q229" s="21">
        <v>20.5</v>
      </c>
    </row>
    <row r="230" spans="1:17" ht="16.5" x14ac:dyDescent="0.25">
      <c r="A230" s="2"/>
      <c r="B230" s="4"/>
      <c r="C230" s="18"/>
      <c r="E230" s="20">
        <v>45363</v>
      </c>
      <c r="F230" s="17" t="s">
        <v>102</v>
      </c>
      <c r="G230" s="21">
        <v>21.824000000000002</v>
      </c>
      <c r="H230" s="21">
        <v>31.5</v>
      </c>
      <c r="I230" s="25">
        <v>0.14959866263415131</v>
      </c>
      <c r="J230" s="21">
        <v>0</v>
      </c>
      <c r="K230" s="21">
        <v>2.976</v>
      </c>
      <c r="L230" s="21">
        <v>2.2050000000000001</v>
      </c>
      <c r="M230" s="17" t="s">
        <v>122</v>
      </c>
      <c r="N230" s="17" t="s">
        <v>117</v>
      </c>
      <c r="O230" s="21">
        <v>1.5</v>
      </c>
      <c r="P230" s="21">
        <v>4.0729499999999996</v>
      </c>
      <c r="Q230" s="21">
        <v>30</v>
      </c>
    </row>
    <row r="231" spans="1:17" ht="16.5" x14ac:dyDescent="0.25">
      <c r="A231" s="2"/>
      <c r="B231" s="4"/>
      <c r="C231" s="18"/>
      <c r="E231" s="20">
        <v>45363</v>
      </c>
      <c r="F231" s="17" t="s">
        <v>101</v>
      </c>
      <c r="G231" s="21">
        <v>12.144</v>
      </c>
      <c r="H231" s="21">
        <v>17.5</v>
      </c>
      <c r="I231" s="25">
        <v>0.10456283121954417</v>
      </c>
      <c r="J231" s="21">
        <v>0</v>
      </c>
      <c r="K231" s="21">
        <v>1.6559999999999999</v>
      </c>
      <c r="L231" s="21">
        <v>1.2250000000000001</v>
      </c>
      <c r="M231" s="17" t="s">
        <v>122</v>
      </c>
      <c r="N231" s="17" t="s">
        <v>117</v>
      </c>
      <c r="O231" s="21">
        <v>1.5</v>
      </c>
      <c r="P231" s="21">
        <v>2.26275</v>
      </c>
      <c r="Q231" s="21">
        <v>16</v>
      </c>
    </row>
    <row r="232" spans="1:17" ht="16.5" x14ac:dyDescent="0.25">
      <c r="A232" s="2"/>
      <c r="B232" s="4"/>
      <c r="C232" s="18"/>
      <c r="E232" s="20">
        <v>45363</v>
      </c>
      <c r="F232" s="17" t="s">
        <v>102</v>
      </c>
      <c r="G232" s="21">
        <v>21.824000000000002</v>
      </c>
      <c r="H232" s="21">
        <v>30</v>
      </c>
      <c r="I232" s="25">
        <v>0.10707859576585878</v>
      </c>
      <c r="J232" s="21">
        <v>0</v>
      </c>
      <c r="K232" s="21">
        <v>2.976</v>
      </c>
      <c r="L232" s="21">
        <v>2.1</v>
      </c>
      <c r="M232" s="17" t="s">
        <v>122</v>
      </c>
      <c r="N232" s="17" t="s">
        <v>117</v>
      </c>
      <c r="O232" s="21">
        <v>1.5</v>
      </c>
      <c r="P232" s="21">
        <v>3.879</v>
      </c>
      <c r="Q232" s="21">
        <v>28.5</v>
      </c>
    </row>
    <row r="233" spans="1:17" ht="16.5" x14ac:dyDescent="0.25">
      <c r="A233" s="2"/>
      <c r="B233" s="4"/>
      <c r="C233" s="18"/>
      <c r="E233" s="20">
        <v>45363</v>
      </c>
      <c r="F233" s="17" t="s">
        <v>103</v>
      </c>
      <c r="G233" s="21">
        <v>9.8559999999999999</v>
      </c>
      <c r="H233" s="21">
        <v>15</v>
      </c>
      <c r="I233" s="25">
        <v>0.13050802036675468</v>
      </c>
      <c r="J233" s="21">
        <v>0</v>
      </c>
      <c r="K233" s="21">
        <v>1.3439999999999999</v>
      </c>
      <c r="L233" s="21">
        <v>1.05</v>
      </c>
      <c r="M233" s="17" t="s">
        <v>122</v>
      </c>
      <c r="N233" s="17" t="s">
        <v>117</v>
      </c>
      <c r="O233" s="21">
        <v>1.5</v>
      </c>
      <c r="P233" s="21">
        <v>1.9395</v>
      </c>
      <c r="Q233" s="21">
        <v>13.5</v>
      </c>
    </row>
    <row r="234" spans="1:17" ht="16.5" x14ac:dyDescent="0.25">
      <c r="A234" s="2"/>
      <c r="B234" s="4"/>
      <c r="C234" s="18"/>
      <c r="E234" s="20">
        <v>45363</v>
      </c>
      <c r="F234" s="17" t="s">
        <v>103</v>
      </c>
      <c r="G234" s="21">
        <v>9.8559999999999999</v>
      </c>
      <c r="H234" s="21">
        <v>14.5</v>
      </c>
      <c r="I234" s="25">
        <v>0.1005255383104359</v>
      </c>
      <c r="J234" s="21">
        <v>0</v>
      </c>
      <c r="K234" s="21">
        <v>1.3439999999999999</v>
      </c>
      <c r="L234" s="21">
        <v>1.0150000000000001</v>
      </c>
      <c r="M234" s="17" t="s">
        <v>122</v>
      </c>
      <c r="N234" s="17" t="s">
        <v>117</v>
      </c>
      <c r="O234" s="21">
        <v>1.5</v>
      </c>
      <c r="P234" s="21">
        <v>1.8748499999999999</v>
      </c>
      <c r="Q234" s="21">
        <v>13</v>
      </c>
    </row>
    <row r="235" spans="1:17" ht="16.5" x14ac:dyDescent="0.25">
      <c r="A235" s="2"/>
      <c r="B235" s="4"/>
      <c r="C235" s="18"/>
      <c r="E235" s="20">
        <v>45363</v>
      </c>
      <c r="F235" s="17" t="s">
        <v>100</v>
      </c>
      <c r="G235" s="21">
        <v>18.762499999999999</v>
      </c>
      <c r="H235" s="21">
        <v>27</v>
      </c>
      <c r="I235" s="25">
        <v>8.5581865525815815E-2</v>
      </c>
      <c r="J235" s="21">
        <v>0</v>
      </c>
      <c r="K235" s="21">
        <v>0.23750000000000002</v>
      </c>
      <c r="L235" s="21">
        <v>3.2399999999999998</v>
      </c>
      <c r="M235" s="17" t="s">
        <v>122</v>
      </c>
      <c r="N235" s="17" t="s">
        <v>117</v>
      </c>
      <c r="O235" s="21">
        <v>1.5</v>
      </c>
      <c r="P235" s="21">
        <v>4.8411000000000008</v>
      </c>
      <c r="Q235" s="21">
        <v>25.5</v>
      </c>
    </row>
    <row r="236" spans="1:17" ht="16.5" x14ac:dyDescent="0.25">
      <c r="A236" s="2"/>
      <c r="B236" s="4"/>
      <c r="C236" s="18"/>
      <c r="E236" s="20">
        <v>45363</v>
      </c>
      <c r="F236" s="17" t="s">
        <v>100</v>
      </c>
      <c r="G236" s="21">
        <v>19</v>
      </c>
      <c r="H236" s="21">
        <v>24</v>
      </c>
      <c r="I236" s="25">
        <v>9.6119929453262781E-2</v>
      </c>
      <c r="J236" s="21">
        <v>0</v>
      </c>
      <c r="K236" s="21">
        <v>0</v>
      </c>
      <c r="L236" s="21">
        <v>1.32</v>
      </c>
      <c r="M236" s="17" t="s">
        <v>122</v>
      </c>
      <c r="N236" s="17" t="s">
        <v>116</v>
      </c>
      <c r="O236" s="21">
        <v>1.5</v>
      </c>
      <c r="P236" s="21">
        <v>1.32</v>
      </c>
      <c r="Q236" s="21">
        <v>22.5</v>
      </c>
    </row>
    <row r="237" spans="1:17" ht="16.5" x14ac:dyDescent="0.25">
      <c r="A237" s="2"/>
      <c r="B237" s="4"/>
      <c r="C237" s="18"/>
      <c r="E237" s="20">
        <v>45363</v>
      </c>
      <c r="F237" s="17" t="s">
        <v>100</v>
      </c>
      <c r="G237" s="21">
        <v>19</v>
      </c>
      <c r="H237" s="21">
        <v>21</v>
      </c>
      <c r="I237" s="25">
        <v>9.5238095238095233E-2</v>
      </c>
      <c r="J237" s="21">
        <v>0</v>
      </c>
      <c r="K237" s="21">
        <v>0.23750000000000002</v>
      </c>
      <c r="L237" s="21">
        <v>0</v>
      </c>
      <c r="M237" s="17" t="s">
        <v>113</v>
      </c>
      <c r="N237" s="17" t="s">
        <v>115</v>
      </c>
      <c r="O237" s="21">
        <v>0</v>
      </c>
      <c r="P237" s="21">
        <v>0</v>
      </c>
      <c r="Q237" s="21">
        <v>21</v>
      </c>
    </row>
    <row r="238" spans="1:17" ht="16.5" x14ac:dyDescent="0.25">
      <c r="A238" s="2"/>
      <c r="B238" s="4"/>
      <c r="C238" s="18"/>
      <c r="E238" s="20">
        <v>45363</v>
      </c>
      <c r="F238" s="17" t="s">
        <v>99</v>
      </c>
      <c r="G238" s="21">
        <v>12.8375</v>
      </c>
      <c r="H238" s="21">
        <v>19.5</v>
      </c>
      <c r="I238" s="25">
        <v>0.10411062476372578</v>
      </c>
      <c r="J238" s="21">
        <v>0</v>
      </c>
      <c r="K238" s="21">
        <v>0.16250000000000001</v>
      </c>
      <c r="L238" s="21">
        <v>2.34</v>
      </c>
      <c r="M238" s="17" t="s">
        <v>122</v>
      </c>
      <c r="N238" s="17" t="s">
        <v>117</v>
      </c>
      <c r="O238" s="21">
        <v>1.5</v>
      </c>
      <c r="P238" s="21">
        <v>3.4963500000000005</v>
      </c>
      <c r="Q238" s="21">
        <v>18</v>
      </c>
    </row>
    <row r="239" spans="1:17" ht="16.5" x14ac:dyDescent="0.25">
      <c r="A239" s="2"/>
      <c r="B239" s="4"/>
      <c r="C239" s="18"/>
      <c r="E239" s="20">
        <v>45363</v>
      </c>
      <c r="F239" s="17" t="s">
        <v>99</v>
      </c>
      <c r="G239" s="21">
        <v>13</v>
      </c>
      <c r="H239" s="21">
        <v>17.5</v>
      </c>
      <c r="I239" s="25">
        <v>0.12320483749055185</v>
      </c>
      <c r="J239" s="21">
        <v>0</v>
      </c>
      <c r="K239" s="21">
        <v>0</v>
      </c>
      <c r="L239" s="21">
        <v>0.96250000000000002</v>
      </c>
      <c r="M239" s="17" t="s">
        <v>122</v>
      </c>
      <c r="N239" s="17" t="s">
        <v>116</v>
      </c>
      <c r="O239" s="21">
        <v>1.5</v>
      </c>
      <c r="P239" s="21">
        <v>0.96250000000000002</v>
      </c>
      <c r="Q239" s="21">
        <v>16</v>
      </c>
    </row>
    <row r="240" spans="1:17" ht="16.5" x14ac:dyDescent="0.25">
      <c r="A240" s="2"/>
      <c r="B240" s="4"/>
      <c r="C240" s="18"/>
      <c r="E240" s="20">
        <v>45363</v>
      </c>
      <c r="F240" s="17" t="s">
        <v>99</v>
      </c>
      <c r="G240" s="21">
        <v>13</v>
      </c>
      <c r="H240" s="21">
        <v>15</v>
      </c>
      <c r="I240" s="25">
        <v>0.13333333333333333</v>
      </c>
      <c r="J240" s="21">
        <v>0</v>
      </c>
      <c r="K240" s="21">
        <v>0.16250000000000001</v>
      </c>
      <c r="L240" s="21">
        <v>0</v>
      </c>
      <c r="M240" s="17" t="s">
        <v>113</v>
      </c>
      <c r="N240" s="17" t="s">
        <v>115</v>
      </c>
      <c r="O240" s="21">
        <v>0</v>
      </c>
      <c r="P240" s="21">
        <v>0</v>
      </c>
      <c r="Q240" s="21">
        <v>15</v>
      </c>
    </row>
    <row r="241" spans="1:17" ht="16.5" x14ac:dyDescent="0.25">
      <c r="A241" s="2"/>
      <c r="B241" s="4"/>
      <c r="C241" s="18"/>
      <c r="E241" s="20">
        <v>45359</v>
      </c>
      <c r="F241" s="17" t="s">
        <v>99</v>
      </c>
      <c r="G241" s="21">
        <v>13</v>
      </c>
      <c r="H241" s="21">
        <v>15.5</v>
      </c>
      <c r="I241" s="25">
        <v>0.16129032258064516</v>
      </c>
      <c r="J241" s="21">
        <v>0</v>
      </c>
      <c r="K241" s="21">
        <v>0.16250000000000001</v>
      </c>
      <c r="L241" s="21">
        <v>0</v>
      </c>
      <c r="M241" s="17" t="s">
        <v>113</v>
      </c>
      <c r="N241" s="17" t="s">
        <v>115</v>
      </c>
      <c r="O241" s="21">
        <v>0</v>
      </c>
      <c r="P241" s="21">
        <v>0</v>
      </c>
      <c r="Q241" s="21">
        <v>15.5</v>
      </c>
    </row>
    <row r="242" spans="1:17" ht="16.5" x14ac:dyDescent="0.25">
      <c r="A242" s="2"/>
      <c r="B242" s="4"/>
      <c r="C242" s="18"/>
      <c r="E242" s="20">
        <v>45359</v>
      </c>
      <c r="F242" s="17" t="s">
        <v>193</v>
      </c>
      <c r="G242" s="21">
        <v>9.8559999999999999</v>
      </c>
      <c r="H242" s="21">
        <v>14.9</v>
      </c>
      <c r="I242" s="25">
        <v>7.1344399894344546E-2</v>
      </c>
      <c r="J242" s="21">
        <v>0</v>
      </c>
      <c r="K242" s="21">
        <v>1.3439999999999999</v>
      </c>
      <c r="L242" s="21">
        <v>1.788</v>
      </c>
      <c r="M242" s="17" t="s">
        <v>122</v>
      </c>
      <c r="N242" s="17" t="s">
        <v>117</v>
      </c>
      <c r="O242" s="21">
        <v>1.5</v>
      </c>
      <c r="P242" s="21">
        <v>2.6715700000000004</v>
      </c>
      <c r="Q242" s="21">
        <v>13.4</v>
      </c>
    </row>
    <row r="243" spans="1:17" ht="16.5" x14ac:dyDescent="0.25">
      <c r="A243" s="2"/>
      <c r="B243" s="4"/>
      <c r="C243" s="18"/>
      <c r="E243" s="20">
        <v>45359</v>
      </c>
      <c r="F243" s="17" t="s">
        <v>193</v>
      </c>
      <c r="G243" s="21">
        <v>11.2</v>
      </c>
      <c r="H243" s="21">
        <v>14.9</v>
      </c>
      <c r="I243" s="25">
        <v>9.8043393345406862E-2</v>
      </c>
      <c r="J243" s="21">
        <v>0</v>
      </c>
      <c r="K243" s="21">
        <v>0</v>
      </c>
      <c r="L243" s="21">
        <v>0.81950000000000001</v>
      </c>
      <c r="M243" s="17" t="s">
        <v>122</v>
      </c>
      <c r="N243" s="17" t="s">
        <v>116</v>
      </c>
      <c r="O243" s="21">
        <v>1.5</v>
      </c>
      <c r="P243" s="21">
        <v>0.81950000000000001</v>
      </c>
      <c r="Q243" s="21">
        <v>13.4</v>
      </c>
    </row>
    <row r="244" spans="1:17" ht="16.5" x14ac:dyDescent="0.25">
      <c r="A244" s="2"/>
      <c r="B244" s="4"/>
      <c r="C244" s="18"/>
      <c r="E244" s="20">
        <v>45359</v>
      </c>
      <c r="F244" s="17" t="s">
        <v>191</v>
      </c>
      <c r="G244" s="21">
        <v>9.9</v>
      </c>
      <c r="H244" s="21">
        <v>13.9</v>
      </c>
      <c r="I244" s="25">
        <v>0.13212287313006738</v>
      </c>
      <c r="J244" s="21">
        <v>0</v>
      </c>
      <c r="K244" s="21">
        <v>0</v>
      </c>
      <c r="L244" s="21">
        <v>0.76450000000000007</v>
      </c>
      <c r="M244" s="17" t="s">
        <v>122</v>
      </c>
      <c r="N244" s="17" t="s">
        <v>116</v>
      </c>
      <c r="O244" s="21">
        <v>1.5</v>
      </c>
      <c r="P244" s="21">
        <v>0.76450000000000007</v>
      </c>
      <c r="Q244" s="21">
        <v>12.4</v>
      </c>
    </row>
    <row r="245" spans="1:17" ht="16.5" x14ac:dyDescent="0.25">
      <c r="A245" s="2"/>
      <c r="B245" s="4"/>
      <c r="C245" s="18"/>
      <c r="E245" s="20">
        <v>45359</v>
      </c>
      <c r="F245" s="17" t="s">
        <v>191</v>
      </c>
      <c r="G245" s="21">
        <v>8.7119999999999997</v>
      </c>
      <c r="H245" s="21">
        <v>13.9</v>
      </c>
      <c r="I245" s="25">
        <v>0.10481752285511675</v>
      </c>
      <c r="J245" s="21">
        <v>0</v>
      </c>
      <c r="K245" s="21">
        <v>1.1879999999999999</v>
      </c>
      <c r="L245" s="21">
        <v>1.6679999999999999</v>
      </c>
      <c r="M245" s="17" t="s">
        <v>122</v>
      </c>
      <c r="N245" s="17" t="s">
        <v>117</v>
      </c>
      <c r="O245" s="21">
        <v>1.5</v>
      </c>
      <c r="P245" s="21">
        <v>2.4922700000000004</v>
      </c>
      <c r="Q245" s="21">
        <v>12.4</v>
      </c>
    </row>
    <row r="246" spans="1:17" ht="16.5" x14ac:dyDescent="0.25">
      <c r="A246" s="2"/>
      <c r="B246" s="4"/>
      <c r="C246" s="18"/>
      <c r="E246" s="20">
        <v>45076</v>
      </c>
      <c r="F246" s="17" t="s">
        <v>199</v>
      </c>
      <c r="G246" s="21">
        <v>30</v>
      </c>
      <c r="H246" s="21">
        <v>43.5</v>
      </c>
      <c r="I246" s="25">
        <v>0.11180773249738769</v>
      </c>
      <c r="J246" s="21">
        <v>0</v>
      </c>
      <c r="K246" s="21">
        <v>0</v>
      </c>
      <c r="L246" s="21">
        <v>5.22</v>
      </c>
      <c r="M246" s="17" t="s">
        <v>122</v>
      </c>
      <c r="N246" s="17" t="s">
        <v>116</v>
      </c>
      <c r="O246" s="21">
        <v>4</v>
      </c>
      <c r="P246" s="21">
        <v>5.22</v>
      </c>
      <c r="Q246" s="21">
        <v>39.5</v>
      </c>
    </row>
    <row r="247" spans="1:17" ht="16.5" x14ac:dyDescent="0.25">
      <c r="A247" s="2"/>
      <c r="B247" s="4"/>
      <c r="C247" s="18"/>
      <c r="E247" s="20">
        <v>45076</v>
      </c>
      <c r="F247" s="17" t="s">
        <v>199</v>
      </c>
      <c r="G247" s="21">
        <v>29.625</v>
      </c>
      <c r="H247" s="21">
        <v>45</v>
      </c>
      <c r="I247" s="25">
        <v>8.9530617494550713E-2</v>
      </c>
      <c r="J247" s="21">
        <v>0</v>
      </c>
      <c r="K247" s="21">
        <v>0.375</v>
      </c>
      <c r="L247" s="21">
        <v>5.3999999999999995</v>
      </c>
      <c r="M247" s="17" t="s">
        <v>122</v>
      </c>
      <c r="N247" s="17" t="s">
        <v>117</v>
      </c>
      <c r="O247" s="21">
        <v>4</v>
      </c>
      <c r="P247" s="21">
        <v>8.0685000000000002</v>
      </c>
      <c r="Q247" s="21">
        <v>41</v>
      </c>
    </row>
    <row r="248" spans="1:17" ht="16.5" x14ac:dyDescent="0.25">
      <c r="A248" s="2"/>
      <c r="B248" s="4"/>
      <c r="C248" s="18"/>
      <c r="E248" s="20">
        <v>45076</v>
      </c>
      <c r="F248" s="17" t="s">
        <v>199</v>
      </c>
      <c r="G248" s="21">
        <v>30</v>
      </c>
      <c r="H248" s="21">
        <v>44</v>
      </c>
      <c r="I248" s="25">
        <v>0.12190082644628096</v>
      </c>
      <c r="J248" s="21">
        <v>0</v>
      </c>
      <c r="K248" s="21">
        <v>0</v>
      </c>
      <c r="L248" s="21">
        <v>5.2799999999999994</v>
      </c>
      <c r="M248" s="17" t="s">
        <v>122</v>
      </c>
      <c r="N248" s="17" t="s">
        <v>116</v>
      </c>
      <c r="O248" s="21">
        <v>4</v>
      </c>
      <c r="P248" s="21">
        <v>5.2799999999999994</v>
      </c>
      <c r="Q248" s="21">
        <v>40</v>
      </c>
    </row>
    <row r="249" spans="1:17" ht="16.5" x14ac:dyDescent="0.25">
      <c r="A249" s="2"/>
      <c r="B249" s="4"/>
      <c r="C249" s="18"/>
      <c r="E249" s="20">
        <v>45076</v>
      </c>
      <c r="F249" s="17" t="s">
        <v>199</v>
      </c>
      <c r="G249" s="21">
        <v>30</v>
      </c>
      <c r="H249" s="21">
        <v>44</v>
      </c>
      <c r="I249" s="25">
        <v>0.12190082644628096</v>
      </c>
      <c r="J249" s="21">
        <v>0</v>
      </c>
      <c r="K249" s="21">
        <v>0</v>
      </c>
      <c r="L249" s="21">
        <v>5.2799999999999994</v>
      </c>
      <c r="M249" s="17" t="s">
        <v>122</v>
      </c>
      <c r="N249" s="17" t="s">
        <v>116</v>
      </c>
      <c r="O249" s="21">
        <v>4</v>
      </c>
      <c r="P249" s="21">
        <v>5.2799999999999994</v>
      </c>
      <c r="Q249" s="21">
        <v>40</v>
      </c>
    </row>
    <row r="250" spans="1:17" ht="16.5" x14ac:dyDescent="0.25">
      <c r="A250" s="2"/>
      <c r="B250" s="4"/>
      <c r="C250" s="18"/>
      <c r="E250" s="20">
        <v>45076</v>
      </c>
      <c r="F250" s="17" t="s">
        <v>199</v>
      </c>
      <c r="G250" s="21">
        <v>30</v>
      </c>
      <c r="H250" s="21">
        <v>44</v>
      </c>
      <c r="I250" s="25">
        <v>0.12190082644628096</v>
      </c>
      <c r="J250" s="21">
        <v>0</v>
      </c>
      <c r="K250" s="21">
        <v>0</v>
      </c>
      <c r="L250" s="21">
        <v>5.2799999999999994</v>
      </c>
      <c r="M250" s="17" t="s">
        <v>113</v>
      </c>
      <c r="N250" s="17" t="s">
        <v>116</v>
      </c>
      <c r="O250" s="21">
        <v>4</v>
      </c>
      <c r="P250" s="21">
        <v>5.2799999999999994</v>
      </c>
      <c r="Q250" s="21">
        <v>40</v>
      </c>
    </row>
    <row r="251" spans="1:17" ht="16.5" x14ac:dyDescent="0.25">
      <c r="A251" s="2"/>
      <c r="B251" s="4"/>
      <c r="C251" s="18"/>
      <c r="E251" s="20">
        <v>45076</v>
      </c>
      <c r="F251" s="17" t="s">
        <v>199</v>
      </c>
      <c r="G251" s="21">
        <v>30</v>
      </c>
      <c r="H251" s="21">
        <v>36</v>
      </c>
      <c r="I251" s="25">
        <v>0.16666666666666666</v>
      </c>
      <c r="J251" s="21">
        <v>0</v>
      </c>
      <c r="K251" s="21">
        <v>0.375</v>
      </c>
      <c r="L251" s="21">
        <v>0</v>
      </c>
      <c r="M251" s="17" t="s">
        <v>113</v>
      </c>
      <c r="N251" s="17" t="s">
        <v>115</v>
      </c>
      <c r="O251" s="21">
        <v>0</v>
      </c>
      <c r="P251" s="21">
        <v>0</v>
      </c>
      <c r="Q251" s="21">
        <v>36</v>
      </c>
    </row>
    <row r="252" spans="1:17" ht="16.5" x14ac:dyDescent="0.25">
      <c r="A252" s="2"/>
      <c r="B252" s="4"/>
      <c r="C252" s="18"/>
      <c r="E252" s="20">
        <v>45076</v>
      </c>
      <c r="F252" s="17" t="s">
        <v>200</v>
      </c>
      <c r="G252" s="21">
        <v>30.612500000000001</v>
      </c>
      <c r="H252" s="21">
        <v>48</v>
      </c>
      <c r="I252" s="25">
        <v>0.10867501320011369</v>
      </c>
      <c r="J252" s="21">
        <v>0</v>
      </c>
      <c r="K252" s="21">
        <v>0.38750000000000001</v>
      </c>
      <c r="L252" s="21">
        <v>5.76</v>
      </c>
      <c r="M252" s="17" t="s">
        <v>122</v>
      </c>
      <c r="N252" s="17" t="s">
        <v>117</v>
      </c>
      <c r="O252" s="21">
        <v>4.5</v>
      </c>
      <c r="P252" s="21">
        <v>8.6064000000000007</v>
      </c>
      <c r="Q252" s="21">
        <v>43.5</v>
      </c>
    </row>
    <row r="253" spans="1:17" ht="16.5" x14ac:dyDescent="0.25">
      <c r="A253" s="2"/>
      <c r="B253" s="4"/>
      <c r="C253" s="18"/>
      <c r="E253" s="20">
        <v>45076</v>
      </c>
      <c r="F253" s="17" t="s">
        <v>200</v>
      </c>
      <c r="G253" s="21">
        <v>31</v>
      </c>
      <c r="H253" s="21">
        <v>45</v>
      </c>
      <c r="I253" s="25">
        <v>0.16519694297472073</v>
      </c>
      <c r="J253" s="21">
        <v>0</v>
      </c>
      <c r="K253" s="21">
        <v>0</v>
      </c>
      <c r="L253" s="21">
        <v>2.4750000000000001</v>
      </c>
      <c r="M253" s="17" t="s">
        <v>122</v>
      </c>
      <c r="N253" s="17" t="s">
        <v>116</v>
      </c>
      <c r="O253" s="21">
        <v>4.5</v>
      </c>
      <c r="P253" s="21">
        <v>2.4750000000000001</v>
      </c>
      <c r="Q253" s="21">
        <v>40.5</v>
      </c>
    </row>
    <row r="254" spans="1:17" ht="16.5" x14ac:dyDescent="0.25">
      <c r="A254" s="2"/>
      <c r="B254" s="4"/>
      <c r="C254" s="18"/>
      <c r="E254" s="20">
        <v>45076</v>
      </c>
      <c r="F254" s="17" t="s">
        <v>200</v>
      </c>
      <c r="G254" s="21">
        <v>31</v>
      </c>
      <c r="H254" s="21">
        <v>39.5</v>
      </c>
      <c r="I254" s="25">
        <v>0.21518987341772153</v>
      </c>
      <c r="J254" s="21">
        <v>0</v>
      </c>
      <c r="K254" s="21">
        <v>0.38750000000000001</v>
      </c>
      <c r="L254" s="21">
        <v>0</v>
      </c>
      <c r="M254" s="17" t="s">
        <v>113</v>
      </c>
      <c r="N254" s="17" t="s">
        <v>115</v>
      </c>
      <c r="O254" s="21">
        <v>0</v>
      </c>
      <c r="P254" s="21">
        <v>0</v>
      </c>
      <c r="Q254" s="21">
        <v>39.5</v>
      </c>
    </row>
    <row r="255" spans="1:17" ht="16.5" x14ac:dyDescent="0.25">
      <c r="A255" s="2"/>
      <c r="B255" s="4"/>
      <c r="C255" s="18"/>
      <c r="E255" s="20">
        <v>45076</v>
      </c>
      <c r="F255" s="17" t="s">
        <v>201</v>
      </c>
      <c r="G255" s="21">
        <v>16</v>
      </c>
      <c r="H255" s="21">
        <v>20.5</v>
      </c>
      <c r="I255" s="25">
        <v>0.21951219512195122</v>
      </c>
      <c r="J255" s="21">
        <v>0</v>
      </c>
      <c r="K255" s="21">
        <v>0.2</v>
      </c>
      <c r="L255" s="21">
        <v>0</v>
      </c>
      <c r="M255" s="17" t="s">
        <v>113</v>
      </c>
      <c r="N255" s="17" t="s">
        <v>115</v>
      </c>
      <c r="O255" s="21">
        <v>0</v>
      </c>
      <c r="P255" s="21">
        <v>0</v>
      </c>
      <c r="Q255" s="21">
        <v>20.5</v>
      </c>
    </row>
    <row r="256" spans="1:17" ht="16.5" x14ac:dyDescent="0.25">
      <c r="A256" s="2"/>
      <c r="B256" s="4"/>
      <c r="C256" s="18"/>
      <c r="E256" s="20">
        <v>45076</v>
      </c>
      <c r="F256" s="17" t="s">
        <v>201</v>
      </c>
      <c r="G256" s="21">
        <v>15.8</v>
      </c>
      <c r="H256" s="21">
        <v>25.5</v>
      </c>
      <c r="I256" s="25">
        <v>0.14945873560829223</v>
      </c>
      <c r="J256" s="21">
        <v>0</v>
      </c>
      <c r="K256" s="21">
        <v>0.2</v>
      </c>
      <c r="L256" s="21">
        <v>3.06</v>
      </c>
      <c r="M256" s="17" t="s">
        <v>122</v>
      </c>
      <c r="N256" s="17" t="s">
        <v>117</v>
      </c>
      <c r="O256" s="21">
        <v>2</v>
      </c>
      <c r="P256" s="21">
        <v>4.5721500000000006</v>
      </c>
      <c r="Q256" s="21">
        <v>23.5</v>
      </c>
    </row>
    <row r="257" spans="1:17" ht="16.5" x14ac:dyDescent="0.25">
      <c r="A257" s="2"/>
      <c r="B257" s="4"/>
      <c r="C257" s="18"/>
      <c r="E257" s="20">
        <v>45076</v>
      </c>
      <c r="F257" s="17" t="s">
        <v>201</v>
      </c>
      <c r="G257" s="21">
        <v>16</v>
      </c>
      <c r="H257" s="21">
        <v>24.5</v>
      </c>
      <c r="I257" s="25">
        <v>0.16512059369202223</v>
      </c>
      <c r="J257" s="21">
        <v>0</v>
      </c>
      <c r="K257" s="21">
        <v>0</v>
      </c>
      <c r="L257" s="21">
        <v>2.94</v>
      </c>
      <c r="M257" s="17" t="s">
        <v>122</v>
      </c>
      <c r="N257" s="17" t="s">
        <v>116</v>
      </c>
      <c r="O257" s="21">
        <v>2</v>
      </c>
      <c r="P257" s="21">
        <v>2.94</v>
      </c>
      <c r="Q257" s="21">
        <v>22.5</v>
      </c>
    </row>
    <row r="258" spans="1:17" ht="16.5" x14ac:dyDescent="0.25">
      <c r="A258" s="2"/>
      <c r="B258" s="4"/>
      <c r="C258" s="18"/>
      <c r="E258" s="20">
        <v>45076</v>
      </c>
      <c r="F258" s="17" t="s">
        <v>201</v>
      </c>
      <c r="G258" s="21">
        <v>16</v>
      </c>
      <c r="H258" s="21">
        <v>20</v>
      </c>
      <c r="I258" s="25">
        <v>0.2</v>
      </c>
      <c r="J258" s="21">
        <v>0</v>
      </c>
      <c r="K258" s="21">
        <v>0.2</v>
      </c>
      <c r="L258" s="21">
        <v>0</v>
      </c>
      <c r="M258" s="17" t="s">
        <v>113</v>
      </c>
      <c r="N258" s="17" t="s">
        <v>115</v>
      </c>
      <c r="O258" s="21">
        <v>0</v>
      </c>
      <c r="P258" s="21">
        <v>0</v>
      </c>
      <c r="Q258" s="21">
        <v>20</v>
      </c>
    </row>
    <row r="259" spans="1:17" ht="16.5" x14ac:dyDescent="0.25">
      <c r="A259" s="2"/>
      <c r="B259" s="4"/>
      <c r="C259" s="18"/>
      <c r="E259" s="20">
        <v>45049</v>
      </c>
      <c r="F259" s="17" t="s">
        <v>194</v>
      </c>
      <c r="G259" s="21">
        <v>8.0079999999999991</v>
      </c>
      <c r="H259" s="21">
        <v>12.9</v>
      </c>
      <c r="I259" s="25">
        <v>0.10191999078117293</v>
      </c>
      <c r="J259" s="21">
        <v>0</v>
      </c>
      <c r="K259" s="21">
        <v>1.0919999999999999</v>
      </c>
      <c r="L259" s="21">
        <v>1.548</v>
      </c>
      <c r="M259" s="17" t="s">
        <v>122</v>
      </c>
      <c r="N259" s="17" t="s">
        <v>117</v>
      </c>
      <c r="O259" s="21">
        <v>1.5</v>
      </c>
      <c r="P259" s="21">
        <v>2.3129700000000004</v>
      </c>
      <c r="Q259" s="21">
        <v>11.4</v>
      </c>
    </row>
    <row r="260" spans="1:17" ht="16.5" x14ac:dyDescent="0.25">
      <c r="A260" s="2"/>
      <c r="B260" s="4"/>
      <c r="C260" s="18"/>
      <c r="E260" s="20">
        <v>45049</v>
      </c>
      <c r="F260" s="17" t="s">
        <v>194</v>
      </c>
      <c r="G260" s="21">
        <v>9.1</v>
      </c>
      <c r="H260" s="21">
        <v>12.5</v>
      </c>
      <c r="I260" s="25">
        <v>0.10264550264550268</v>
      </c>
      <c r="J260" s="21">
        <v>0</v>
      </c>
      <c r="K260" s="21">
        <v>0</v>
      </c>
      <c r="L260" s="21">
        <v>0.6875</v>
      </c>
      <c r="M260" s="17" t="s">
        <v>122</v>
      </c>
      <c r="N260" s="17" t="s">
        <v>116</v>
      </c>
      <c r="O260" s="21">
        <v>1.5</v>
      </c>
      <c r="P260" s="21">
        <v>0.6875</v>
      </c>
      <c r="Q260" s="21">
        <v>11</v>
      </c>
    </row>
    <row r="261" spans="1:17" ht="16.5" x14ac:dyDescent="0.25">
      <c r="A261" s="2"/>
      <c r="B261" s="4"/>
      <c r="C261" s="18"/>
      <c r="E261" s="20">
        <v>44963</v>
      </c>
      <c r="F261" s="17" t="s">
        <v>92</v>
      </c>
      <c r="G261" s="21">
        <v>7.4</v>
      </c>
      <c r="H261" s="21">
        <v>11</v>
      </c>
      <c r="I261" s="25">
        <v>0.14381914381914376</v>
      </c>
      <c r="J261" s="21">
        <v>0</v>
      </c>
      <c r="K261" s="21">
        <v>0</v>
      </c>
      <c r="L261" s="21">
        <v>0.60499999999999998</v>
      </c>
      <c r="M261" s="17" t="s">
        <v>122</v>
      </c>
      <c r="N261" s="17" t="s">
        <v>116</v>
      </c>
      <c r="O261" s="21">
        <v>1.5</v>
      </c>
      <c r="P261" s="21">
        <v>0.60499999999999998</v>
      </c>
      <c r="Q261" s="21">
        <v>9.5</v>
      </c>
    </row>
    <row r="262" spans="1:17" ht="16.5" x14ac:dyDescent="0.25">
      <c r="A262" s="2"/>
      <c r="B262" s="4"/>
      <c r="C262" s="18"/>
      <c r="E262" s="20">
        <v>44963</v>
      </c>
      <c r="F262" s="17" t="s">
        <v>92</v>
      </c>
      <c r="G262" s="21">
        <v>7.3075000000000001</v>
      </c>
      <c r="H262" s="21">
        <v>12</v>
      </c>
      <c r="I262" s="25">
        <v>0.10569229519515858</v>
      </c>
      <c r="J262" s="21">
        <v>0</v>
      </c>
      <c r="K262" s="21">
        <v>9.2500000000000013E-2</v>
      </c>
      <c r="L262" s="21">
        <v>1.44</v>
      </c>
      <c r="M262" s="17" t="s">
        <v>122</v>
      </c>
      <c r="N262" s="17" t="s">
        <v>117</v>
      </c>
      <c r="O262" s="21">
        <v>1.5</v>
      </c>
      <c r="P262" s="21">
        <v>2.1516000000000002</v>
      </c>
      <c r="Q262" s="21">
        <v>10.5</v>
      </c>
    </row>
    <row r="263" spans="1:17" ht="16.5" x14ac:dyDescent="0.25">
      <c r="A263" s="2"/>
      <c r="B263" s="4"/>
      <c r="C263" s="18"/>
      <c r="E263" s="20">
        <v>44963</v>
      </c>
      <c r="F263" s="17" t="s">
        <v>92</v>
      </c>
      <c r="G263" s="21">
        <v>7.4</v>
      </c>
      <c r="H263" s="21">
        <v>10.5</v>
      </c>
      <c r="I263" s="25">
        <v>0.10304862685815058</v>
      </c>
      <c r="J263" s="21">
        <v>0</v>
      </c>
      <c r="K263" s="21">
        <v>0</v>
      </c>
      <c r="L263" s="21">
        <v>0.57750000000000001</v>
      </c>
      <c r="M263" s="17" t="s">
        <v>122</v>
      </c>
      <c r="N263" s="17" t="s">
        <v>116</v>
      </c>
      <c r="O263" s="21">
        <v>1.5</v>
      </c>
      <c r="P263" s="21">
        <v>0.57750000000000001</v>
      </c>
      <c r="Q263" s="21">
        <v>9</v>
      </c>
    </row>
    <row r="264" spans="1:17" ht="16.5" x14ac:dyDescent="0.25">
      <c r="A264" s="2"/>
      <c r="B264" s="4"/>
      <c r="C264" s="18"/>
      <c r="E264" s="20">
        <v>44963</v>
      </c>
      <c r="F264" s="17" t="s">
        <v>92</v>
      </c>
      <c r="G264" s="21">
        <v>7.4</v>
      </c>
      <c r="H264" s="21">
        <v>8.5</v>
      </c>
      <c r="I264" s="25">
        <v>0.12941176470588231</v>
      </c>
      <c r="J264" s="21">
        <v>0</v>
      </c>
      <c r="K264" s="21">
        <v>9.2500000000000013E-2</v>
      </c>
      <c r="L264" s="21">
        <v>0</v>
      </c>
      <c r="M264" s="17" t="s">
        <v>113</v>
      </c>
      <c r="N264" s="17" t="s">
        <v>115</v>
      </c>
      <c r="O264" s="21">
        <v>0</v>
      </c>
      <c r="P264" s="21">
        <v>0</v>
      </c>
      <c r="Q264" s="21">
        <v>8.5</v>
      </c>
    </row>
    <row r="265" spans="1:17" ht="16.5" x14ac:dyDescent="0.25">
      <c r="A265" s="2"/>
      <c r="B265" s="4"/>
      <c r="C265" s="18"/>
      <c r="E265" s="20">
        <v>44963</v>
      </c>
      <c r="F265" s="17" t="s">
        <v>202</v>
      </c>
      <c r="G265" s="21">
        <v>13.1</v>
      </c>
      <c r="H265" s="21">
        <v>15</v>
      </c>
      <c r="I265" s="25">
        <v>0.12666666666666668</v>
      </c>
      <c r="J265" s="21">
        <v>0</v>
      </c>
      <c r="K265" s="21">
        <v>0.16375000000000001</v>
      </c>
      <c r="L265" s="21">
        <v>0</v>
      </c>
      <c r="M265" s="17" t="s">
        <v>113</v>
      </c>
      <c r="N265" s="17" t="s">
        <v>115</v>
      </c>
      <c r="O265" s="21">
        <v>0</v>
      </c>
      <c r="P265" s="21">
        <v>0</v>
      </c>
      <c r="Q265" s="21">
        <v>15</v>
      </c>
    </row>
    <row r="266" spans="1:17" ht="16.5" x14ac:dyDescent="0.25">
      <c r="A266" s="2"/>
      <c r="B266" s="4"/>
      <c r="C266" s="18"/>
      <c r="E266" s="20">
        <v>44963</v>
      </c>
      <c r="F266" s="17" t="s">
        <v>202</v>
      </c>
      <c r="G266" s="21">
        <v>13.1</v>
      </c>
      <c r="H266" s="21">
        <v>18.899999999999999</v>
      </c>
      <c r="I266" s="25">
        <v>0.12656420592928522</v>
      </c>
      <c r="J266" s="21">
        <v>0</v>
      </c>
      <c r="K266" s="21">
        <v>0</v>
      </c>
      <c r="L266" s="21">
        <v>1.0394999999999999</v>
      </c>
      <c r="M266" s="17" t="s">
        <v>122</v>
      </c>
      <c r="N266" s="17" t="s">
        <v>116</v>
      </c>
      <c r="O266" s="21">
        <v>2.5</v>
      </c>
      <c r="P266" s="21">
        <v>1.0394999999999999</v>
      </c>
      <c r="Q266" s="21">
        <v>16.399999999999999</v>
      </c>
    </row>
    <row r="267" spans="1:17" ht="16.5" x14ac:dyDescent="0.25">
      <c r="A267" s="2"/>
      <c r="B267" s="4"/>
      <c r="C267" s="18"/>
      <c r="E267" s="20">
        <v>44963</v>
      </c>
      <c r="F267" s="17" t="s">
        <v>202</v>
      </c>
      <c r="G267" s="21">
        <v>12.936249999999999</v>
      </c>
      <c r="H267" s="21">
        <v>20.5</v>
      </c>
      <c r="I267" s="25">
        <v>0.11222424640476451</v>
      </c>
      <c r="J267" s="21">
        <v>0</v>
      </c>
      <c r="K267" s="21">
        <v>0.16375000000000001</v>
      </c>
      <c r="L267" s="21">
        <v>2.46</v>
      </c>
      <c r="M267" s="17" t="s">
        <v>122</v>
      </c>
      <c r="N267" s="17" t="s">
        <v>117</v>
      </c>
      <c r="O267" s="21">
        <v>2</v>
      </c>
      <c r="P267" s="21">
        <v>3.6756500000000001</v>
      </c>
      <c r="Q267" s="21">
        <v>18.5</v>
      </c>
    </row>
    <row r="268" spans="1:17" ht="16.5" x14ac:dyDescent="0.25">
      <c r="A268" s="2"/>
      <c r="B268" s="4"/>
      <c r="C268" s="18"/>
      <c r="E268" s="20">
        <v>44823</v>
      </c>
      <c r="F268" s="17" t="s">
        <v>103</v>
      </c>
      <c r="G268" s="21">
        <v>9.24</v>
      </c>
      <c r="H268" s="21">
        <v>14</v>
      </c>
      <c r="I268" s="25">
        <v>0.15995340366535954</v>
      </c>
      <c r="J268" s="21">
        <v>0</v>
      </c>
      <c r="K268" s="21">
        <v>1.26</v>
      </c>
      <c r="L268" s="21">
        <v>0.98000000000000009</v>
      </c>
      <c r="M268" s="17" t="s">
        <v>122</v>
      </c>
      <c r="N268" s="17" t="s">
        <v>117</v>
      </c>
      <c r="O268" s="21">
        <v>1</v>
      </c>
      <c r="P268" s="21">
        <v>1.8102</v>
      </c>
      <c r="Q268" s="21">
        <v>13</v>
      </c>
    </row>
    <row r="269" spans="1:17" ht="16.5" x14ac:dyDescent="0.25">
      <c r="A269" s="2"/>
      <c r="B269" s="4"/>
      <c r="C269" s="18"/>
      <c r="E269" s="20">
        <v>44823</v>
      </c>
      <c r="F269" s="17" t="s">
        <v>102</v>
      </c>
      <c r="G269" s="21">
        <v>19.8</v>
      </c>
      <c r="H269" s="21">
        <v>26</v>
      </c>
      <c r="I269" s="25">
        <v>8.1199035258987043E-2</v>
      </c>
      <c r="J269" s="21">
        <v>0</v>
      </c>
      <c r="K269" s="21">
        <v>2.6999999999999997</v>
      </c>
      <c r="L269" s="21">
        <v>1.8200000000000003</v>
      </c>
      <c r="M269" s="17" t="s">
        <v>122</v>
      </c>
      <c r="N269" s="17" t="s">
        <v>117</v>
      </c>
      <c r="O269" s="21">
        <v>1</v>
      </c>
      <c r="P269" s="21">
        <v>3.3618000000000001</v>
      </c>
      <c r="Q269" s="21">
        <v>25</v>
      </c>
    </row>
    <row r="270" spans="1:17" ht="16.5" x14ac:dyDescent="0.25">
      <c r="A270" s="2"/>
      <c r="B270" s="4"/>
      <c r="C270" s="18"/>
      <c r="E270" s="20">
        <v>44823</v>
      </c>
      <c r="F270" s="17" t="s">
        <v>101</v>
      </c>
      <c r="G270" s="21">
        <v>11.44</v>
      </c>
      <c r="H270" s="21">
        <v>16</v>
      </c>
      <c r="I270" s="25">
        <v>0.10704031239232807</v>
      </c>
      <c r="J270" s="21">
        <v>0</v>
      </c>
      <c r="K270" s="21">
        <v>1.56</v>
      </c>
      <c r="L270" s="21">
        <v>1.1200000000000001</v>
      </c>
      <c r="M270" s="17" t="s">
        <v>122</v>
      </c>
      <c r="N270" s="17" t="s">
        <v>117</v>
      </c>
      <c r="O270" s="21">
        <v>1</v>
      </c>
      <c r="P270" s="21">
        <v>2.0688</v>
      </c>
      <c r="Q270" s="21">
        <v>15</v>
      </c>
    </row>
    <row r="271" spans="1:17" ht="16.5" x14ac:dyDescent="0.25">
      <c r="A271" s="2"/>
      <c r="B271" s="4"/>
      <c r="C271" s="18"/>
      <c r="E271" s="20">
        <v>44823</v>
      </c>
      <c r="F271" s="17" t="s">
        <v>101</v>
      </c>
      <c r="G271" s="21">
        <v>11.44</v>
      </c>
      <c r="H271" s="21">
        <v>16</v>
      </c>
      <c r="I271" s="25">
        <v>0.11647727272727276</v>
      </c>
      <c r="J271" s="21">
        <v>0</v>
      </c>
      <c r="K271" s="21">
        <v>1.56</v>
      </c>
      <c r="L271" s="21">
        <v>1.92</v>
      </c>
      <c r="M271" s="17" t="s">
        <v>122</v>
      </c>
      <c r="N271" s="17" t="s">
        <v>117</v>
      </c>
      <c r="O271" s="21">
        <v>1</v>
      </c>
      <c r="P271" s="21">
        <v>1.92</v>
      </c>
      <c r="Q271" s="21">
        <v>15</v>
      </c>
    </row>
    <row r="272" spans="1:17" ht="16.5" x14ac:dyDescent="0.25">
      <c r="A272" s="2"/>
      <c r="B272" s="4"/>
      <c r="C272" s="18"/>
      <c r="E272" s="20">
        <v>44823</v>
      </c>
      <c r="F272" s="17" t="s">
        <v>101</v>
      </c>
      <c r="G272" s="21">
        <v>11.44</v>
      </c>
      <c r="H272" s="21">
        <v>15</v>
      </c>
      <c r="I272" s="25">
        <v>0.11733333333333332</v>
      </c>
      <c r="J272" s="21">
        <v>0</v>
      </c>
      <c r="K272" s="21">
        <v>1.56</v>
      </c>
      <c r="L272" s="21">
        <v>1.7999999999999998</v>
      </c>
      <c r="M272" s="17" t="s">
        <v>122</v>
      </c>
      <c r="N272" s="17" t="s">
        <v>117</v>
      </c>
      <c r="O272" s="21">
        <v>0</v>
      </c>
      <c r="P272" s="21">
        <v>1.7999999999999998</v>
      </c>
      <c r="Q272" s="21">
        <v>15</v>
      </c>
    </row>
    <row r="273" spans="1:17" ht="16.5" x14ac:dyDescent="0.25">
      <c r="A273" s="2"/>
      <c r="B273" s="4"/>
      <c r="C273" s="18"/>
      <c r="E273" s="20">
        <v>44767</v>
      </c>
      <c r="F273" s="17" t="s">
        <v>186</v>
      </c>
      <c r="G273" s="21">
        <v>8.4525816625963124</v>
      </c>
      <c r="H273" s="21">
        <v>14</v>
      </c>
      <c r="I273" s="25">
        <v>2.7908349208782022E-2</v>
      </c>
      <c r="J273" s="21">
        <v>0</v>
      </c>
      <c r="K273" s="21">
        <v>0.49364583333333328</v>
      </c>
      <c r="L273" s="21">
        <v>2.52</v>
      </c>
      <c r="M273" s="17" t="s">
        <v>122</v>
      </c>
      <c r="N273" s="17" t="s">
        <v>117</v>
      </c>
      <c r="O273" s="21">
        <v>1.9</v>
      </c>
      <c r="P273" s="21">
        <v>3.3502000000000001</v>
      </c>
      <c r="Q273" s="21">
        <v>12.1</v>
      </c>
    </row>
    <row r="274" spans="1:17" ht="16.5" x14ac:dyDescent="0.25">
      <c r="A274" s="2"/>
      <c r="B274" s="4"/>
      <c r="C274" s="18"/>
      <c r="E274" s="20">
        <v>44767</v>
      </c>
      <c r="F274" s="17" t="s">
        <v>184</v>
      </c>
      <c r="G274" s="21">
        <v>8.9025816625963134</v>
      </c>
      <c r="H274" s="21">
        <v>15</v>
      </c>
      <c r="I274" s="25">
        <v>5.3277098935514279E-2</v>
      </c>
      <c r="J274" s="21">
        <v>0</v>
      </c>
      <c r="K274" s="21">
        <v>0.79364583333333327</v>
      </c>
      <c r="L274" s="21">
        <v>2.6999999999999997</v>
      </c>
      <c r="M274" s="17" t="s">
        <v>122</v>
      </c>
      <c r="N274" s="17" t="s">
        <v>117</v>
      </c>
      <c r="O274" s="21">
        <v>1.9</v>
      </c>
      <c r="P274" s="21">
        <v>3.5895000000000001</v>
      </c>
      <c r="Q274" s="21">
        <v>13.1</v>
      </c>
    </row>
    <row r="275" spans="1:17" ht="16.5" x14ac:dyDescent="0.25">
      <c r="A275" s="2"/>
      <c r="B275" s="4"/>
      <c r="C275" s="18"/>
      <c r="E275" s="20">
        <v>44767</v>
      </c>
      <c r="F275" s="17" t="s">
        <v>88</v>
      </c>
      <c r="G275" s="21">
        <v>8.4525816625963124</v>
      </c>
      <c r="H275" s="21">
        <v>13</v>
      </c>
      <c r="I275" s="25">
        <v>8.5388267389075831E-2</v>
      </c>
      <c r="J275" s="21">
        <v>0</v>
      </c>
      <c r="K275" s="21">
        <v>0.49364583333333328</v>
      </c>
      <c r="L275" s="21">
        <v>0.91000000000000014</v>
      </c>
      <c r="M275" s="17" t="s">
        <v>122</v>
      </c>
      <c r="N275" s="17" t="s">
        <v>117</v>
      </c>
      <c r="O275" s="21">
        <v>1.9</v>
      </c>
      <c r="P275" s="21">
        <v>1.6809000000000001</v>
      </c>
      <c r="Q275" s="21">
        <v>11.1</v>
      </c>
    </row>
    <row r="276" spans="1:17" ht="16.5" x14ac:dyDescent="0.25">
      <c r="A276" s="2"/>
      <c r="B276" s="4"/>
      <c r="C276" s="18"/>
      <c r="E276" s="20">
        <v>44767</v>
      </c>
      <c r="F276" s="17" t="s">
        <v>86</v>
      </c>
      <c r="G276" s="21">
        <v>8.9025816625963134</v>
      </c>
      <c r="H276" s="21">
        <v>14</v>
      </c>
      <c r="I276" s="25">
        <v>0.11380156667079744</v>
      </c>
      <c r="J276" s="21">
        <v>0</v>
      </c>
      <c r="K276" s="21">
        <v>0.79364583333333327</v>
      </c>
      <c r="L276" s="21">
        <v>0.98000000000000009</v>
      </c>
      <c r="M276" s="17" t="s">
        <v>122</v>
      </c>
      <c r="N276" s="17" t="s">
        <v>117</v>
      </c>
      <c r="O276" s="21">
        <v>1.9</v>
      </c>
      <c r="P276" s="21">
        <v>1.8102</v>
      </c>
      <c r="Q276" s="21">
        <v>12.1</v>
      </c>
    </row>
    <row r="277" spans="1:17" ht="16.5" x14ac:dyDescent="0.25">
      <c r="A277" s="2"/>
      <c r="B277" s="4"/>
      <c r="C277" s="18"/>
      <c r="E277" s="20">
        <v>44764</v>
      </c>
      <c r="F277" s="17" t="s">
        <v>199</v>
      </c>
      <c r="G277" s="21">
        <v>29</v>
      </c>
      <c r="H277" s="21">
        <v>40</v>
      </c>
      <c r="I277" s="25">
        <v>6.2500000000000069E-2</v>
      </c>
      <c r="J277" s="21">
        <v>0</v>
      </c>
      <c r="K277" s="21">
        <v>0</v>
      </c>
      <c r="L277" s="21">
        <v>4.8</v>
      </c>
      <c r="M277" s="17" t="s">
        <v>122</v>
      </c>
      <c r="N277" s="17" t="s">
        <v>116</v>
      </c>
      <c r="O277" s="21">
        <v>4</v>
      </c>
      <c r="P277" s="21">
        <v>4.8</v>
      </c>
      <c r="Q277" s="21">
        <v>36</v>
      </c>
    </row>
    <row r="278" spans="1:17" ht="16.5" x14ac:dyDescent="0.25">
      <c r="A278" s="2"/>
      <c r="B278" s="4"/>
      <c r="C278" s="18"/>
      <c r="E278" s="20">
        <v>44764</v>
      </c>
      <c r="F278" s="17" t="s">
        <v>199</v>
      </c>
      <c r="G278" s="21">
        <v>28.65</v>
      </c>
      <c r="H278" s="21">
        <v>42</v>
      </c>
      <c r="I278" s="25">
        <v>5.2783048152854464E-2</v>
      </c>
      <c r="J278" s="21">
        <v>0</v>
      </c>
      <c r="K278" s="21">
        <v>0.35000000000000003</v>
      </c>
      <c r="L278" s="21">
        <v>5.04</v>
      </c>
      <c r="M278" s="17" t="s">
        <v>122</v>
      </c>
      <c r="N278" s="17" t="s">
        <v>117</v>
      </c>
      <c r="O278" s="21">
        <v>4</v>
      </c>
      <c r="P278" s="21">
        <v>7.5306000000000006</v>
      </c>
      <c r="Q278" s="21">
        <v>38</v>
      </c>
    </row>
    <row r="279" spans="1:17" ht="16.5" x14ac:dyDescent="0.25">
      <c r="A279" s="2"/>
      <c r="B279" s="4"/>
      <c r="C279" s="18"/>
      <c r="E279" s="20">
        <v>44764</v>
      </c>
      <c r="F279" s="17" t="s">
        <v>200</v>
      </c>
      <c r="G279" s="21">
        <v>31.612500000000001</v>
      </c>
      <c r="H279" s="21">
        <v>46</v>
      </c>
      <c r="I279" s="25">
        <v>4.3433230381275827E-2</v>
      </c>
      <c r="J279" s="21">
        <v>0</v>
      </c>
      <c r="K279" s="21">
        <v>0.38750000000000001</v>
      </c>
      <c r="L279" s="21">
        <v>5.52</v>
      </c>
      <c r="M279" s="17" t="s">
        <v>122</v>
      </c>
      <c r="N279" s="17" t="s">
        <v>117</v>
      </c>
      <c r="O279" s="21">
        <v>4.5</v>
      </c>
      <c r="P279" s="21">
        <v>8.2478000000000016</v>
      </c>
      <c r="Q279" s="21">
        <v>41.5</v>
      </c>
    </row>
    <row r="280" spans="1:17" ht="16.5" x14ac:dyDescent="0.25">
      <c r="A280" s="2"/>
      <c r="B280" s="4"/>
      <c r="C280" s="18"/>
      <c r="E280" s="20">
        <v>44764</v>
      </c>
      <c r="F280" s="17" t="s">
        <v>200</v>
      </c>
      <c r="G280" s="21">
        <v>32</v>
      </c>
      <c r="H280" s="21">
        <v>43</v>
      </c>
      <c r="I280" s="25">
        <v>3.5412262156448292E-2</v>
      </c>
      <c r="J280" s="21">
        <v>0</v>
      </c>
      <c r="K280" s="21">
        <v>0</v>
      </c>
      <c r="L280" s="21">
        <v>5.16</v>
      </c>
      <c r="M280" s="17" t="s">
        <v>122</v>
      </c>
      <c r="N280" s="17" t="s">
        <v>116</v>
      </c>
      <c r="O280" s="21">
        <v>4.5</v>
      </c>
      <c r="P280" s="21">
        <v>5.16</v>
      </c>
      <c r="Q280" s="21">
        <v>38.5</v>
      </c>
    </row>
    <row r="281" spans="1:17" ht="16.5" x14ac:dyDescent="0.25">
      <c r="A281" s="2"/>
      <c r="B281" s="4"/>
      <c r="C281" s="18"/>
      <c r="E281" s="20">
        <v>44764</v>
      </c>
      <c r="F281" s="17" t="s">
        <v>201</v>
      </c>
      <c r="G281" s="21">
        <v>17</v>
      </c>
      <c r="H281" s="21">
        <v>22.5</v>
      </c>
      <c r="I281" s="25">
        <v>4.0404040404040435E-2</v>
      </c>
      <c r="J281" s="21">
        <v>0</v>
      </c>
      <c r="K281" s="21">
        <v>0</v>
      </c>
      <c r="L281" s="21">
        <v>2.6999999999999997</v>
      </c>
      <c r="M281" s="17" t="s">
        <v>122</v>
      </c>
      <c r="N281" s="17" t="s">
        <v>116</v>
      </c>
      <c r="O281" s="21">
        <v>2</v>
      </c>
      <c r="P281" s="21">
        <v>2.6999999999999997</v>
      </c>
      <c r="Q281" s="21">
        <v>20.5</v>
      </c>
    </row>
    <row r="282" spans="1:17" ht="16.5" x14ac:dyDescent="0.25">
      <c r="A282" s="2"/>
      <c r="B282" s="4"/>
      <c r="C282" s="18"/>
      <c r="E282" s="20">
        <v>44764</v>
      </c>
      <c r="F282" s="17" t="s">
        <v>201</v>
      </c>
      <c r="G282" s="21">
        <v>16.8</v>
      </c>
      <c r="H282" s="21">
        <v>23.5</v>
      </c>
      <c r="I282" s="25">
        <v>2.5222371146582077E-2</v>
      </c>
      <c r="J282" s="21">
        <v>0</v>
      </c>
      <c r="K282" s="21">
        <v>0.2</v>
      </c>
      <c r="L282" s="21">
        <v>2.82</v>
      </c>
      <c r="M282" s="17" t="s">
        <v>122</v>
      </c>
      <c r="N282" s="17" t="s">
        <v>117</v>
      </c>
      <c r="O282" s="21">
        <v>2</v>
      </c>
      <c r="P282" s="21">
        <v>4.2135500000000006</v>
      </c>
      <c r="Q282" s="21">
        <v>21.5</v>
      </c>
    </row>
    <row r="283" spans="1:17" ht="16.5" x14ac:dyDescent="0.25">
      <c r="A283" s="2"/>
      <c r="B283" s="4"/>
      <c r="C283" s="18"/>
      <c r="E283" s="20">
        <v>44764</v>
      </c>
      <c r="F283" s="17" t="s">
        <v>199</v>
      </c>
      <c r="G283" s="21">
        <v>29</v>
      </c>
      <c r="H283" s="21">
        <v>34</v>
      </c>
      <c r="I283" s="25">
        <v>0.14705882352941177</v>
      </c>
      <c r="J283" s="21">
        <v>0</v>
      </c>
      <c r="K283" s="21">
        <v>0.35000000000000003</v>
      </c>
      <c r="L283" s="21">
        <v>0</v>
      </c>
      <c r="M283" s="17" t="s">
        <v>113</v>
      </c>
      <c r="N283" s="17" t="s">
        <v>115</v>
      </c>
      <c r="O283" s="21">
        <v>0</v>
      </c>
      <c r="P283" s="21">
        <v>0</v>
      </c>
      <c r="Q283" s="21">
        <v>34</v>
      </c>
    </row>
    <row r="284" spans="1:17" ht="16.5" x14ac:dyDescent="0.25">
      <c r="A284" s="2"/>
      <c r="B284" s="4"/>
      <c r="C284" s="18"/>
      <c r="E284" s="20">
        <v>44764</v>
      </c>
      <c r="F284" s="17" t="s">
        <v>200</v>
      </c>
      <c r="G284" s="21">
        <v>32</v>
      </c>
      <c r="H284" s="21">
        <v>37.5</v>
      </c>
      <c r="I284" s="25">
        <v>0.14666666666666667</v>
      </c>
      <c r="J284" s="21">
        <v>0</v>
      </c>
      <c r="K284" s="21">
        <v>0.38750000000000001</v>
      </c>
      <c r="L284" s="21">
        <v>0</v>
      </c>
      <c r="M284" s="17" t="s">
        <v>113</v>
      </c>
      <c r="N284" s="17" t="s">
        <v>115</v>
      </c>
      <c r="O284" s="21">
        <v>0</v>
      </c>
      <c r="P284" s="21">
        <v>0</v>
      </c>
      <c r="Q284" s="21">
        <v>37.5</v>
      </c>
    </row>
    <row r="285" spans="1:17" ht="16.5" x14ac:dyDescent="0.25">
      <c r="A285" s="2"/>
      <c r="B285" s="4"/>
      <c r="C285" s="18"/>
      <c r="E285" s="20">
        <v>44764</v>
      </c>
      <c r="F285" s="17" t="s">
        <v>201</v>
      </c>
      <c r="G285" s="21">
        <v>17</v>
      </c>
      <c r="H285" s="21">
        <v>18.5</v>
      </c>
      <c r="I285" s="25">
        <v>8.1081081081081086E-2</v>
      </c>
      <c r="J285" s="21">
        <v>0</v>
      </c>
      <c r="K285" s="21">
        <v>0.2</v>
      </c>
      <c r="L285" s="21">
        <v>0</v>
      </c>
      <c r="M285" s="17" t="s">
        <v>113</v>
      </c>
      <c r="N285" s="17" t="s">
        <v>115</v>
      </c>
      <c r="O285" s="21">
        <v>0</v>
      </c>
      <c r="P285" s="21">
        <v>0</v>
      </c>
      <c r="Q285" s="21">
        <v>18.5</v>
      </c>
    </row>
    <row r="286" spans="1:17" ht="16.5" x14ac:dyDescent="0.25">
      <c r="A286" s="2"/>
      <c r="B286" s="4"/>
      <c r="C286" s="18"/>
      <c r="E286" s="20">
        <v>44763</v>
      </c>
      <c r="F286" s="17" t="s">
        <v>199</v>
      </c>
      <c r="G286" s="21">
        <v>28.65</v>
      </c>
      <c r="H286" s="21">
        <v>52</v>
      </c>
      <c r="I286" s="25">
        <v>0.21150799973755993</v>
      </c>
      <c r="J286" s="21">
        <v>0</v>
      </c>
      <c r="K286" s="21">
        <v>0.35000000000000003</v>
      </c>
      <c r="L286" s="21">
        <v>6.24</v>
      </c>
      <c r="M286" s="17" t="s">
        <v>122</v>
      </c>
      <c r="N286" s="17" t="s">
        <v>117</v>
      </c>
      <c r="O286" s="21">
        <v>5</v>
      </c>
      <c r="P286" s="21">
        <v>9.3236000000000008</v>
      </c>
      <c r="Q286" s="21">
        <v>47</v>
      </c>
    </row>
    <row r="287" spans="1:17" ht="16.5" x14ac:dyDescent="0.25">
      <c r="A287" s="2"/>
      <c r="B287" s="4"/>
      <c r="C287" s="18"/>
      <c r="E287" s="20">
        <v>44763</v>
      </c>
      <c r="F287" s="17" t="s">
        <v>199</v>
      </c>
      <c r="G287" s="21">
        <v>29</v>
      </c>
      <c r="H287" s="21">
        <v>40</v>
      </c>
      <c r="I287" s="25">
        <v>0.27500000000000002</v>
      </c>
      <c r="J287" s="21">
        <v>0</v>
      </c>
      <c r="K287" s="21">
        <v>0.35000000000000003</v>
      </c>
      <c r="L287" s="21">
        <v>0</v>
      </c>
      <c r="M287" s="17" t="s">
        <v>113</v>
      </c>
      <c r="N287" s="17" t="s">
        <v>115</v>
      </c>
      <c r="O287" s="21">
        <v>0</v>
      </c>
      <c r="P287" s="21">
        <v>0</v>
      </c>
      <c r="Q287" s="21">
        <v>40</v>
      </c>
    </row>
    <row r="288" spans="1:17" ht="16.5" x14ac:dyDescent="0.25">
      <c r="A288" s="2"/>
      <c r="B288" s="4"/>
      <c r="C288" s="18"/>
      <c r="E288" s="20">
        <v>44763</v>
      </c>
      <c r="F288" s="17" t="s">
        <v>200</v>
      </c>
      <c r="G288" s="21">
        <v>32</v>
      </c>
      <c r="H288" s="21">
        <v>42</v>
      </c>
      <c r="I288" s="25">
        <v>0.23809523809523808</v>
      </c>
      <c r="J288" s="21">
        <v>0</v>
      </c>
      <c r="K288" s="21">
        <v>0.38750000000000001</v>
      </c>
      <c r="L288" s="21">
        <v>0</v>
      </c>
      <c r="M288" s="17" t="s">
        <v>113</v>
      </c>
      <c r="N288" s="17" t="s">
        <v>115</v>
      </c>
      <c r="O288" s="21">
        <v>0</v>
      </c>
      <c r="P288" s="21">
        <v>0</v>
      </c>
      <c r="Q288" s="21">
        <v>42</v>
      </c>
    </row>
    <row r="289" spans="1:17" ht="16.5" x14ac:dyDescent="0.25">
      <c r="A289" s="2"/>
      <c r="B289" s="4"/>
      <c r="C289" s="18"/>
      <c r="E289" s="20">
        <v>44763</v>
      </c>
      <c r="F289" s="17" t="s">
        <v>200</v>
      </c>
      <c r="G289" s="21">
        <v>32</v>
      </c>
      <c r="H289" s="21">
        <v>41</v>
      </c>
      <c r="I289" s="25">
        <v>0.21951219512195122</v>
      </c>
      <c r="J289" s="21">
        <v>0</v>
      </c>
      <c r="K289" s="21">
        <v>0.38750000000000001</v>
      </c>
      <c r="L289" s="21">
        <v>0</v>
      </c>
      <c r="M289" s="17" t="s">
        <v>113</v>
      </c>
      <c r="N289" s="17" t="s">
        <v>115</v>
      </c>
      <c r="O289" s="21">
        <v>0</v>
      </c>
      <c r="P289" s="21">
        <v>0</v>
      </c>
      <c r="Q289" s="21">
        <v>41</v>
      </c>
    </row>
    <row r="290" spans="1:17" ht="16.5" x14ac:dyDescent="0.25">
      <c r="A290" s="2"/>
      <c r="B290" s="4"/>
      <c r="C290" s="18"/>
      <c r="E290" s="20">
        <v>44763</v>
      </c>
      <c r="F290" s="17" t="s">
        <v>200</v>
      </c>
      <c r="G290" s="21">
        <v>32</v>
      </c>
      <c r="H290" s="21">
        <v>40</v>
      </c>
      <c r="I290" s="25">
        <v>0.2</v>
      </c>
      <c r="J290" s="21">
        <v>0</v>
      </c>
      <c r="K290" s="21">
        <v>0.38750000000000001</v>
      </c>
      <c r="L290" s="21">
        <v>0</v>
      </c>
      <c r="M290" s="17" t="s">
        <v>113</v>
      </c>
      <c r="N290" s="17" t="s">
        <v>115</v>
      </c>
      <c r="O290" s="21">
        <v>0</v>
      </c>
      <c r="P290" s="21">
        <v>0</v>
      </c>
      <c r="Q290" s="21">
        <v>40</v>
      </c>
    </row>
    <row r="291" spans="1:17" ht="16.5" x14ac:dyDescent="0.25">
      <c r="A291" s="2"/>
      <c r="B291" s="4"/>
      <c r="C291" s="18"/>
      <c r="E291" s="20">
        <v>44763</v>
      </c>
      <c r="F291" s="17" t="s">
        <v>200</v>
      </c>
      <c r="G291" s="21">
        <v>31.612500000000001</v>
      </c>
      <c r="H291" s="21">
        <v>55</v>
      </c>
      <c r="I291" s="25">
        <v>0.1888853196273691</v>
      </c>
      <c r="J291" s="21">
        <v>0</v>
      </c>
      <c r="K291" s="21">
        <v>0.38750000000000001</v>
      </c>
      <c r="L291" s="21">
        <v>6.6</v>
      </c>
      <c r="M291" s="17" t="s">
        <v>122</v>
      </c>
      <c r="N291" s="17" t="s">
        <v>117</v>
      </c>
      <c r="O291" s="21">
        <v>5</v>
      </c>
      <c r="P291" s="21">
        <v>9.8615000000000013</v>
      </c>
      <c r="Q291" s="21">
        <v>50</v>
      </c>
    </row>
    <row r="292" spans="1:17" ht="16.5" x14ac:dyDescent="0.25">
      <c r="A292" s="2"/>
      <c r="B292" s="4"/>
      <c r="C292" s="18"/>
      <c r="E292" s="20">
        <v>44763</v>
      </c>
      <c r="F292" s="17" t="s">
        <v>201</v>
      </c>
      <c r="G292" s="21">
        <v>16.8</v>
      </c>
      <c r="H292" s="21">
        <v>27</v>
      </c>
      <c r="I292" s="25">
        <v>0.15158243414609923</v>
      </c>
      <c r="J292" s="21">
        <v>0</v>
      </c>
      <c r="K292" s="21">
        <v>0.2</v>
      </c>
      <c r="L292" s="21">
        <v>3.2399999999999998</v>
      </c>
      <c r="M292" s="17" t="s">
        <v>122</v>
      </c>
      <c r="N292" s="17" t="s">
        <v>117</v>
      </c>
      <c r="O292" s="21">
        <v>2</v>
      </c>
      <c r="P292" s="21">
        <v>4.8411000000000008</v>
      </c>
      <c r="Q292" s="21">
        <v>25</v>
      </c>
    </row>
    <row r="293" spans="1:17" ht="16.5" x14ac:dyDescent="0.25">
      <c r="A293" s="2"/>
      <c r="B293" s="4"/>
      <c r="C293" s="18"/>
      <c r="E293" s="20">
        <v>44763</v>
      </c>
      <c r="F293" s="17" t="s">
        <v>201</v>
      </c>
      <c r="G293" s="21">
        <v>17</v>
      </c>
      <c r="H293" s="21">
        <v>21</v>
      </c>
      <c r="I293" s="25">
        <v>0.19047619047619047</v>
      </c>
      <c r="J293" s="21">
        <v>0</v>
      </c>
      <c r="K293" s="21">
        <v>0.2</v>
      </c>
      <c r="L293" s="21">
        <v>0</v>
      </c>
      <c r="M293" s="17" t="s">
        <v>113</v>
      </c>
      <c r="N293" s="17" t="s">
        <v>115</v>
      </c>
      <c r="O293" s="21">
        <v>0</v>
      </c>
      <c r="P293" s="21">
        <v>0</v>
      </c>
      <c r="Q293" s="21">
        <v>21</v>
      </c>
    </row>
    <row r="294" spans="1:17" ht="16.5" x14ac:dyDescent="0.25">
      <c r="A294" s="2"/>
      <c r="B294" s="4"/>
      <c r="C294" s="18"/>
      <c r="E294" s="20">
        <v>44763</v>
      </c>
      <c r="F294" s="17" t="s">
        <v>185</v>
      </c>
      <c r="G294" s="21">
        <v>4.2227556089835003</v>
      </c>
      <c r="H294" s="21">
        <v>8.5</v>
      </c>
      <c r="I294" s="25">
        <v>0.19226786334823176</v>
      </c>
      <c r="J294" s="21">
        <v>0</v>
      </c>
      <c r="K294" s="21">
        <v>0.44057291666666665</v>
      </c>
      <c r="L294" s="21">
        <v>1.53</v>
      </c>
      <c r="M294" s="17" t="s">
        <v>122</v>
      </c>
      <c r="N294" s="17" t="s">
        <v>117</v>
      </c>
      <c r="O294" s="21">
        <v>1</v>
      </c>
      <c r="P294" s="21">
        <v>2.0340500000000001</v>
      </c>
      <c r="Q294" s="21">
        <v>7.5</v>
      </c>
    </row>
    <row r="295" spans="1:17" ht="16.5" x14ac:dyDescent="0.25">
      <c r="A295" s="2"/>
      <c r="B295" s="4"/>
      <c r="C295" s="18"/>
      <c r="E295" s="20">
        <v>44763</v>
      </c>
      <c r="F295" s="17" t="s">
        <v>186</v>
      </c>
      <c r="G295" s="21">
        <v>9.0942483292629781</v>
      </c>
      <c r="H295" s="21">
        <v>14.5</v>
      </c>
      <c r="I295" s="25">
        <v>-5.8111928906659565E-3</v>
      </c>
      <c r="J295" s="21">
        <v>0</v>
      </c>
      <c r="K295" s="21">
        <v>0.58114583333333336</v>
      </c>
      <c r="L295" s="21">
        <v>2.61</v>
      </c>
      <c r="M295" s="17" t="s">
        <v>122</v>
      </c>
      <c r="N295" s="17" t="s">
        <v>117</v>
      </c>
      <c r="O295" s="21">
        <v>2</v>
      </c>
      <c r="P295" s="21">
        <v>3.4698500000000001</v>
      </c>
      <c r="Q295" s="21">
        <v>12.5</v>
      </c>
    </row>
    <row r="296" spans="1:17" ht="16.5" x14ac:dyDescent="0.25">
      <c r="A296" s="2"/>
      <c r="B296" s="4"/>
      <c r="C296" s="18"/>
      <c r="E296" s="20">
        <v>44763</v>
      </c>
      <c r="F296" s="17" t="s">
        <v>184</v>
      </c>
      <c r="G296" s="21">
        <v>9.5442483292629774</v>
      </c>
      <c r="H296" s="21">
        <v>15.5</v>
      </c>
      <c r="I296" s="25">
        <v>2.0914664399684636E-2</v>
      </c>
      <c r="J296" s="21">
        <v>0</v>
      </c>
      <c r="K296" s="21">
        <v>0.88114583333333329</v>
      </c>
      <c r="L296" s="21">
        <v>2.79</v>
      </c>
      <c r="M296" s="17" t="s">
        <v>122</v>
      </c>
      <c r="N296" s="17" t="s">
        <v>117</v>
      </c>
      <c r="O296" s="21">
        <v>2</v>
      </c>
      <c r="P296" s="21">
        <v>3.7091500000000002</v>
      </c>
      <c r="Q296" s="21">
        <v>13.5</v>
      </c>
    </row>
    <row r="297" spans="1:17" ht="16.5" x14ac:dyDescent="0.25">
      <c r="A297" s="2"/>
      <c r="B297" s="4"/>
      <c r="C297" s="18"/>
      <c r="E297" s="20">
        <v>44763</v>
      </c>
      <c r="F297" s="17" t="s">
        <v>191</v>
      </c>
      <c r="G297" s="21">
        <v>10.9</v>
      </c>
      <c r="H297" s="21">
        <v>14.9</v>
      </c>
      <c r="I297" s="25">
        <v>5.4301403294691866E-2</v>
      </c>
      <c r="J297" s="21">
        <v>0</v>
      </c>
      <c r="K297" s="21">
        <v>0</v>
      </c>
      <c r="L297" s="21">
        <v>1.788</v>
      </c>
      <c r="M297" s="17" t="s">
        <v>122</v>
      </c>
      <c r="N297" s="17" t="s">
        <v>116</v>
      </c>
      <c r="O297" s="21">
        <v>1.5</v>
      </c>
      <c r="P297" s="21">
        <v>1.788</v>
      </c>
      <c r="Q297" s="21">
        <v>13.4</v>
      </c>
    </row>
    <row r="298" spans="1:17" ht="16.5" x14ac:dyDescent="0.25">
      <c r="A298" s="2"/>
      <c r="B298" s="4"/>
      <c r="C298" s="18"/>
      <c r="E298" s="20">
        <v>44763</v>
      </c>
      <c r="F298" s="17" t="s">
        <v>192</v>
      </c>
      <c r="G298" s="21">
        <v>8</v>
      </c>
      <c r="H298" s="21">
        <v>11.9</v>
      </c>
      <c r="I298" s="25">
        <v>9.281894576012234E-2</v>
      </c>
      <c r="J298" s="21">
        <v>0</v>
      </c>
      <c r="K298" s="21">
        <v>0</v>
      </c>
      <c r="L298" s="21">
        <v>1.4279999999999999</v>
      </c>
      <c r="M298" s="17" t="s">
        <v>122</v>
      </c>
      <c r="N298" s="17" t="s">
        <v>116</v>
      </c>
      <c r="O298" s="21">
        <v>1.5</v>
      </c>
      <c r="P298" s="21">
        <v>1.4279999999999999</v>
      </c>
      <c r="Q298" s="21">
        <v>10.4</v>
      </c>
    </row>
    <row r="299" spans="1:17" ht="16.5" x14ac:dyDescent="0.25">
      <c r="A299" s="2"/>
      <c r="B299" s="4"/>
      <c r="C299" s="18"/>
      <c r="E299" s="20">
        <v>44763</v>
      </c>
      <c r="F299" s="17" t="s">
        <v>192</v>
      </c>
      <c r="G299" s="21">
        <v>7.04</v>
      </c>
      <c r="H299" s="21">
        <v>11.9</v>
      </c>
      <c r="I299" s="25">
        <v>0.12556712705796341</v>
      </c>
      <c r="J299" s="21">
        <v>0</v>
      </c>
      <c r="K299" s="21">
        <v>0.96</v>
      </c>
      <c r="L299" s="21">
        <v>1.4279999999999999</v>
      </c>
      <c r="M299" s="17" t="s">
        <v>122</v>
      </c>
      <c r="N299" s="17" t="s">
        <v>117</v>
      </c>
      <c r="O299" s="21">
        <v>1.5</v>
      </c>
      <c r="P299" s="21">
        <v>2.1336700000000004</v>
      </c>
      <c r="Q299" s="21">
        <v>10.4</v>
      </c>
    </row>
    <row r="300" spans="1:17" ht="16.5" x14ac:dyDescent="0.25">
      <c r="A300" s="2"/>
      <c r="B300" s="4"/>
      <c r="C300" s="18"/>
      <c r="E300" s="20">
        <v>44763</v>
      </c>
      <c r="F300" s="17" t="s">
        <v>191</v>
      </c>
      <c r="G300" s="21">
        <v>9.5920000000000005</v>
      </c>
      <c r="H300" s="21">
        <v>14.9</v>
      </c>
      <c r="I300" s="25">
        <v>9.2933434627339648E-2</v>
      </c>
      <c r="J300" s="21">
        <v>0</v>
      </c>
      <c r="K300" s="21">
        <v>1.3080000000000001</v>
      </c>
      <c r="L300" s="21">
        <v>1.788</v>
      </c>
      <c r="M300" s="17" t="s">
        <v>122</v>
      </c>
      <c r="N300" s="17" t="s">
        <v>117</v>
      </c>
      <c r="O300" s="21">
        <v>1.5</v>
      </c>
      <c r="P300" s="21">
        <v>2.6715700000000004</v>
      </c>
      <c r="Q300" s="21">
        <v>13.4</v>
      </c>
    </row>
    <row r="301" spans="1:17" ht="16.5" x14ac:dyDescent="0.25">
      <c r="A301" s="2"/>
      <c r="B301" s="4"/>
      <c r="C301" s="18"/>
      <c r="E301" s="20">
        <v>44763</v>
      </c>
      <c r="F301" s="17" t="s">
        <v>94</v>
      </c>
      <c r="G301" s="21">
        <v>3.85</v>
      </c>
      <c r="H301" s="21">
        <v>5</v>
      </c>
      <c r="I301" s="25">
        <v>3.7037037037036959E-2</v>
      </c>
      <c r="J301" s="21">
        <v>0</v>
      </c>
      <c r="K301" s="21">
        <v>0</v>
      </c>
      <c r="L301" s="21">
        <v>0.27500000000000002</v>
      </c>
      <c r="M301" s="17" t="s">
        <v>122</v>
      </c>
      <c r="N301" s="17" t="s">
        <v>116</v>
      </c>
      <c r="O301" s="21">
        <v>0.7</v>
      </c>
      <c r="P301" s="21">
        <v>0.27500000000000002</v>
      </c>
      <c r="Q301" s="21">
        <v>4.3</v>
      </c>
    </row>
    <row r="302" spans="1:17" ht="16.5" x14ac:dyDescent="0.25">
      <c r="A302" s="2"/>
      <c r="B302" s="4"/>
      <c r="C302" s="18"/>
      <c r="E302" s="20">
        <v>44763</v>
      </c>
      <c r="F302" s="17" t="s">
        <v>94</v>
      </c>
      <c r="G302" s="21">
        <v>3.77704</v>
      </c>
      <c r="H302" s="21">
        <v>5.5</v>
      </c>
      <c r="I302" s="25">
        <v>5.0388155941119075E-2</v>
      </c>
      <c r="J302" s="21">
        <v>0</v>
      </c>
      <c r="K302" s="21">
        <v>7.2960000000000011E-2</v>
      </c>
      <c r="L302" s="21">
        <v>0.65999999999999992</v>
      </c>
      <c r="M302" s="17" t="s">
        <v>122</v>
      </c>
      <c r="N302" s="17" t="s">
        <v>117</v>
      </c>
      <c r="O302" s="21">
        <v>0.7</v>
      </c>
      <c r="P302" s="21">
        <v>0.7854000000000001</v>
      </c>
      <c r="Q302" s="21">
        <v>4.8</v>
      </c>
    </row>
    <row r="303" spans="1:17" ht="16.5" x14ac:dyDescent="0.25">
      <c r="A303" s="2"/>
      <c r="B303" s="4"/>
      <c r="C303" s="18"/>
      <c r="E303" s="20">
        <v>44763</v>
      </c>
      <c r="F303" s="17" t="s">
        <v>95</v>
      </c>
      <c r="G303" s="21">
        <v>6.5053600000000005</v>
      </c>
      <c r="H303" s="21">
        <v>9.5</v>
      </c>
      <c r="I303" s="25">
        <v>7.8350566102610611E-2</v>
      </c>
      <c r="J303" s="21">
        <v>0</v>
      </c>
      <c r="K303" s="21">
        <v>0.14464000000000002</v>
      </c>
      <c r="L303" s="21">
        <v>1.1399999999999999</v>
      </c>
      <c r="M303" s="17" t="s">
        <v>122</v>
      </c>
      <c r="N303" s="17" t="s">
        <v>117</v>
      </c>
      <c r="O303" s="21">
        <v>1</v>
      </c>
      <c r="P303" s="21">
        <v>1.3566</v>
      </c>
      <c r="Q303" s="21">
        <v>8.5</v>
      </c>
    </row>
    <row r="304" spans="1:17" ht="16.5" x14ac:dyDescent="0.25">
      <c r="A304" s="2"/>
      <c r="B304" s="4"/>
      <c r="C304" s="18"/>
      <c r="E304" s="20">
        <v>44763</v>
      </c>
      <c r="F304" s="17" t="s">
        <v>95</v>
      </c>
      <c r="G304" s="21">
        <v>6.65</v>
      </c>
      <c r="H304" s="21">
        <v>9</v>
      </c>
      <c r="I304" s="25">
        <v>0.10052910052910057</v>
      </c>
      <c r="J304" s="21">
        <v>0</v>
      </c>
      <c r="K304" s="21">
        <v>0</v>
      </c>
      <c r="L304" s="21">
        <v>0.495</v>
      </c>
      <c r="M304" s="17" t="s">
        <v>122</v>
      </c>
      <c r="N304" s="17" t="s">
        <v>116</v>
      </c>
      <c r="O304" s="21">
        <v>1</v>
      </c>
      <c r="P304" s="21">
        <v>0.495</v>
      </c>
      <c r="Q304" s="21">
        <v>8</v>
      </c>
    </row>
    <row r="305" spans="1:17" ht="16.5" x14ac:dyDescent="0.25">
      <c r="A305" s="2"/>
      <c r="B305" s="4"/>
      <c r="C305" s="18"/>
      <c r="E305" s="20">
        <v>44763</v>
      </c>
      <c r="F305" s="17" t="s">
        <v>95</v>
      </c>
      <c r="G305" s="21">
        <v>6.65</v>
      </c>
      <c r="H305" s="21">
        <v>7.3</v>
      </c>
      <c r="I305" s="25">
        <v>8.9041095890410885E-2</v>
      </c>
      <c r="J305" s="21">
        <v>0</v>
      </c>
      <c r="K305" s="21">
        <v>0.14464000000000002</v>
      </c>
      <c r="L305" s="21">
        <v>0</v>
      </c>
      <c r="M305" s="17" t="s">
        <v>113</v>
      </c>
      <c r="N305" s="17" t="s">
        <v>115</v>
      </c>
      <c r="O305" s="21">
        <v>0</v>
      </c>
      <c r="P305" s="21">
        <v>0</v>
      </c>
      <c r="Q305" s="21">
        <v>7.3</v>
      </c>
    </row>
    <row r="306" spans="1:17" ht="16.5" x14ac:dyDescent="0.25">
      <c r="A306" s="2"/>
      <c r="B306" s="4"/>
      <c r="C306" s="18"/>
      <c r="E306" s="20">
        <v>44763</v>
      </c>
      <c r="F306" s="17" t="s">
        <v>94</v>
      </c>
      <c r="G306" s="21">
        <v>3.85</v>
      </c>
      <c r="H306" s="21">
        <v>4</v>
      </c>
      <c r="I306" s="25">
        <v>3.7499999999999978E-2</v>
      </c>
      <c r="J306" s="21">
        <v>0</v>
      </c>
      <c r="K306" s="21">
        <v>7.2960000000000011E-2</v>
      </c>
      <c r="L306" s="21">
        <v>0</v>
      </c>
      <c r="M306" s="17" t="s">
        <v>113</v>
      </c>
      <c r="N306" s="17" t="s">
        <v>115</v>
      </c>
      <c r="O306" s="21">
        <v>0</v>
      </c>
      <c r="P306" s="21">
        <v>0</v>
      </c>
      <c r="Q306" s="21">
        <v>4</v>
      </c>
    </row>
    <row r="307" spans="1:17" ht="16.5" x14ac:dyDescent="0.25">
      <c r="A307" s="2"/>
      <c r="B307" s="4"/>
      <c r="C307" s="18"/>
      <c r="E307" s="20">
        <v>44763</v>
      </c>
      <c r="F307" s="17" t="s">
        <v>95</v>
      </c>
      <c r="G307" s="21">
        <v>6.65</v>
      </c>
      <c r="H307" s="21">
        <v>7.5</v>
      </c>
      <c r="I307" s="25">
        <v>0.11333333333333329</v>
      </c>
      <c r="J307" s="21">
        <v>0</v>
      </c>
      <c r="K307" s="21">
        <v>0.14464000000000002</v>
      </c>
      <c r="L307" s="21">
        <v>0</v>
      </c>
      <c r="M307" s="17" t="s">
        <v>113</v>
      </c>
      <c r="N307" s="17" t="s">
        <v>115</v>
      </c>
      <c r="O307" s="21">
        <v>0</v>
      </c>
      <c r="P307" s="21">
        <v>0</v>
      </c>
      <c r="Q307" s="21">
        <v>7.5</v>
      </c>
    </row>
    <row r="308" spans="1:17" ht="16.5" x14ac:dyDescent="0.25">
      <c r="A308" s="2"/>
      <c r="B308" s="4"/>
      <c r="C308" s="18"/>
      <c r="E308" s="20">
        <v>44763</v>
      </c>
      <c r="F308" s="17" t="s">
        <v>95</v>
      </c>
      <c r="G308" s="21">
        <v>6.65</v>
      </c>
      <c r="H308" s="21">
        <v>7.5</v>
      </c>
      <c r="I308" s="25">
        <v>0.11333333333333329</v>
      </c>
      <c r="J308" s="21">
        <v>0</v>
      </c>
      <c r="K308" s="21">
        <v>0.14464000000000002</v>
      </c>
      <c r="L308" s="21">
        <v>0</v>
      </c>
      <c r="M308" s="17" t="s">
        <v>113</v>
      </c>
      <c r="N308" s="17" t="s">
        <v>115</v>
      </c>
      <c r="O308" s="21">
        <v>0</v>
      </c>
      <c r="P308" s="21">
        <v>0</v>
      </c>
      <c r="Q308" s="21">
        <v>7.5</v>
      </c>
    </row>
    <row r="309" spans="1:17" ht="16.5" x14ac:dyDescent="0.25">
      <c r="A309" s="2"/>
      <c r="B309" s="4"/>
      <c r="C309" s="18"/>
      <c r="E309" s="20">
        <v>44763</v>
      </c>
      <c r="F309" s="17" t="s">
        <v>87</v>
      </c>
      <c r="G309" s="21">
        <v>4.6633285256501669</v>
      </c>
      <c r="H309" s="21">
        <v>6.5</v>
      </c>
      <c r="I309" s="25">
        <v>0.28256484220766664</v>
      </c>
      <c r="J309" s="21">
        <v>0</v>
      </c>
      <c r="K309" s="21">
        <v>0.44057291666666665</v>
      </c>
      <c r="L309" s="21">
        <v>0</v>
      </c>
      <c r="M309" s="17" t="s">
        <v>113</v>
      </c>
      <c r="N309" s="17" t="s">
        <v>115</v>
      </c>
      <c r="O309" s="21">
        <v>0</v>
      </c>
      <c r="P309" s="21">
        <v>0</v>
      </c>
      <c r="Q309" s="21">
        <v>6.5</v>
      </c>
    </row>
    <row r="310" spans="1:17" ht="16.5" x14ac:dyDescent="0.25">
      <c r="A310" s="2"/>
      <c r="B310" s="4"/>
      <c r="C310" s="18"/>
      <c r="E310" s="20">
        <v>44763</v>
      </c>
      <c r="F310" s="17" t="s">
        <v>88</v>
      </c>
      <c r="G310" s="21">
        <v>9.6753941625963122</v>
      </c>
      <c r="H310" s="21">
        <v>10.5</v>
      </c>
      <c r="I310" s="25">
        <v>7.8533889276541688E-2</v>
      </c>
      <c r="J310" s="21">
        <v>0</v>
      </c>
      <c r="K310" s="21">
        <v>0.58114583333333336</v>
      </c>
      <c r="L310" s="21">
        <v>0</v>
      </c>
      <c r="M310" s="17" t="s">
        <v>113</v>
      </c>
      <c r="N310" s="17" t="s">
        <v>115</v>
      </c>
      <c r="O310" s="21">
        <v>0</v>
      </c>
      <c r="P310" s="21">
        <v>0</v>
      </c>
      <c r="Q310" s="21">
        <v>10.5</v>
      </c>
    </row>
    <row r="311" spans="1:17" ht="16.5" x14ac:dyDescent="0.25">
      <c r="A311" s="2"/>
      <c r="B311" s="4"/>
      <c r="C311" s="18"/>
      <c r="E311" s="20">
        <v>44763</v>
      </c>
      <c r="F311" s="17" t="s">
        <v>86</v>
      </c>
      <c r="G311" s="21">
        <v>10.42539416259631</v>
      </c>
      <c r="H311" s="21">
        <v>11.5</v>
      </c>
      <c r="I311" s="25">
        <v>9.344398586119039E-2</v>
      </c>
      <c r="J311" s="21">
        <v>0</v>
      </c>
      <c r="K311" s="21">
        <v>0.88114583333333329</v>
      </c>
      <c r="L311" s="21">
        <v>0</v>
      </c>
      <c r="M311" s="17" t="s">
        <v>113</v>
      </c>
      <c r="N311" s="17" t="s">
        <v>115</v>
      </c>
      <c r="O311" s="21">
        <v>0</v>
      </c>
      <c r="P311" s="21">
        <v>0</v>
      </c>
      <c r="Q311" s="21">
        <v>11.5</v>
      </c>
    </row>
    <row r="312" spans="1:17" ht="16.5" x14ac:dyDescent="0.25">
      <c r="A312" s="2"/>
      <c r="B312" s="4"/>
      <c r="C312" s="18"/>
      <c r="E312" s="20">
        <v>44763</v>
      </c>
      <c r="F312" s="17" t="s">
        <v>88</v>
      </c>
      <c r="G312" s="21">
        <v>9.0942483292629781</v>
      </c>
      <c r="H312" s="21">
        <v>13.5</v>
      </c>
      <c r="I312" s="25">
        <v>5.616610481451894E-2</v>
      </c>
      <c r="J312" s="21">
        <v>0</v>
      </c>
      <c r="K312" s="21">
        <v>0.58114583333333336</v>
      </c>
      <c r="L312" s="21">
        <v>0.94500000000000006</v>
      </c>
      <c r="M312" s="17" t="s">
        <v>122</v>
      </c>
      <c r="N312" s="17" t="s">
        <v>117</v>
      </c>
      <c r="O312" s="21">
        <v>2</v>
      </c>
      <c r="P312" s="21">
        <v>1.7455499999999999</v>
      </c>
      <c r="Q312" s="21">
        <v>11.5</v>
      </c>
    </row>
    <row r="313" spans="1:17" ht="16.5" x14ac:dyDescent="0.25">
      <c r="A313" s="2"/>
      <c r="B313" s="4"/>
      <c r="C313" s="18"/>
      <c r="E313" s="20">
        <v>44763</v>
      </c>
      <c r="F313" s="17" t="s">
        <v>87</v>
      </c>
      <c r="G313" s="21">
        <v>4.2227556089835003</v>
      </c>
      <c r="H313" s="21">
        <v>8</v>
      </c>
      <c r="I313" s="25">
        <v>0.25020736060303489</v>
      </c>
      <c r="J313" s="21">
        <v>0</v>
      </c>
      <c r="K313" s="21">
        <v>0.44057291666666665</v>
      </c>
      <c r="L313" s="21">
        <v>0.56000000000000005</v>
      </c>
      <c r="M313" s="17" t="s">
        <v>122</v>
      </c>
      <c r="N313" s="17" t="s">
        <v>117</v>
      </c>
      <c r="O313" s="21">
        <v>1</v>
      </c>
      <c r="P313" s="21">
        <v>1.0344</v>
      </c>
      <c r="Q313" s="21">
        <v>7</v>
      </c>
    </row>
    <row r="314" spans="1:17" ht="16.5" x14ac:dyDescent="0.25">
      <c r="A314" s="2"/>
      <c r="B314" s="4"/>
      <c r="C314" s="18"/>
      <c r="E314" s="20">
        <v>44763</v>
      </c>
      <c r="F314" s="17" t="s">
        <v>86</v>
      </c>
      <c r="G314" s="21">
        <v>9.5442483292629774</v>
      </c>
      <c r="H314" s="21">
        <v>14.5</v>
      </c>
      <c r="I314" s="25">
        <v>8.5614956712357665E-2</v>
      </c>
      <c r="J314" s="21">
        <v>0</v>
      </c>
      <c r="K314" s="21">
        <v>0.88114583333333329</v>
      </c>
      <c r="L314" s="21">
        <v>1.0150000000000001</v>
      </c>
      <c r="M314" s="17" t="s">
        <v>122</v>
      </c>
      <c r="N314" s="17" t="s">
        <v>117</v>
      </c>
      <c r="O314" s="21">
        <v>2</v>
      </c>
      <c r="P314" s="21">
        <v>1.8748499999999999</v>
      </c>
      <c r="Q314" s="21">
        <v>12.5</v>
      </c>
    </row>
    <row r="315" spans="1:17" ht="16.5" x14ac:dyDescent="0.25">
      <c r="A315" s="2"/>
      <c r="B315" s="4"/>
      <c r="C315" s="18"/>
      <c r="E315" s="20">
        <v>44762</v>
      </c>
      <c r="F315" s="17" t="s">
        <v>95</v>
      </c>
      <c r="G315" s="21">
        <v>6.5053600000000005</v>
      </c>
      <c r="H315" s="21">
        <v>9</v>
      </c>
      <c r="I315" s="25">
        <v>2.7147819774977943E-2</v>
      </c>
      <c r="J315" s="21">
        <v>0</v>
      </c>
      <c r="K315" s="21">
        <v>0.14464000000000002</v>
      </c>
      <c r="L315" s="21">
        <v>1.08</v>
      </c>
      <c r="M315" s="17" t="s">
        <v>122</v>
      </c>
      <c r="N315" s="17" t="s">
        <v>117</v>
      </c>
      <c r="O315" s="21">
        <v>1</v>
      </c>
      <c r="P315" s="21">
        <v>1.2852000000000001</v>
      </c>
      <c r="Q315" s="21">
        <v>8</v>
      </c>
    </row>
    <row r="316" spans="1:17" ht="16.5" x14ac:dyDescent="0.25">
      <c r="A316" s="2"/>
      <c r="B316" s="4"/>
      <c r="C316" s="18"/>
      <c r="E316" s="20">
        <v>44762</v>
      </c>
      <c r="F316" s="17" t="s">
        <v>95</v>
      </c>
      <c r="G316" s="21">
        <v>6.65</v>
      </c>
      <c r="H316" s="21">
        <v>8.5</v>
      </c>
      <c r="I316" s="25">
        <v>4.7619047619047651E-2</v>
      </c>
      <c r="J316" s="21">
        <v>0</v>
      </c>
      <c r="K316" s="21">
        <v>0</v>
      </c>
      <c r="L316" s="21">
        <v>0.46750000000000003</v>
      </c>
      <c r="M316" s="17" t="s">
        <v>122</v>
      </c>
      <c r="N316" s="17" t="s">
        <v>116</v>
      </c>
      <c r="O316" s="21">
        <v>1</v>
      </c>
      <c r="P316" s="21">
        <v>0.46750000000000003</v>
      </c>
      <c r="Q316" s="21">
        <v>7.5</v>
      </c>
    </row>
    <row r="317" spans="1:17" ht="16.5" x14ac:dyDescent="0.25">
      <c r="A317" s="2"/>
      <c r="B317" s="4"/>
      <c r="C317" s="18"/>
      <c r="E317" s="20">
        <v>44762</v>
      </c>
      <c r="F317" s="17" t="s">
        <v>95</v>
      </c>
      <c r="G317" s="21">
        <v>6.5053600000000005</v>
      </c>
      <c r="H317" s="21">
        <v>9.1999999999999993</v>
      </c>
      <c r="I317" s="25">
        <v>4.8296780214652182E-2</v>
      </c>
      <c r="J317" s="21">
        <v>0</v>
      </c>
      <c r="K317" s="21">
        <v>0.14464000000000002</v>
      </c>
      <c r="L317" s="21">
        <v>1.1039999999999999</v>
      </c>
      <c r="M317" s="17" t="s">
        <v>122</v>
      </c>
      <c r="N317" s="17" t="s">
        <v>117</v>
      </c>
      <c r="O317" s="21">
        <v>1</v>
      </c>
      <c r="P317" s="21">
        <v>1.31376</v>
      </c>
      <c r="Q317" s="21">
        <v>8.1999999999999993</v>
      </c>
    </row>
    <row r="318" spans="1:17" ht="16.5" x14ac:dyDescent="0.25">
      <c r="A318" s="2"/>
      <c r="B318" s="4"/>
      <c r="C318" s="18"/>
      <c r="E318" s="20">
        <v>44762</v>
      </c>
      <c r="F318" s="17" t="s">
        <v>95</v>
      </c>
      <c r="G318" s="21">
        <v>6.5053600000000005</v>
      </c>
      <c r="H318" s="21">
        <v>9.1999999999999993</v>
      </c>
      <c r="I318" s="25">
        <v>4.8296780214652182E-2</v>
      </c>
      <c r="J318" s="21">
        <v>0</v>
      </c>
      <c r="K318" s="21">
        <v>0.14464000000000002</v>
      </c>
      <c r="L318" s="21">
        <v>1.1039999999999999</v>
      </c>
      <c r="M318" s="17" t="s">
        <v>113</v>
      </c>
      <c r="N318" s="17" t="s">
        <v>117</v>
      </c>
      <c r="O318" s="21">
        <v>1</v>
      </c>
      <c r="P318" s="21">
        <v>1.31376</v>
      </c>
      <c r="Q318" s="21">
        <v>8.1999999999999993</v>
      </c>
    </row>
    <row r="319" spans="1:17" ht="16.5" x14ac:dyDescent="0.25">
      <c r="A319" s="2"/>
      <c r="B319" s="4"/>
      <c r="C319" s="18"/>
      <c r="E319" s="20">
        <v>44762</v>
      </c>
      <c r="F319" s="17" t="s">
        <v>95</v>
      </c>
      <c r="G319" s="21">
        <v>6.65</v>
      </c>
      <c r="H319" s="21">
        <v>8.5</v>
      </c>
      <c r="I319" s="25">
        <v>4.7619047619047651E-2</v>
      </c>
      <c r="J319" s="21">
        <v>0</v>
      </c>
      <c r="K319" s="21">
        <v>0</v>
      </c>
      <c r="L319" s="21">
        <v>0.46750000000000003</v>
      </c>
      <c r="M319" s="17" t="s">
        <v>113</v>
      </c>
      <c r="N319" s="17" t="s">
        <v>116</v>
      </c>
      <c r="O319" s="21">
        <v>1</v>
      </c>
      <c r="P319" s="21">
        <v>0.46750000000000003</v>
      </c>
      <c r="Q319" s="21">
        <v>7.5</v>
      </c>
    </row>
    <row r="320" spans="1:17" ht="16.5" x14ac:dyDescent="0.25">
      <c r="A320" s="2"/>
      <c r="B320" s="4"/>
      <c r="C320" s="18"/>
      <c r="E320" s="20">
        <v>44762</v>
      </c>
      <c r="F320" s="17" t="s">
        <v>95</v>
      </c>
      <c r="G320" s="21">
        <v>6.65</v>
      </c>
      <c r="H320" s="21">
        <v>7.3</v>
      </c>
      <c r="I320" s="25">
        <v>8.9041095890410885E-2</v>
      </c>
      <c r="J320" s="21">
        <v>0</v>
      </c>
      <c r="K320" s="21">
        <v>0.14464000000000002</v>
      </c>
      <c r="L320" s="21">
        <v>0</v>
      </c>
      <c r="M320" s="17" t="s">
        <v>113</v>
      </c>
      <c r="N320" s="17" t="s">
        <v>115</v>
      </c>
      <c r="O320" s="21">
        <v>0</v>
      </c>
      <c r="P320" s="21">
        <v>0</v>
      </c>
      <c r="Q320" s="21">
        <v>7.3</v>
      </c>
    </row>
    <row r="321" spans="1:17" ht="16.5" x14ac:dyDescent="0.25">
      <c r="A321" s="2"/>
      <c r="B321" s="4"/>
      <c r="C321" s="18"/>
      <c r="E321" s="20">
        <v>44762</v>
      </c>
      <c r="F321" s="17" t="s">
        <v>203</v>
      </c>
      <c r="G321" s="21">
        <v>12.3</v>
      </c>
      <c r="H321" s="21">
        <v>13.5</v>
      </c>
      <c r="I321" s="25">
        <v>8.8888888888888837E-2</v>
      </c>
      <c r="J321" s="21">
        <v>0</v>
      </c>
      <c r="K321" s="21">
        <v>0.28928000000000004</v>
      </c>
      <c r="L321" s="21">
        <v>0</v>
      </c>
      <c r="M321" s="17" t="s">
        <v>113</v>
      </c>
      <c r="N321" s="17" t="s">
        <v>115</v>
      </c>
      <c r="O321" s="21">
        <v>0</v>
      </c>
      <c r="P321" s="21">
        <v>0</v>
      </c>
      <c r="Q321" s="21">
        <v>13.5</v>
      </c>
    </row>
    <row r="322" spans="1:17" ht="16.5" x14ac:dyDescent="0.25">
      <c r="A322" s="2"/>
      <c r="B322" s="4"/>
      <c r="C322" s="18"/>
      <c r="E322" s="20">
        <v>44762</v>
      </c>
      <c r="F322" s="17" t="s">
        <v>203</v>
      </c>
      <c r="G322" s="21">
        <v>12.3</v>
      </c>
      <c r="H322" s="21">
        <v>16</v>
      </c>
      <c r="I322" s="25">
        <v>8.7301587301587213E-2</v>
      </c>
      <c r="J322" s="21">
        <v>0</v>
      </c>
      <c r="K322" s="21">
        <v>0</v>
      </c>
      <c r="L322" s="21">
        <v>0.88</v>
      </c>
      <c r="M322" s="17" t="s">
        <v>122</v>
      </c>
      <c r="N322" s="17" t="s">
        <v>116</v>
      </c>
      <c r="O322" s="21">
        <v>1.5</v>
      </c>
      <c r="P322" s="21">
        <v>0.88</v>
      </c>
      <c r="Q322" s="21">
        <v>14.5</v>
      </c>
    </row>
    <row r="323" spans="1:17" ht="16.5" x14ac:dyDescent="0.25">
      <c r="A323" s="2"/>
      <c r="B323" s="4"/>
      <c r="C323" s="18"/>
      <c r="E323" s="20">
        <v>44762</v>
      </c>
      <c r="F323" s="17" t="s">
        <v>203</v>
      </c>
      <c r="G323" s="21">
        <v>12.010720000000001</v>
      </c>
      <c r="H323" s="21">
        <v>17.5</v>
      </c>
      <c r="I323" s="25">
        <v>9.9345376974868241E-2</v>
      </c>
      <c r="J323" s="21">
        <v>0</v>
      </c>
      <c r="K323" s="21">
        <v>0.28928000000000004</v>
      </c>
      <c r="L323" s="21">
        <v>2.1</v>
      </c>
      <c r="M323" s="17" t="s">
        <v>122</v>
      </c>
      <c r="N323" s="17" t="s">
        <v>117</v>
      </c>
      <c r="O323" s="21">
        <v>1.5</v>
      </c>
      <c r="P323" s="21">
        <v>2.4990000000000001</v>
      </c>
      <c r="Q323" s="21">
        <v>16</v>
      </c>
    </row>
    <row r="324" spans="1:17" ht="16.5" x14ac:dyDescent="0.25">
      <c r="A324" s="2"/>
      <c r="B324" s="4"/>
      <c r="C324" s="18"/>
      <c r="E324" s="20">
        <v>44726</v>
      </c>
      <c r="F324" s="17" t="s">
        <v>94</v>
      </c>
      <c r="G324" s="21">
        <v>2.9899999999999998</v>
      </c>
      <c r="H324" s="21">
        <v>3.5</v>
      </c>
      <c r="I324" s="25">
        <v>0.14571428571428577</v>
      </c>
      <c r="J324" s="21">
        <v>0</v>
      </c>
      <c r="K324" s="21">
        <v>6.7839999999999998E-2</v>
      </c>
      <c r="L324" s="21">
        <v>0</v>
      </c>
      <c r="M324" s="17" t="s">
        <v>113</v>
      </c>
      <c r="N324" s="17" t="s">
        <v>115</v>
      </c>
      <c r="O324" s="21">
        <v>0</v>
      </c>
      <c r="P324" s="21">
        <v>0</v>
      </c>
      <c r="Q324" s="21">
        <v>3.5</v>
      </c>
    </row>
    <row r="325" spans="1:17" ht="16.5" x14ac:dyDescent="0.25">
      <c r="A325" s="2"/>
      <c r="B325" s="4"/>
      <c r="C325" s="18"/>
      <c r="E325" s="20">
        <v>44726</v>
      </c>
      <c r="F325" s="17" t="s">
        <v>94</v>
      </c>
      <c r="G325" s="21">
        <v>2.9221599999999999</v>
      </c>
      <c r="H325" s="21">
        <v>4.5999999999999996</v>
      </c>
      <c r="I325" s="25">
        <v>0.16674488152749017</v>
      </c>
      <c r="J325" s="21">
        <v>0</v>
      </c>
      <c r="K325" s="21">
        <v>6.7839999999999998E-2</v>
      </c>
      <c r="L325" s="21">
        <v>0.253</v>
      </c>
      <c r="M325" s="17" t="s">
        <v>122</v>
      </c>
      <c r="N325" s="17" t="s">
        <v>116</v>
      </c>
      <c r="O325" s="21">
        <v>0.7</v>
      </c>
      <c r="P325" s="21">
        <v>0.253</v>
      </c>
      <c r="Q325" s="21">
        <v>3.9</v>
      </c>
    </row>
    <row r="326" spans="1:17" ht="16.5" x14ac:dyDescent="0.25">
      <c r="A326" s="2"/>
      <c r="B326" s="4"/>
      <c r="C326" s="18"/>
      <c r="E326" s="20">
        <v>44726</v>
      </c>
      <c r="F326" s="17" t="s">
        <v>94</v>
      </c>
      <c r="G326" s="21">
        <v>2.9221599999999999</v>
      </c>
      <c r="H326" s="21">
        <v>5</v>
      </c>
      <c r="I326" s="25">
        <v>0.15488567428838074</v>
      </c>
      <c r="J326" s="21">
        <v>0</v>
      </c>
      <c r="K326" s="21">
        <v>6.7839999999999998E-2</v>
      </c>
      <c r="L326" s="21">
        <v>0.6</v>
      </c>
      <c r="M326" s="17" t="s">
        <v>122</v>
      </c>
      <c r="N326" s="17" t="s">
        <v>117</v>
      </c>
      <c r="O326" s="21">
        <v>0.7</v>
      </c>
      <c r="P326" s="21">
        <v>0.71400000000000008</v>
      </c>
      <c r="Q326" s="21">
        <v>4.3</v>
      </c>
    </row>
    <row r="327" spans="1:17" ht="16.5" x14ac:dyDescent="0.25">
      <c r="A327" s="2"/>
      <c r="B327" s="4"/>
      <c r="C327" s="18"/>
      <c r="E327" s="20">
        <v>44726</v>
      </c>
      <c r="F327" s="17" t="s">
        <v>95</v>
      </c>
      <c r="G327" s="21">
        <v>5.4555999999999996</v>
      </c>
      <c r="H327" s="21">
        <v>8.5</v>
      </c>
      <c r="I327" s="25">
        <v>0.11399632181383992</v>
      </c>
      <c r="J327" s="21">
        <v>0</v>
      </c>
      <c r="K327" s="21">
        <v>0.13440000000000002</v>
      </c>
      <c r="L327" s="21">
        <v>1.02</v>
      </c>
      <c r="M327" s="17" t="s">
        <v>122</v>
      </c>
      <c r="N327" s="17" t="s">
        <v>117</v>
      </c>
      <c r="O327" s="21">
        <v>1</v>
      </c>
      <c r="P327" s="21">
        <v>1.2138</v>
      </c>
      <c r="Q327" s="21">
        <v>7.5</v>
      </c>
    </row>
    <row r="328" spans="1:17" ht="16.5" x14ac:dyDescent="0.25">
      <c r="A328" s="2"/>
      <c r="B328" s="4"/>
      <c r="C328" s="18"/>
      <c r="E328" s="20">
        <v>44726</v>
      </c>
      <c r="F328" s="17" t="s">
        <v>95</v>
      </c>
      <c r="G328" s="21">
        <v>5.4555999999999996</v>
      </c>
      <c r="H328" s="21">
        <v>8</v>
      </c>
      <c r="I328" s="25">
        <v>0.14608465608465609</v>
      </c>
      <c r="J328" s="21">
        <v>0</v>
      </c>
      <c r="K328" s="21">
        <v>0.13440000000000002</v>
      </c>
      <c r="L328" s="21">
        <v>0.44</v>
      </c>
      <c r="M328" s="17" t="s">
        <v>122</v>
      </c>
      <c r="N328" s="17" t="s">
        <v>116</v>
      </c>
      <c r="O328" s="21">
        <v>1</v>
      </c>
      <c r="P328" s="21">
        <v>0.44</v>
      </c>
      <c r="Q328" s="21">
        <v>7</v>
      </c>
    </row>
    <row r="329" spans="1:17" ht="16.5" x14ac:dyDescent="0.25">
      <c r="A329" s="2"/>
      <c r="B329" s="4"/>
      <c r="C329" s="18"/>
      <c r="E329" s="20">
        <v>44726</v>
      </c>
      <c r="F329" s="17" t="s">
        <v>95</v>
      </c>
      <c r="G329" s="21">
        <v>5.59</v>
      </c>
      <c r="H329" s="21">
        <v>6.5</v>
      </c>
      <c r="I329" s="25">
        <v>0.14000000000000001</v>
      </c>
      <c r="J329" s="21">
        <v>0</v>
      </c>
      <c r="K329" s="21">
        <v>0.13440000000000002</v>
      </c>
      <c r="L329" s="21">
        <v>0</v>
      </c>
      <c r="M329" s="17" t="s">
        <v>113</v>
      </c>
      <c r="N329" s="17" t="s">
        <v>115</v>
      </c>
      <c r="O329" s="21">
        <v>0</v>
      </c>
      <c r="P329" s="21">
        <v>0</v>
      </c>
      <c r="Q329" s="21">
        <v>6.5</v>
      </c>
    </row>
    <row r="330" spans="1:17" ht="16.5" x14ac:dyDescent="0.25">
      <c r="A330" s="2"/>
      <c r="B330" s="4"/>
      <c r="C330" s="18"/>
      <c r="E330" s="20">
        <v>44726</v>
      </c>
      <c r="F330" s="17" t="s">
        <v>96</v>
      </c>
      <c r="G330" s="21">
        <v>10.571199999999999</v>
      </c>
      <c r="H330" s="21">
        <v>16.5</v>
      </c>
      <c r="I330" s="25">
        <v>0.14653770556710358</v>
      </c>
      <c r="J330" s="21">
        <v>0</v>
      </c>
      <c r="K330" s="21">
        <v>0.26880000000000004</v>
      </c>
      <c r="L330" s="21">
        <v>1.98</v>
      </c>
      <c r="M330" s="17" t="s">
        <v>122</v>
      </c>
      <c r="N330" s="17" t="s">
        <v>117</v>
      </c>
      <c r="O330" s="21">
        <v>1.5</v>
      </c>
      <c r="P330" s="21">
        <v>2.3562000000000003</v>
      </c>
      <c r="Q330" s="21">
        <v>15</v>
      </c>
    </row>
    <row r="331" spans="1:17" ht="16.5" x14ac:dyDescent="0.25">
      <c r="A331" s="2"/>
      <c r="B331" s="4"/>
      <c r="C331" s="18"/>
      <c r="E331" s="20">
        <v>44726</v>
      </c>
      <c r="F331" s="17" t="s">
        <v>96</v>
      </c>
      <c r="G331" s="21">
        <v>10.571199999999999</v>
      </c>
      <c r="H331" s="21">
        <v>15</v>
      </c>
      <c r="I331" s="25">
        <v>0.14841622574955918</v>
      </c>
      <c r="J331" s="21">
        <v>0</v>
      </c>
      <c r="K331" s="21">
        <v>0.26880000000000004</v>
      </c>
      <c r="L331" s="21">
        <v>0.82499999999999996</v>
      </c>
      <c r="M331" s="17" t="s">
        <v>122</v>
      </c>
      <c r="N331" s="17" t="s">
        <v>116</v>
      </c>
      <c r="O331" s="21">
        <v>1.5</v>
      </c>
      <c r="P331" s="21">
        <v>0.82499999999999996</v>
      </c>
      <c r="Q331" s="21">
        <v>13.5</v>
      </c>
    </row>
    <row r="332" spans="1:17" ht="16.5" x14ac:dyDescent="0.25">
      <c r="A332" s="2"/>
      <c r="B332" s="4"/>
      <c r="C332" s="18"/>
      <c r="E332" s="20">
        <v>44726</v>
      </c>
      <c r="F332" s="17" t="s">
        <v>96</v>
      </c>
      <c r="G332" s="21">
        <v>10.84</v>
      </c>
      <c r="H332" s="21">
        <v>12</v>
      </c>
      <c r="I332" s="25">
        <v>9.6666666666666679E-2</v>
      </c>
      <c r="J332" s="21">
        <v>0</v>
      </c>
      <c r="K332" s="21">
        <v>0.26880000000000004</v>
      </c>
      <c r="L332" s="21">
        <v>0</v>
      </c>
      <c r="M332" s="17" t="s">
        <v>113</v>
      </c>
      <c r="N332" s="17" t="s">
        <v>115</v>
      </c>
      <c r="O332" s="21">
        <v>0</v>
      </c>
      <c r="P332" s="21">
        <v>0</v>
      </c>
      <c r="Q332" s="21">
        <v>12</v>
      </c>
    </row>
    <row r="333" spans="1:17" ht="16.5" x14ac:dyDescent="0.25">
      <c r="A333" s="2"/>
      <c r="B333" s="4"/>
      <c r="C333" s="18"/>
      <c r="E333" s="20">
        <v>44726</v>
      </c>
      <c r="F333" s="17" t="s">
        <v>96</v>
      </c>
      <c r="G333" s="21">
        <v>10.84</v>
      </c>
      <c r="H333" s="21">
        <v>12</v>
      </c>
      <c r="I333" s="25">
        <v>9.6666666666666679E-2</v>
      </c>
      <c r="J333" s="21">
        <v>0</v>
      </c>
      <c r="K333" s="21">
        <v>0.26880000000000004</v>
      </c>
      <c r="L333" s="21">
        <v>0</v>
      </c>
      <c r="M333" s="17" t="s">
        <v>122</v>
      </c>
      <c r="N333" s="17" t="s">
        <v>115</v>
      </c>
      <c r="O333" s="21">
        <v>0</v>
      </c>
      <c r="P333" s="21">
        <v>0</v>
      </c>
      <c r="Q333" s="21">
        <v>12</v>
      </c>
    </row>
    <row r="334" spans="1:17" ht="16.5" x14ac:dyDescent="0.25">
      <c r="A334" s="2"/>
      <c r="B334" s="4"/>
      <c r="C334" s="18"/>
      <c r="E334" s="20">
        <v>44726</v>
      </c>
      <c r="F334" s="17" t="s">
        <v>96</v>
      </c>
      <c r="G334" s="21">
        <v>10.84</v>
      </c>
      <c r="H334" s="21">
        <v>12</v>
      </c>
      <c r="I334" s="25">
        <v>9.6666666666666679E-2</v>
      </c>
      <c r="J334" s="21">
        <v>0</v>
      </c>
      <c r="K334" s="21">
        <v>0.26880000000000004</v>
      </c>
      <c r="L334" s="21">
        <v>0</v>
      </c>
      <c r="M334" s="17" t="s">
        <v>122</v>
      </c>
      <c r="N334" s="17" t="s">
        <v>115</v>
      </c>
      <c r="O334" s="21">
        <v>0</v>
      </c>
      <c r="P334" s="21">
        <v>0</v>
      </c>
      <c r="Q334" s="21">
        <v>12</v>
      </c>
    </row>
    <row r="335" spans="1:17" ht="16.5" x14ac:dyDescent="0.25">
      <c r="A335" s="2"/>
      <c r="B335" s="4"/>
      <c r="C335" s="18"/>
      <c r="E335" s="20">
        <v>44707</v>
      </c>
      <c r="F335" s="17" t="s">
        <v>92</v>
      </c>
      <c r="G335" s="21">
        <v>6.61625</v>
      </c>
      <c r="H335" s="21">
        <v>10</v>
      </c>
      <c r="I335" s="25">
        <v>0.14113756613756609</v>
      </c>
      <c r="J335" s="21">
        <v>0</v>
      </c>
      <c r="K335" s="21">
        <v>8.3750000000000005E-2</v>
      </c>
      <c r="L335" s="21">
        <v>0.55000000000000004</v>
      </c>
      <c r="M335" s="17" t="s">
        <v>122</v>
      </c>
      <c r="N335" s="17" t="s">
        <v>116</v>
      </c>
      <c r="O335" s="21">
        <v>1.5</v>
      </c>
      <c r="P335" s="21">
        <v>0.55000000000000004</v>
      </c>
      <c r="Q335" s="21">
        <v>8.5</v>
      </c>
    </row>
    <row r="336" spans="1:17" ht="16.5" x14ac:dyDescent="0.25">
      <c r="A336" s="2"/>
      <c r="B336" s="4"/>
      <c r="C336" s="18"/>
      <c r="E336" s="20">
        <v>44707</v>
      </c>
      <c r="F336" s="17" t="s">
        <v>92</v>
      </c>
      <c r="G336" s="21">
        <v>6.61625</v>
      </c>
      <c r="H336" s="21">
        <v>11</v>
      </c>
      <c r="I336" s="25">
        <v>0.10096148520664172</v>
      </c>
      <c r="J336" s="21">
        <v>0</v>
      </c>
      <c r="K336" s="21">
        <v>8.3750000000000005E-2</v>
      </c>
      <c r="L336" s="21">
        <v>1.3199999999999998</v>
      </c>
      <c r="M336" s="17" t="s">
        <v>122</v>
      </c>
      <c r="N336" s="17" t="s">
        <v>117</v>
      </c>
      <c r="O336" s="21">
        <v>1.5</v>
      </c>
      <c r="P336" s="21">
        <v>1.9723000000000002</v>
      </c>
      <c r="Q336" s="21">
        <v>9.5</v>
      </c>
    </row>
    <row r="337" spans="1:17" ht="16.5" x14ac:dyDescent="0.25">
      <c r="A337" s="2"/>
      <c r="B337" s="4"/>
      <c r="C337" s="18"/>
      <c r="E337" s="20">
        <v>44707</v>
      </c>
      <c r="F337" s="17" t="s">
        <v>92</v>
      </c>
      <c r="G337" s="21">
        <v>6.7</v>
      </c>
      <c r="H337" s="21">
        <v>7.5</v>
      </c>
      <c r="I337" s="25">
        <v>0.10666666666666665</v>
      </c>
      <c r="J337" s="21">
        <v>0</v>
      </c>
      <c r="K337" s="21">
        <v>8.3750000000000005E-2</v>
      </c>
      <c r="L337" s="21">
        <v>0</v>
      </c>
      <c r="M337" s="17" t="s">
        <v>113</v>
      </c>
      <c r="N337" s="17" t="s">
        <v>115</v>
      </c>
      <c r="O337" s="21">
        <v>0</v>
      </c>
      <c r="P337" s="21">
        <v>0</v>
      </c>
      <c r="Q337" s="21">
        <v>7.5</v>
      </c>
    </row>
    <row r="338" spans="1:17" ht="16.5" x14ac:dyDescent="0.25">
      <c r="A338" s="2"/>
      <c r="B338" s="4"/>
      <c r="C338" s="18"/>
      <c r="E338" s="20">
        <v>44707</v>
      </c>
      <c r="F338" s="17" t="s">
        <v>93</v>
      </c>
      <c r="G338" s="21">
        <v>11.2</v>
      </c>
      <c r="H338" s="21">
        <v>13</v>
      </c>
      <c r="I338" s="25">
        <v>0.13846153846153852</v>
      </c>
      <c r="J338" s="21">
        <v>0</v>
      </c>
      <c r="K338" s="21">
        <v>0.13999999999999999</v>
      </c>
      <c r="L338" s="21">
        <v>0</v>
      </c>
      <c r="M338" s="17" t="s">
        <v>113</v>
      </c>
      <c r="N338" s="17" t="s">
        <v>115</v>
      </c>
      <c r="O338" s="21">
        <v>0</v>
      </c>
      <c r="P338" s="21">
        <v>0</v>
      </c>
      <c r="Q338" s="21">
        <v>13</v>
      </c>
    </row>
    <row r="339" spans="1:17" ht="16.5" x14ac:dyDescent="0.25">
      <c r="A339" s="2"/>
      <c r="B339" s="4"/>
      <c r="C339" s="18"/>
      <c r="E339" s="20">
        <v>44707</v>
      </c>
      <c r="F339" s="17" t="s">
        <v>93</v>
      </c>
      <c r="G339" s="21">
        <v>11.059999999999999</v>
      </c>
      <c r="H339" s="21">
        <v>16.899999999999999</v>
      </c>
      <c r="I339" s="25">
        <v>0.15093453554992023</v>
      </c>
      <c r="J339" s="21">
        <v>0</v>
      </c>
      <c r="K339" s="21">
        <v>0.13999999999999999</v>
      </c>
      <c r="L339" s="21">
        <v>0.92949999999999988</v>
      </c>
      <c r="M339" s="17" t="s">
        <v>122</v>
      </c>
      <c r="N339" s="17" t="s">
        <v>116</v>
      </c>
      <c r="O339" s="21">
        <v>2.5</v>
      </c>
      <c r="P339" s="21">
        <v>0.92949999999999988</v>
      </c>
      <c r="Q339" s="21">
        <v>14.4</v>
      </c>
    </row>
    <row r="340" spans="1:17" ht="16.5" x14ac:dyDescent="0.25">
      <c r="A340" s="2"/>
      <c r="B340" s="4"/>
      <c r="C340" s="18"/>
      <c r="E340" s="20">
        <v>44707</v>
      </c>
      <c r="F340" s="17" t="s">
        <v>93</v>
      </c>
      <c r="G340" s="21">
        <v>11.059999999999999</v>
      </c>
      <c r="H340" s="21">
        <v>18.5</v>
      </c>
      <c r="I340" s="25">
        <v>0.13982460589015977</v>
      </c>
      <c r="J340" s="21">
        <v>0</v>
      </c>
      <c r="K340" s="21">
        <v>0.13999999999999999</v>
      </c>
      <c r="L340" s="21">
        <v>2.2199999999999998</v>
      </c>
      <c r="M340" s="17" t="s">
        <v>122</v>
      </c>
      <c r="N340" s="17" t="s">
        <v>117</v>
      </c>
      <c r="O340" s="21">
        <v>2</v>
      </c>
      <c r="P340" s="21">
        <v>3.3170500000000001</v>
      </c>
      <c r="Q340" s="21">
        <v>16.5</v>
      </c>
    </row>
    <row r="341" spans="1:17" ht="16.5" x14ac:dyDescent="0.25">
      <c r="A341" s="2"/>
      <c r="B341" s="4"/>
      <c r="C341" s="18"/>
      <c r="E341" s="20">
        <v>44706</v>
      </c>
      <c r="F341" s="17" t="s">
        <v>218</v>
      </c>
      <c r="G341" s="21">
        <v>7.04</v>
      </c>
      <c r="H341" s="21">
        <v>11.9</v>
      </c>
      <c r="I341" s="25">
        <v>0.11183087669141531</v>
      </c>
      <c r="J341" s="21">
        <v>0</v>
      </c>
      <c r="K341" s="21">
        <v>0.96</v>
      </c>
      <c r="L341" s="21">
        <v>2.1419999999999999</v>
      </c>
      <c r="M341" s="17" t="s">
        <v>122</v>
      </c>
      <c r="N341" s="17" t="s">
        <v>117</v>
      </c>
      <c r="O341" s="21">
        <v>1</v>
      </c>
      <c r="P341" s="21">
        <v>2.8476700000000004</v>
      </c>
      <c r="Q341" s="21">
        <v>10.9</v>
      </c>
    </row>
    <row r="342" spans="1:17" ht="16.5" x14ac:dyDescent="0.25">
      <c r="A342" s="2"/>
      <c r="B342" s="4"/>
      <c r="C342" s="18"/>
      <c r="E342" s="20">
        <v>44706</v>
      </c>
      <c r="F342" s="17" t="s">
        <v>196</v>
      </c>
      <c r="G342" s="21">
        <v>7.1280000000000001</v>
      </c>
      <c r="H342" s="21">
        <v>12</v>
      </c>
      <c r="I342" s="25">
        <v>0.10959204241707191</v>
      </c>
      <c r="J342" s="21">
        <v>0</v>
      </c>
      <c r="K342" s="21">
        <v>0.97199999999999998</v>
      </c>
      <c r="L342" s="21">
        <v>2.16</v>
      </c>
      <c r="M342" s="17" t="s">
        <v>122</v>
      </c>
      <c r="N342" s="17" t="s">
        <v>117</v>
      </c>
      <c r="O342" s="21">
        <v>1</v>
      </c>
      <c r="P342" s="21">
        <v>2.8715999999999999</v>
      </c>
      <c r="Q342" s="21">
        <v>11</v>
      </c>
    </row>
    <row r="343" spans="1:17" ht="16.5" x14ac:dyDescent="0.25">
      <c r="A343" s="2"/>
      <c r="B343" s="4"/>
      <c r="C343" s="18"/>
      <c r="E343" s="20">
        <v>44706</v>
      </c>
      <c r="F343" s="17" t="s">
        <v>195</v>
      </c>
      <c r="G343" s="21">
        <v>7.8320000000000007</v>
      </c>
      <c r="H343" s="21">
        <v>12.9</v>
      </c>
      <c r="I343" s="25">
        <v>9.9972179846591597E-2</v>
      </c>
      <c r="J343" s="21">
        <v>0</v>
      </c>
      <c r="K343" s="21">
        <v>1.0680000000000001</v>
      </c>
      <c r="L343" s="21">
        <v>2.3220000000000001</v>
      </c>
      <c r="M343" s="17" t="s">
        <v>122</v>
      </c>
      <c r="N343" s="17" t="s">
        <v>117</v>
      </c>
      <c r="O343" s="21">
        <v>1</v>
      </c>
      <c r="P343" s="21">
        <v>3.0869700000000004</v>
      </c>
      <c r="Q343" s="21">
        <v>11.9</v>
      </c>
    </row>
    <row r="344" spans="1:17" ht="16.5" x14ac:dyDescent="0.25">
      <c r="A344" s="2"/>
      <c r="B344" s="4"/>
      <c r="C344" s="18"/>
      <c r="E344" s="20">
        <v>44706</v>
      </c>
      <c r="F344" s="17" t="s">
        <v>219</v>
      </c>
      <c r="G344" s="21">
        <v>9.5920000000000005</v>
      </c>
      <c r="H344" s="21">
        <v>14.9</v>
      </c>
      <c r="I344" s="25">
        <v>6.5502191111507194E-2</v>
      </c>
      <c r="J344" s="21">
        <v>0</v>
      </c>
      <c r="K344" s="21">
        <v>1.3080000000000001</v>
      </c>
      <c r="L344" s="21">
        <v>2.6819999999999999</v>
      </c>
      <c r="M344" s="17" t="s">
        <v>122</v>
      </c>
      <c r="N344" s="17" t="s">
        <v>117</v>
      </c>
      <c r="O344" s="21">
        <v>1</v>
      </c>
      <c r="P344" s="21">
        <v>3.5655700000000001</v>
      </c>
      <c r="Q344" s="21">
        <v>13.9</v>
      </c>
    </row>
    <row r="345" spans="1:17" ht="16.5" x14ac:dyDescent="0.25">
      <c r="A345" s="2"/>
      <c r="B345" s="4"/>
      <c r="C345" s="18"/>
      <c r="E345" s="20">
        <v>44706</v>
      </c>
      <c r="F345" s="17" t="s">
        <v>194</v>
      </c>
      <c r="G345" s="21">
        <v>7.1280000000000001</v>
      </c>
      <c r="H345" s="21">
        <v>11</v>
      </c>
      <c r="I345" s="25">
        <v>9.9659935531752203E-2</v>
      </c>
      <c r="J345" s="21">
        <v>0</v>
      </c>
      <c r="K345" s="21">
        <v>0.97199999999999998</v>
      </c>
      <c r="L345" s="21">
        <v>1.3199999999999998</v>
      </c>
      <c r="M345" s="17" t="s">
        <v>122</v>
      </c>
      <c r="N345" s="17" t="s">
        <v>117</v>
      </c>
      <c r="O345" s="21">
        <v>1</v>
      </c>
      <c r="P345" s="21">
        <v>1.9723000000000002</v>
      </c>
      <c r="Q345" s="21">
        <v>10</v>
      </c>
    </row>
    <row r="346" spans="1:17" ht="16.5" x14ac:dyDescent="0.25">
      <c r="A346" s="2"/>
      <c r="B346" s="4"/>
      <c r="C346" s="18"/>
      <c r="E346" s="20">
        <v>44706</v>
      </c>
      <c r="F346" s="17" t="s">
        <v>192</v>
      </c>
      <c r="G346" s="21">
        <v>7.04</v>
      </c>
      <c r="H346" s="21">
        <v>10.9</v>
      </c>
      <c r="I346" s="25">
        <v>0.10123714036909637</v>
      </c>
      <c r="J346" s="21">
        <v>0</v>
      </c>
      <c r="K346" s="21">
        <v>0.96</v>
      </c>
      <c r="L346" s="21">
        <v>1.3080000000000001</v>
      </c>
      <c r="M346" s="17" t="s">
        <v>122</v>
      </c>
      <c r="N346" s="17" t="s">
        <v>117</v>
      </c>
      <c r="O346" s="21">
        <v>1</v>
      </c>
      <c r="P346" s="21">
        <v>1.9543700000000002</v>
      </c>
      <c r="Q346" s="21">
        <v>9.9</v>
      </c>
    </row>
    <row r="347" spans="1:17" ht="16.5" x14ac:dyDescent="0.25">
      <c r="A347" s="2"/>
      <c r="B347" s="4"/>
      <c r="C347" s="18"/>
      <c r="E347" s="20">
        <v>44706</v>
      </c>
      <c r="F347" s="17" t="s">
        <v>193</v>
      </c>
      <c r="G347" s="21">
        <v>7.8320000000000007</v>
      </c>
      <c r="H347" s="21">
        <v>11.9</v>
      </c>
      <c r="I347" s="25">
        <v>9.566848550069465E-2</v>
      </c>
      <c r="J347" s="21">
        <v>0</v>
      </c>
      <c r="K347" s="21">
        <v>1.0680000000000001</v>
      </c>
      <c r="L347" s="21">
        <v>1.4279999999999999</v>
      </c>
      <c r="M347" s="17" t="s">
        <v>122</v>
      </c>
      <c r="N347" s="17" t="s">
        <v>117</v>
      </c>
      <c r="O347" s="21">
        <v>1</v>
      </c>
      <c r="P347" s="21">
        <v>2.1336700000000004</v>
      </c>
      <c r="Q347" s="21">
        <v>10.9</v>
      </c>
    </row>
    <row r="348" spans="1:17" ht="16.5" x14ac:dyDescent="0.25">
      <c r="A348" s="2"/>
      <c r="B348" s="4"/>
      <c r="C348" s="18"/>
      <c r="E348" s="20">
        <v>44706</v>
      </c>
      <c r="F348" s="17" t="s">
        <v>191</v>
      </c>
      <c r="G348" s="21">
        <v>9.5920000000000005</v>
      </c>
      <c r="H348" s="21">
        <v>13.9</v>
      </c>
      <c r="I348" s="25">
        <v>7.1506776545377584E-2</v>
      </c>
      <c r="J348" s="21">
        <v>0</v>
      </c>
      <c r="K348" s="21">
        <v>1.3080000000000001</v>
      </c>
      <c r="L348" s="21">
        <v>1.6679999999999999</v>
      </c>
      <c r="M348" s="17" t="s">
        <v>122</v>
      </c>
      <c r="N348" s="17" t="s">
        <v>117</v>
      </c>
      <c r="O348" s="21">
        <v>1</v>
      </c>
      <c r="P348" s="21">
        <v>2.4922700000000004</v>
      </c>
      <c r="Q348" s="21">
        <v>12.9</v>
      </c>
    </row>
    <row r="349" spans="1:17" ht="16.5" x14ac:dyDescent="0.25">
      <c r="A349" s="2"/>
      <c r="B349" s="4"/>
      <c r="C349" s="18"/>
      <c r="E349" s="20">
        <v>44665</v>
      </c>
      <c r="F349" s="17" t="s">
        <v>103</v>
      </c>
      <c r="G349" s="21">
        <v>8.8000000000000007</v>
      </c>
      <c r="H349" s="21">
        <v>13</v>
      </c>
      <c r="I349" s="25">
        <v>0.13420678322481469</v>
      </c>
      <c r="J349" s="21">
        <v>0</v>
      </c>
      <c r="K349" s="21">
        <v>1.2</v>
      </c>
      <c r="L349" s="21">
        <v>0.91000000000000014</v>
      </c>
      <c r="M349" s="17" t="s">
        <v>122</v>
      </c>
      <c r="N349" s="17" t="s">
        <v>117</v>
      </c>
      <c r="O349" s="21">
        <v>1</v>
      </c>
      <c r="P349" s="21">
        <v>1.6809000000000001</v>
      </c>
      <c r="Q349" s="21">
        <v>12</v>
      </c>
    </row>
    <row r="350" spans="1:17" ht="16.5" x14ac:dyDescent="0.25">
      <c r="A350" s="2"/>
      <c r="B350" s="4"/>
      <c r="C350" s="18"/>
      <c r="E350" s="20">
        <v>44665</v>
      </c>
      <c r="F350" s="17" t="s">
        <v>102</v>
      </c>
      <c r="G350" s="21">
        <v>18.48</v>
      </c>
      <c r="H350" s="21">
        <v>25</v>
      </c>
      <c r="I350" s="25">
        <v>0.10508786034225327</v>
      </c>
      <c r="J350" s="21">
        <v>0</v>
      </c>
      <c r="K350" s="21">
        <v>2.52</v>
      </c>
      <c r="L350" s="21">
        <v>1.7500000000000002</v>
      </c>
      <c r="M350" s="17" t="s">
        <v>122</v>
      </c>
      <c r="N350" s="17" t="s">
        <v>117</v>
      </c>
      <c r="O350" s="21">
        <v>1</v>
      </c>
      <c r="P350" s="21">
        <v>3.2324999999999999</v>
      </c>
      <c r="Q350" s="21">
        <v>24</v>
      </c>
    </row>
    <row r="351" spans="1:17" ht="16.5" x14ac:dyDescent="0.25">
      <c r="A351" s="2"/>
      <c r="B351" s="4"/>
      <c r="C351" s="18"/>
      <c r="E351" s="20">
        <v>44665</v>
      </c>
      <c r="F351" s="17" t="s">
        <v>101</v>
      </c>
      <c r="G351" s="21">
        <v>10.56</v>
      </c>
      <c r="H351" s="21">
        <v>15</v>
      </c>
      <c r="I351" s="25">
        <v>0.11488840396615742</v>
      </c>
      <c r="J351" s="21">
        <v>0</v>
      </c>
      <c r="K351" s="21">
        <v>1.44</v>
      </c>
      <c r="L351" s="21">
        <v>1.05</v>
      </c>
      <c r="M351" s="17" t="s">
        <v>122</v>
      </c>
      <c r="N351" s="17" t="s">
        <v>117</v>
      </c>
      <c r="O351" s="21">
        <v>1</v>
      </c>
      <c r="P351" s="21">
        <v>1.9395</v>
      </c>
      <c r="Q351" s="21">
        <v>14</v>
      </c>
    </row>
    <row r="352" spans="1:17" ht="16.5" x14ac:dyDescent="0.25">
      <c r="A352" s="2"/>
      <c r="B352" s="4"/>
      <c r="C352" s="18"/>
      <c r="E352" s="20">
        <v>44665</v>
      </c>
      <c r="F352" s="17" t="s">
        <v>188</v>
      </c>
      <c r="G352" s="21">
        <v>7.04</v>
      </c>
      <c r="H352" s="21">
        <v>12</v>
      </c>
      <c r="I352" s="25">
        <v>0.11923228605232015</v>
      </c>
      <c r="J352" s="21">
        <v>0</v>
      </c>
      <c r="K352" s="21">
        <v>0.96</v>
      </c>
      <c r="L352" s="21">
        <v>2.16</v>
      </c>
      <c r="M352" s="17" t="s">
        <v>122</v>
      </c>
      <c r="N352" s="17" t="s">
        <v>117</v>
      </c>
      <c r="O352" s="21">
        <v>1</v>
      </c>
      <c r="P352" s="21">
        <v>2.8715999999999999</v>
      </c>
      <c r="Q352" s="21">
        <v>11</v>
      </c>
    </row>
    <row r="353" spans="1:17" ht="16.5" x14ac:dyDescent="0.25">
      <c r="A353" s="2"/>
      <c r="B353" s="4"/>
      <c r="C353" s="18"/>
      <c r="E353" s="20">
        <v>44665</v>
      </c>
      <c r="F353" s="17" t="s">
        <v>187</v>
      </c>
      <c r="G353" s="21">
        <v>8.36</v>
      </c>
      <c r="H353" s="21">
        <v>14.9</v>
      </c>
      <c r="I353" s="25">
        <v>0.17419755558947397</v>
      </c>
      <c r="J353" s="21">
        <v>0</v>
      </c>
      <c r="K353" s="21">
        <v>1.1399999999999999</v>
      </c>
      <c r="L353" s="21">
        <v>2.6819999999999999</v>
      </c>
      <c r="M353" s="17" t="s">
        <v>122</v>
      </c>
      <c r="N353" s="17" t="s">
        <v>117</v>
      </c>
      <c r="O353" s="21">
        <v>1</v>
      </c>
      <c r="P353" s="21">
        <v>3.5655700000000001</v>
      </c>
      <c r="Q353" s="21">
        <v>13.9</v>
      </c>
    </row>
    <row r="354" spans="1:17" ht="16.5" x14ac:dyDescent="0.25">
      <c r="A354" s="2"/>
      <c r="B354" s="4"/>
      <c r="C354" s="18"/>
      <c r="E354" s="20">
        <v>44665</v>
      </c>
      <c r="F354" s="17" t="s">
        <v>97</v>
      </c>
      <c r="G354" s="21">
        <v>8.36</v>
      </c>
      <c r="H354" s="21">
        <v>13.9</v>
      </c>
      <c r="I354" s="25">
        <v>0.17950372247590021</v>
      </c>
      <c r="J354" s="21">
        <v>0</v>
      </c>
      <c r="K354" s="21">
        <v>1.1399999999999999</v>
      </c>
      <c r="L354" s="21">
        <v>1.6679999999999999</v>
      </c>
      <c r="M354" s="17" t="s">
        <v>122</v>
      </c>
      <c r="N354" s="17" t="s">
        <v>117</v>
      </c>
      <c r="O354" s="21">
        <v>1</v>
      </c>
      <c r="P354" s="21">
        <v>2.4922700000000004</v>
      </c>
      <c r="Q354" s="21">
        <v>12.9</v>
      </c>
    </row>
    <row r="355" spans="1:17" ht="16.5" x14ac:dyDescent="0.25">
      <c r="A355" s="2"/>
      <c r="B355" s="4"/>
      <c r="C355" s="18"/>
      <c r="E355" s="20">
        <v>44665</v>
      </c>
      <c r="F355" s="17" t="s">
        <v>97</v>
      </c>
      <c r="G355" s="21">
        <v>8.36</v>
      </c>
      <c r="H355" s="21">
        <v>13.9</v>
      </c>
      <c r="I355" s="25">
        <v>0.13567379312098035</v>
      </c>
      <c r="J355" s="21">
        <v>0</v>
      </c>
      <c r="K355" s="21">
        <v>1.1399999999999999</v>
      </c>
      <c r="L355" s="21">
        <v>1.6679999999999999</v>
      </c>
      <c r="M355" s="17" t="s">
        <v>122</v>
      </c>
      <c r="N355" s="17" t="s">
        <v>117</v>
      </c>
      <c r="O355" s="21">
        <v>1.5</v>
      </c>
      <c r="P355" s="21">
        <v>2.4922700000000004</v>
      </c>
      <c r="Q355" s="21">
        <v>12.4</v>
      </c>
    </row>
    <row r="356" spans="1:17" ht="16.5" x14ac:dyDescent="0.25">
      <c r="A356" s="2"/>
      <c r="B356" s="4"/>
      <c r="C356" s="18"/>
      <c r="E356" s="20">
        <v>44665</v>
      </c>
      <c r="F356" s="17" t="s">
        <v>98</v>
      </c>
      <c r="G356" s="21">
        <v>7.04</v>
      </c>
      <c r="H356" s="21">
        <v>11</v>
      </c>
      <c r="I356" s="25">
        <v>0.10940771182028639</v>
      </c>
      <c r="J356" s="21">
        <v>0</v>
      </c>
      <c r="K356" s="21">
        <v>0.96</v>
      </c>
      <c r="L356" s="21">
        <v>1.3199999999999998</v>
      </c>
      <c r="M356" s="17" t="s">
        <v>122</v>
      </c>
      <c r="N356" s="17" t="s">
        <v>117</v>
      </c>
      <c r="O356" s="21">
        <v>1</v>
      </c>
      <c r="P356" s="21">
        <v>1.9723000000000002</v>
      </c>
      <c r="Q356" s="21">
        <v>10</v>
      </c>
    </row>
    <row r="357" spans="1:17" ht="16.5" x14ac:dyDescent="0.25">
      <c r="A357" s="2"/>
      <c r="B357" s="4"/>
      <c r="C357" s="18"/>
      <c r="E357" s="20">
        <v>44664</v>
      </c>
      <c r="F357" s="17" t="s">
        <v>186</v>
      </c>
      <c r="G357" s="21">
        <v>7.2589658284313741</v>
      </c>
      <c r="H357" s="21">
        <v>13</v>
      </c>
      <c r="I357" s="25">
        <v>8.3944360110487823E-2</v>
      </c>
      <c r="J357" s="21">
        <v>0</v>
      </c>
      <c r="K357" s="21">
        <v>0.54036458333333337</v>
      </c>
      <c r="L357" s="21">
        <v>2.34</v>
      </c>
      <c r="M357" s="17" t="s">
        <v>122</v>
      </c>
      <c r="N357" s="17" t="s">
        <v>117</v>
      </c>
      <c r="O357" s="21">
        <v>1.8</v>
      </c>
      <c r="P357" s="21">
        <v>3.1109</v>
      </c>
      <c r="Q357" s="21">
        <v>11.2</v>
      </c>
    </row>
    <row r="358" spans="1:17" ht="16.5" x14ac:dyDescent="0.25">
      <c r="A358" s="2"/>
      <c r="B358" s="4"/>
      <c r="C358" s="18"/>
      <c r="E358" s="20">
        <v>44664</v>
      </c>
      <c r="F358" s="17" t="s">
        <v>185</v>
      </c>
      <c r="G358" s="21">
        <v>4.1588356200980394</v>
      </c>
      <c r="H358" s="21">
        <v>8</v>
      </c>
      <c r="I358" s="25">
        <v>0.1522880866146247</v>
      </c>
      <c r="J358" s="21">
        <v>0</v>
      </c>
      <c r="K358" s="21">
        <v>0.38830729166666667</v>
      </c>
      <c r="L358" s="21">
        <v>1.44</v>
      </c>
      <c r="M358" s="17" t="s">
        <v>122</v>
      </c>
      <c r="N358" s="17" t="s">
        <v>117</v>
      </c>
      <c r="O358" s="21">
        <v>1</v>
      </c>
      <c r="P358" s="21">
        <v>1.9144000000000001</v>
      </c>
      <c r="Q358" s="21">
        <v>7</v>
      </c>
    </row>
    <row r="359" spans="1:17" ht="16.5" x14ac:dyDescent="0.25">
      <c r="A359" s="2"/>
      <c r="B359" s="4"/>
      <c r="C359" s="18"/>
      <c r="E359" s="20">
        <v>44664</v>
      </c>
      <c r="F359" s="17" t="s">
        <v>184</v>
      </c>
      <c r="G359" s="21">
        <v>7.6477158284313722</v>
      </c>
      <c r="H359" s="21">
        <v>14</v>
      </c>
      <c r="I359" s="25">
        <v>0.11287387289607569</v>
      </c>
      <c r="J359" s="21">
        <v>0</v>
      </c>
      <c r="K359" s="21">
        <v>0.77661458333333333</v>
      </c>
      <c r="L359" s="21">
        <v>2.52</v>
      </c>
      <c r="M359" s="17" t="s">
        <v>122</v>
      </c>
      <c r="N359" s="17" t="s">
        <v>117</v>
      </c>
      <c r="O359" s="21">
        <v>1.8</v>
      </c>
      <c r="P359" s="21">
        <v>3.3502000000000001</v>
      </c>
      <c r="Q359" s="21">
        <v>12.2</v>
      </c>
    </row>
    <row r="360" spans="1:17" ht="16.5" x14ac:dyDescent="0.25">
      <c r="A360" s="2"/>
      <c r="B360" s="4"/>
      <c r="C360" s="18"/>
      <c r="E360" s="20">
        <v>44664</v>
      </c>
      <c r="F360" s="17" t="s">
        <v>88</v>
      </c>
      <c r="G360" s="21">
        <v>7.7993304117647071</v>
      </c>
      <c r="H360" s="21">
        <v>9.5</v>
      </c>
      <c r="I360" s="25">
        <v>0.17901785139318874</v>
      </c>
      <c r="J360" s="21">
        <v>0</v>
      </c>
      <c r="K360" s="21">
        <v>0.54036458333333337</v>
      </c>
      <c r="L360" s="21">
        <v>0</v>
      </c>
      <c r="M360" s="17" t="s">
        <v>113</v>
      </c>
      <c r="N360" s="17" t="s">
        <v>115</v>
      </c>
      <c r="O360" s="21">
        <v>0</v>
      </c>
      <c r="P360" s="21">
        <v>0</v>
      </c>
      <c r="Q360" s="21">
        <v>9.5</v>
      </c>
    </row>
    <row r="361" spans="1:17" ht="16.5" x14ac:dyDescent="0.25">
      <c r="A361" s="2"/>
      <c r="B361" s="4"/>
      <c r="C361" s="18"/>
      <c r="E361" s="20">
        <v>44664</v>
      </c>
      <c r="F361" s="17" t="s">
        <v>88</v>
      </c>
      <c r="G361" s="21">
        <v>7.2589658284313741</v>
      </c>
      <c r="H361" s="21">
        <v>12</v>
      </c>
      <c r="I361" s="25">
        <v>0.13298056846681075</v>
      </c>
      <c r="J361" s="21">
        <v>0</v>
      </c>
      <c r="K361" s="21">
        <v>0.54036458333333337</v>
      </c>
      <c r="L361" s="21">
        <v>0.84000000000000008</v>
      </c>
      <c r="M361" s="17" t="s">
        <v>122</v>
      </c>
      <c r="N361" s="17" t="s">
        <v>117</v>
      </c>
      <c r="O361" s="21">
        <v>1.8</v>
      </c>
      <c r="P361" s="21">
        <v>1.5516000000000001</v>
      </c>
      <c r="Q361" s="21">
        <v>10.199999999999999</v>
      </c>
    </row>
    <row r="362" spans="1:17" ht="16.5" x14ac:dyDescent="0.25">
      <c r="A362" s="2"/>
      <c r="B362" s="4"/>
      <c r="C362" s="18"/>
      <c r="E362" s="20">
        <v>44664</v>
      </c>
      <c r="F362" s="17" t="s">
        <v>88</v>
      </c>
      <c r="G362" s="21">
        <v>7.2589658284313741</v>
      </c>
      <c r="H362" s="21">
        <v>12</v>
      </c>
      <c r="I362" s="25">
        <v>0.13298056846681075</v>
      </c>
      <c r="J362" s="21">
        <v>0</v>
      </c>
      <c r="K362" s="21">
        <v>0.54036458333333337</v>
      </c>
      <c r="L362" s="21">
        <v>0.84000000000000008</v>
      </c>
      <c r="M362" s="17" t="s">
        <v>113</v>
      </c>
      <c r="N362" s="17" t="s">
        <v>117</v>
      </c>
      <c r="O362" s="21">
        <v>1.8</v>
      </c>
      <c r="P362" s="21">
        <v>1.5516000000000001</v>
      </c>
      <c r="Q362" s="21">
        <v>10.199999999999999</v>
      </c>
    </row>
    <row r="363" spans="1:17" ht="16.5" x14ac:dyDescent="0.25">
      <c r="A363" s="2"/>
      <c r="B363" s="4"/>
      <c r="C363" s="18"/>
      <c r="E363" s="20">
        <v>44664</v>
      </c>
      <c r="F363" s="17" t="s">
        <v>87</v>
      </c>
      <c r="G363" s="21">
        <v>4.5471429117647064</v>
      </c>
      <c r="H363" s="21">
        <v>6</v>
      </c>
      <c r="I363" s="25">
        <v>0.2421428480392156</v>
      </c>
      <c r="J363" s="21">
        <v>0</v>
      </c>
      <c r="K363" s="21">
        <v>0.38830729166666667</v>
      </c>
      <c r="L363" s="21">
        <v>0</v>
      </c>
      <c r="M363" s="17" t="s">
        <v>113</v>
      </c>
      <c r="N363" s="17" t="s">
        <v>115</v>
      </c>
      <c r="O363" s="21">
        <v>0</v>
      </c>
      <c r="P363" s="21">
        <v>0</v>
      </c>
      <c r="Q363" s="21">
        <v>6</v>
      </c>
    </row>
    <row r="364" spans="1:17" ht="16.5" x14ac:dyDescent="0.25">
      <c r="A364" s="2"/>
      <c r="B364" s="4"/>
      <c r="C364" s="18"/>
      <c r="E364" s="20">
        <v>44664</v>
      </c>
      <c r="F364" s="17" t="s">
        <v>87</v>
      </c>
      <c r="G364" s="21">
        <v>4.5471429117647064</v>
      </c>
      <c r="H364" s="21">
        <v>6.5</v>
      </c>
      <c r="I364" s="25">
        <v>0.30043955203619899</v>
      </c>
      <c r="J364" s="21">
        <v>0</v>
      </c>
      <c r="K364" s="21">
        <v>0.38830729166666667</v>
      </c>
      <c r="L364" s="21">
        <v>0</v>
      </c>
      <c r="M364" s="17" t="s">
        <v>113</v>
      </c>
      <c r="N364" s="17" t="s">
        <v>115</v>
      </c>
      <c r="O364" s="21">
        <v>0</v>
      </c>
      <c r="P364" s="21">
        <v>0</v>
      </c>
      <c r="Q364" s="21">
        <v>6.5</v>
      </c>
    </row>
    <row r="365" spans="1:17" ht="16.5" x14ac:dyDescent="0.25">
      <c r="A365" s="2"/>
      <c r="B365" s="4"/>
      <c r="C365" s="18"/>
      <c r="E365" s="20">
        <v>44664</v>
      </c>
      <c r="F365" s="17" t="s">
        <v>87</v>
      </c>
      <c r="G365" s="21">
        <v>4.1588356200980394</v>
      </c>
      <c r="H365" s="21">
        <v>7.5</v>
      </c>
      <c r="I365" s="25">
        <v>0.2100094758856032</v>
      </c>
      <c r="J365" s="21">
        <v>0</v>
      </c>
      <c r="K365" s="21">
        <v>0.38830729166666667</v>
      </c>
      <c r="L365" s="21">
        <v>0.52500000000000002</v>
      </c>
      <c r="M365" s="17" t="s">
        <v>122</v>
      </c>
      <c r="N365" s="17" t="s">
        <v>117</v>
      </c>
      <c r="O365" s="21">
        <v>1</v>
      </c>
      <c r="P365" s="21">
        <v>0.96975</v>
      </c>
      <c r="Q365" s="21">
        <v>6.5</v>
      </c>
    </row>
    <row r="366" spans="1:17" ht="16.5" x14ac:dyDescent="0.25">
      <c r="A366" s="2"/>
      <c r="B366" s="4"/>
      <c r="C366" s="18"/>
      <c r="E366" s="20">
        <v>44664</v>
      </c>
      <c r="F366" s="17" t="s">
        <v>87</v>
      </c>
      <c r="G366" s="21">
        <v>4.1588356200980394</v>
      </c>
      <c r="H366" s="21">
        <v>7.5</v>
      </c>
      <c r="I366" s="25">
        <v>0.2100094758856032</v>
      </c>
      <c r="J366" s="21">
        <v>0</v>
      </c>
      <c r="K366" s="21">
        <v>0.38830729166666667</v>
      </c>
      <c r="L366" s="21">
        <v>0.52500000000000002</v>
      </c>
      <c r="M366" s="17" t="s">
        <v>113</v>
      </c>
      <c r="N366" s="17" t="s">
        <v>117</v>
      </c>
      <c r="O366" s="21">
        <v>1</v>
      </c>
      <c r="P366" s="21">
        <v>0.96975</v>
      </c>
      <c r="Q366" s="21">
        <v>6.5</v>
      </c>
    </row>
    <row r="367" spans="1:17" ht="16.5" x14ac:dyDescent="0.25">
      <c r="A367" s="2"/>
      <c r="B367" s="4"/>
      <c r="C367" s="18"/>
      <c r="E367" s="20">
        <v>44664</v>
      </c>
      <c r="F367" s="17" t="s">
        <v>86</v>
      </c>
      <c r="G367" s="21">
        <v>8.4243304117647053</v>
      </c>
      <c r="H367" s="21">
        <v>10.5</v>
      </c>
      <c r="I367" s="25">
        <v>0.19768281792717093</v>
      </c>
      <c r="J367" s="21">
        <v>0</v>
      </c>
      <c r="K367" s="21">
        <v>0.77661458333333333</v>
      </c>
      <c r="L367" s="21">
        <v>0</v>
      </c>
      <c r="M367" s="17" t="s">
        <v>113</v>
      </c>
      <c r="N367" s="17" t="s">
        <v>115</v>
      </c>
      <c r="O367" s="21">
        <v>0</v>
      </c>
      <c r="P367" s="21">
        <v>0</v>
      </c>
      <c r="Q367" s="21">
        <v>10.5</v>
      </c>
    </row>
    <row r="368" spans="1:17" ht="16.5" x14ac:dyDescent="0.25">
      <c r="A368" s="2"/>
      <c r="B368" s="4"/>
      <c r="C368" s="18"/>
      <c r="E368" s="20">
        <v>44664</v>
      </c>
      <c r="F368" s="17" t="s">
        <v>86</v>
      </c>
      <c r="G368" s="21">
        <v>7.6477158284313722</v>
      </c>
      <c r="H368" s="21">
        <v>10.5</v>
      </c>
      <c r="I368" s="25">
        <v>0.14234611157796459</v>
      </c>
      <c r="J368" s="21">
        <v>0</v>
      </c>
      <c r="K368" s="21">
        <v>0.77661458333333333</v>
      </c>
      <c r="L368" s="21">
        <v>0.7350000000000001</v>
      </c>
      <c r="M368" s="17" t="s">
        <v>113</v>
      </c>
      <c r="N368" s="17" t="s">
        <v>117</v>
      </c>
      <c r="O368" s="21">
        <v>0</v>
      </c>
      <c r="P368" s="21">
        <v>1.35765</v>
      </c>
      <c r="Q368" s="21">
        <v>10.5</v>
      </c>
    </row>
    <row r="369" spans="1:17" ht="16.5" x14ac:dyDescent="0.25">
      <c r="A369" s="2"/>
      <c r="B369" s="4"/>
      <c r="C369" s="18"/>
      <c r="E369" s="20">
        <v>44664</v>
      </c>
      <c r="F369" s="17" t="s">
        <v>86</v>
      </c>
      <c r="G369" s="21">
        <v>7.6477158284313722</v>
      </c>
      <c r="H369" s="21">
        <v>13</v>
      </c>
      <c r="I369" s="25">
        <v>0.16532976752291509</v>
      </c>
      <c r="J369" s="21">
        <v>0</v>
      </c>
      <c r="K369" s="21">
        <v>0.77661458333333333</v>
      </c>
      <c r="L369" s="21">
        <v>0.91000000000000014</v>
      </c>
      <c r="M369" s="17" t="s">
        <v>122</v>
      </c>
      <c r="N369" s="17" t="s">
        <v>117</v>
      </c>
      <c r="O369" s="21">
        <v>1.8</v>
      </c>
      <c r="P369" s="21">
        <v>1.6809000000000001</v>
      </c>
      <c r="Q369" s="21">
        <v>11.2</v>
      </c>
    </row>
    <row r="370" spans="1:17" ht="16.5" x14ac:dyDescent="0.25">
      <c r="A370" s="2"/>
      <c r="B370" s="4"/>
      <c r="C370" s="18"/>
      <c r="E370" s="20">
        <v>44622</v>
      </c>
      <c r="F370" s="17" t="s">
        <v>98</v>
      </c>
      <c r="G370" s="21">
        <v>6.16</v>
      </c>
      <c r="H370" s="21">
        <v>9.5</v>
      </c>
      <c r="I370" s="25">
        <v>0.20245057087162341</v>
      </c>
      <c r="J370" s="21">
        <v>0</v>
      </c>
      <c r="K370" s="21">
        <v>0.84</v>
      </c>
      <c r="L370" s="21">
        <v>0.52249999999999996</v>
      </c>
      <c r="M370" s="17" t="s">
        <v>122</v>
      </c>
      <c r="N370" s="17" t="s">
        <v>116</v>
      </c>
      <c r="O370" s="21">
        <v>1</v>
      </c>
      <c r="P370" s="21">
        <v>0.52249999999999996</v>
      </c>
      <c r="Q370" s="21">
        <v>8.5</v>
      </c>
    </row>
    <row r="371" spans="1:17" ht="16.5" x14ac:dyDescent="0.25">
      <c r="A371" s="2"/>
      <c r="B371" s="4"/>
      <c r="C371" s="18"/>
      <c r="E371" s="20">
        <v>44622</v>
      </c>
      <c r="F371" s="17" t="s">
        <v>98</v>
      </c>
      <c r="G371" s="21">
        <v>6.16</v>
      </c>
      <c r="H371" s="21">
        <v>10</v>
      </c>
      <c r="I371" s="25">
        <v>0.12757402217619113</v>
      </c>
      <c r="J371" s="21">
        <v>0</v>
      </c>
      <c r="K371" s="21">
        <v>0.84</v>
      </c>
      <c r="L371" s="21">
        <v>1.2</v>
      </c>
      <c r="M371" s="17" t="s">
        <v>122</v>
      </c>
      <c r="N371" s="17" t="s">
        <v>117</v>
      </c>
      <c r="O371" s="21">
        <v>1</v>
      </c>
      <c r="P371" s="21">
        <v>1.7930000000000001</v>
      </c>
      <c r="Q371" s="21">
        <v>9</v>
      </c>
    </row>
    <row r="372" spans="1:17" ht="16.5" x14ac:dyDescent="0.25">
      <c r="A372" s="2"/>
      <c r="B372" s="4"/>
      <c r="C372" s="18"/>
      <c r="E372" s="20">
        <v>44622</v>
      </c>
      <c r="F372" s="17" t="s">
        <v>98</v>
      </c>
      <c r="G372" s="21">
        <v>6.16</v>
      </c>
      <c r="H372" s="21">
        <v>8.5</v>
      </c>
      <c r="I372" s="25">
        <v>0.10862122626828515</v>
      </c>
      <c r="J372" s="21">
        <v>0</v>
      </c>
      <c r="K372" s="21">
        <v>0.84</v>
      </c>
      <c r="L372" s="21">
        <v>0.46750000000000003</v>
      </c>
      <c r="M372" s="17" t="s">
        <v>122</v>
      </c>
      <c r="N372" s="17" t="s">
        <v>116</v>
      </c>
      <c r="O372" s="21">
        <v>1</v>
      </c>
      <c r="P372" s="21">
        <v>0.46750000000000003</v>
      </c>
      <c r="Q372" s="21">
        <v>7.5</v>
      </c>
    </row>
    <row r="373" spans="1:17" ht="16.5" x14ac:dyDescent="0.25">
      <c r="A373" s="2"/>
      <c r="B373" s="4"/>
      <c r="C373" s="18"/>
      <c r="E373" s="20">
        <v>44622</v>
      </c>
      <c r="F373" s="17" t="s">
        <v>98</v>
      </c>
      <c r="G373" s="21">
        <v>6.16</v>
      </c>
      <c r="H373" s="21">
        <v>9.5</v>
      </c>
      <c r="I373" s="25">
        <v>8.1656865448622107E-2</v>
      </c>
      <c r="J373" s="21">
        <v>0</v>
      </c>
      <c r="K373" s="21">
        <v>0.84</v>
      </c>
      <c r="L373" s="21">
        <v>1.1399999999999999</v>
      </c>
      <c r="M373" s="17" t="s">
        <v>122</v>
      </c>
      <c r="N373" s="17" t="s">
        <v>117</v>
      </c>
      <c r="O373" s="21">
        <v>1</v>
      </c>
      <c r="P373" s="21">
        <v>1.7033500000000001</v>
      </c>
      <c r="Q373" s="21">
        <v>8.5</v>
      </c>
    </row>
    <row r="374" spans="1:17" ht="16.5" x14ac:dyDescent="0.25">
      <c r="A374" s="2"/>
      <c r="B374" s="4"/>
      <c r="C374" s="18"/>
      <c r="E374" s="20">
        <v>44622</v>
      </c>
      <c r="F374" s="17" t="s">
        <v>98</v>
      </c>
      <c r="G374" s="21">
        <v>6.16</v>
      </c>
      <c r="H374" s="21">
        <v>9.5</v>
      </c>
      <c r="I374" s="25">
        <v>8.1656865448622107E-2</v>
      </c>
      <c r="J374" s="21">
        <v>0</v>
      </c>
      <c r="K374" s="21">
        <v>0.84</v>
      </c>
      <c r="L374" s="21">
        <v>1.1399999999999999</v>
      </c>
      <c r="M374" s="17" t="s">
        <v>122</v>
      </c>
      <c r="N374" s="17" t="s">
        <v>117</v>
      </c>
      <c r="O374" s="21">
        <v>1</v>
      </c>
      <c r="P374" s="21">
        <v>1.7033500000000001</v>
      </c>
      <c r="Q374" s="21">
        <v>8.5</v>
      </c>
    </row>
    <row r="375" spans="1:17" ht="16.5" x14ac:dyDescent="0.25">
      <c r="A375" s="2"/>
      <c r="B375" s="4"/>
      <c r="C375" s="18"/>
      <c r="E375" s="20">
        <v>44622</v>
      </c>
      <c r="F375" s="17" t="s">
        <v>98</v>
      </c>
      <c r="G375" s="21">
        <v>7</v>
      </c>
      <c r="H375" s="21">
        <v>8</v>
      </c>
      <c r="I375" s="25">
        <v>0.125</v>
      </c>
      <c r="J375" s="21">
        <v>0</v>
      </c>
      <c r="K375" s="21">
        <v>0.84</v>
      </c>
      <c r="L375" s="21">
        <v>0</v>
      </c>
      <c r="M375" s="17" t="s">
        <v>113</v>
      </c>
      <c r="N375" s="17" t="s">
        <v>115</v>
      </c>
      <c r="O375" s="21">
        <v>0</v>
      </c>
      <c r="P375" s="21">
        <v>0</v>
      </c>
      <c r="Q375" s="21">
        <v>8</v>
      </c>
    </row>
    <row r="376" spans="1:17" ht="16.5" x14ac:dyDescent="0.25">
      <c r="A376" s="2"/>
      <c r="B376" s="4"/>
      <c r="C376" s="18"/>
      <c r="E376" s="20">
        <v>44622</v>
      </c>
      <c r="F376" s="17" t="s">
        <v>97</v>
      </c>
      <c r="G376" s="21">
        <v>8.2720000000000002</v>
      </c>
      <c r="H376" s="21">
        <v>12</v>
      </c>
      <c r="I376" s="25">
        <v>0.18236331569664899</v>
      </c>
      <c r="J376" s="21">
        <v>0</v>
      </c>
      <c r="K376" s="21">
        <v>1.1279999999999999</v>
      </c>
      <c r="L376" s="21">
        <v>0.66</v>
      </c>
      <c r="M376" s="17" t="s">
        <v>122</v>
      </c>
      <c r="N376" s="17" t="s">
        <v>116</v>
      </c>
      <c r="O376" s="21">
        <v>1</v>
      </c>
      <c r="P376" s="21">
        <v>0.66</v>
      </c>
      <c r="Q376" s="21">
        <v>11</v>
      </c>
    </row>
    <row r="377" spans="1:17" ht="16.5" x14ac:dyDescent="0.25">
      <c r="A377" s="2"/>
      <c r="B377" s="4"/>
      <c r="C377" s="18"/>
      <c r="E377" s="20">
        <v>44622</v>
      </c>
      <c r="F377" s="17" t="s">
        <v>97</v>
      </c>
      <c r="G377" s="21">
        <v>8.2720000000000002</v>
      </c>
      <c r="H377" s="21">
        <v>11</v>
      </c>
      <c r="I377" s="25">
        <v>0.10803270803270797</v>
      </c>
      <c r="J377" s="21">
        <v>0</v>
      </c>
      <c r="K377" s="21">
        <v>1.1279999999999999</v>
      </c>
      <c r="L377" s="21">
        <v>0.60499999999999998</v>
      </c>
      <c r="M377" s="17" t="s">
        <v>122</v>
      </c>
      <c r="N377" s="17" t="s">
        <v>116</v>
      </c>
      <c r="O377" s="21">
        <v>1</v>
      </c>
      <c r="P377" s="21">
        <v>0.60499999999999998</v>
      </c>
      <c r="Q377" s="21">
        <v>10</v>
      </c>
    </row>
    <row r="378" spans="1:17" ht="16.5" x14ac:dyDescent="0.25">
      <c r="A378" s="2"/>
      <c r="B378" s="4"/>
      <c r="C378" s="18"/>
      <c r="E378" s="20">
        <v>44622</v>
      </c>
      <c r="F378" s="17" t="s">
        <v>97</v>
      </c>
      <c r="G378" s="21">
        <v>8.2720000000000002</v>
      </c>
      <c r="H378" s="21">
        <v>12.9</v>
      </c>
      <c r="I378" s="25">
        <v>0.12421141717743316</v>
      </c>
      <c r="J378" s="21">
        <v>0</v>
      </c>
      <c r="K378" s="21">
        <v>1.1279999999999999</v>
      </c>
      <c r="L378" s="21">
        <v>1.548</v>
      </c>
      <c r="M378" s="17" t="s">
        <v>122</v>
      </c>
      <c r="N378" s="17" t="s">
        <v>117</v>
      </c>
      <c r="O378" s="21">
        <v>1</v>
      </c>
      <c r="P378" s="21">
        <v>2.3129700000000004</v>
      </c>
      <c r="Q378" s="21">
        <v>11.9</v>
      </c>
    </row>
    <row r="379" spans="1:17" ht="16.5" x14ac:dyDescent="0.25">
      <c r="A379" s="2"/>
      <c r="B379" s="4"/>
      <c r="C379" s="18"/>
      <c r="E379" s="20">
        <v>44622</v>
      </c>
      <c r="F379" s="17" t="s">
        <v>97</v>
      </c>
      <c r="G379" s="21">
        <v>8.2720000000000002</v>
      </c>
      <c r="H379" s="21">
        <v>12.9</v>
      </c>
      <c r="I379" s="25">
        <v>0.12421141717743316</v>
      </c>
      <c r="J379" s="21">
        <v>0</v>
      </c>
      <c r="K379" s="21">
        <v>1.1279999999999999</v>
      </c>
      <c r="L379" s="21">
        <v>1.548</v>
      </c>
      <c r="M379" s="17" t="s">
        <v>113</v>
      </c>
      <c r="N379" s="17" t="s">
        <v>117</v>
      </c>
      <c r="O379" s="21">
        <v>1</v>
      </c>
      <c r="P379" s="21">
        <v>2.3129700000000004</v>
      </c>
      <c r="Q379" s="21">
        <v>11.9</v>
      </c>
    </row>
    <row r="380" spans="1:17" ht="16.5" x14ac:dyDescent="0.25">
      <c r="A380" s="2"/>
      <c r="B380" s="4"/>
      <c r="C380" s="18"/>
      <c r="E380" s="20">
        <v>44622</v>
      </c>
      <c r="F380" s="17" t="s">
        <v>97</v>
      </c>
      <c r="G380" s="21">
        <v>9.4</v>
      </c>
      <c r="H380" s="21">
        <v>10.5</v>
      </c>
      <c r="I380" s="25">
        <v>0.10476190476190472</v>
      </c>
      <c r="J380" s="21">
        <v>0</v>
      </c>
      <c r="K380" s="21">
        <v>1.1279999999999999</v>
      </c>
      <c r="L380" s="21">
        <v>0</v>
      </c>
      <c r="M380" s="17" t="s">
        <v>113</v>
      </c>
      <c r="N380" s="17" t="s">
        <v>115</v>
      </c>
      <c r="O380" s="21">
        <v>0</v>
      </c>
      <c r="P380" s="21">
        <v>0</v>
      </c>
      <c r="Q380" s="21">
        <v>10.5</v>
      </c>
    </row>
    <row r="381" spans="1:17" ht="16.5" x14ac:dyDescent="0.25">
      <c r="A381" s="2"/>
      <c r="B381" s="4"/>
      <c r="C381" s="18"/>
      <c r="E381" s="20">
        <v>44622</v>
      </c>
      <c r="F381" s="17" t="s">
        <v>103</v>
      </c>
      <c r="G381" s="21">
        <v>8.4480000000000004</v>
      </c>
      <c r="H381" s="21">
        <v>12</v>
      </c>
      <c r="I381" s="25">
        <v>9.5746717200719644E-2</v>
      </c>
      <c r="J381" s="21">
        <v>0</v>
      </c>
      <c r="K381" s="21">
        <v>1.1519999999999999</v>
      </c>
      <c r="L381" s="21">
        <v>0.84000000000000008</v>
      </c>
      <c r="M381" s="17" t="s">
        <v>122</v>
      </c>
      <c r="N381" s="17" t="s">
        <v>117</v>
      </c>
      <c r="O381" s="21">
        <v>1</v>
      </c>
      <c r="P381" s="21">
        <v>1.5516000000000001</v>
      </c>
      <c r="Q381" s="21">
        <v>11</v>
      </c>
    </row>
    <row r="382" spans="1:17" ht="16.5" x14ac:dyDescent="0.25">
      <c r="A382" s="2"/>
      <c r="B382" s="4"/>
      <c r="C382" s="18"/>
      <c r="E382" s="20">
        <v>44622</v>
      </c>
      <c r="F382" s="17" t="s">
        <v>102</v>
      </c>
      <c r="G382" s="21">
        <v>16.896000000000001</v>
      </c>
      <c r="H382" s="21">
        <v>23</v>
      </c>
      <c r="I382" s="25">
        <v>0.10636619211928428</v>
      </c>
      <c r="J382" s="21">
        <v>0</v>
      </c>
      <c r="K382" s="21">
        <v>2.3039999999999998</v>
      </c>
      <c r="L382" s="21">
        <v>1.61</v>
      </c>
      <c r="M382" s="17" t="s">
        <v>122</v>
      </c>
      <c r="N382" s="17" t="s">
        <v>117</v>
      </c>
      <c r="O382" s="21">
        <v>1</v>
      </c>
      <c r="P382" s="21">
        <v>2.9739</v>
      </c>
      <c r="Q382" s="21">
        <v>22</v>
      </c>
    </row>
    <row r="383" spans="1:17" ht="16.5" x14ac:dyDescent="0.25">
      <c r="A383" s="2"/>
      <c r="B383" s="4"/>
      <c r="C383" s="18"/>
      <c r="E383" s="20">
        <v>44622</v>
      </c>
      <c r="F383" s="17" t="s">
        <v>101</v>
      </c>
      <c r="G383" s="21">
        <v>9.5920000000000005</v>
      </c>
      <c r="H383" s="21">
        <v>13.5</v>
      </c>
      <c r="I383" s="25">
        <v>9.8894461246591694E-2</v>
      </c>
      <c r="J383" s="21">
        <v>0</v>
      </c>
      <c r="K383" s="21">
        <v>1.3080000000000001</v>
      </c>
      <c r="L383" s="21">
        <v>0.94500000000000006</v>
      </c>
      <c r="M383" s="17" t="s">
        <v>122</v>
      </c>
      <c r="N383" s="17" t="s">
        <v>117</v>
      </c>
      <c r="O383" s="21">
        <v>1</v>
      </c>
      <c r="P383" s="21">
        <v>1.7455499999999999</v>
      </c>
      <c r="Q383" s="21">
        <v>12.5</v>
      </c>
    </row>
    <row r="384" spans="1:17" ht="16.5" x14ac:dyDescent="0.25">
      <c r="A384" s="2"/>
      <c r="B384" s="4"/>
      <c r="C384" s="18"/>
      <c r="E384" s="20">
        <v>44622</v>
      </c>
      <c r="F384" s="17" t="s">
        <v>101</v>
      </c>
      <c r="G384" s="21">
        <v>9.5920000000000005</v>
      </c>
      <c r="H384" s="21">
        <v>13.5</v>
      </c>
      <c r="I384" s="25">
        <v>9.8894461246591694E-2</v>
      </c>
      <c r="J384" s="21">
        <v>0</v>
      </c>
      <c r="K384" s="21">
        <v>1.3080000000000001</v>
      </c>
      <c r="L384" s="21">
        <v>0.94500000000000006</v>
      </c>
      <c r="M384" s="17" t="s">
        <v>113</v>
      </c>
      <c r="N384" s="17" t="s">
        <v>117</v>
      </c>
      <c r="O384" s="21">
        <v>1</v>
      </c>
      <c r="P384" s="21">
        <v>1.7455499999999999</v>
      </c>
      <c r="Q384" s="21">
        <v>12.5</v>
      </c>
    </row>
    <row r="385" spans="1:17" ht="16.5" x14ac:dyDescent="0.25">
      <c r="A385" s="2"/>
      <c r="B385" s="4"/>
      <c r="C385" s="18"/>
      <c r="E385" s="20">
        <v>44586</v>
      </c>
      <c r="F385" s="17" t="s">
        <v>96</v>
      </c>
      <c r="G385" s="21">
        <v>9.6668000000000003</v>
      </c>
      <c r="H385" s="21">
        <v>15.9</v>
      </c>
      <c r="I385" s="25">
        <v>0.21737292985499082</v>
      </c>
      <c r="J385" s="21">
        <v>0</v>
      </c>
      <c r="K385" s="21">
        <v>0.2432</v>
      </c>
      <c r="L385" s="21">
        <v>1.9079999999999999</v>
      </c>
      <c r="M385" s="17" t="s">
        <v>122</v>
      </c>
      <c r="N385" s="17" t="s">
        <v>117</v>
      </c>
      <c r="O385" s="21">
        <v>1</v>
      </c>
      <c r="P385" s="21">
        <v>2.2705200000000003</v>
      </c>
      <c r="Q385" s="21">
        <v>14.9</v>
      </c>
    </row>
    <row r="386" spans="1:17" ht="16.5" x14ac:dyDescent="0.25">
      <c r="A386" s="2"/>
      <c r="B386" s="4"/>
      <c r="C386" s="18"/>
      <c r="E386" s="20">
        <v>44586</v>
      </c>
      <c r="F386" s="17" t="s">
        <v>96</v>
      </c>
      <c r="G386" s="21">
        <v>9.6668000000000003</v>
      </c>
      <c r="H386" s="21">
        <v>14.9</v>
      </c>
      <c r="I386" s="25">
        <v>0.20693157203224319</v>
      </c>
      <c r="J386" s="21">
        <v>0</v>
      </c>
      <c r="K386" s="21">
        <v>0.2432</v>
      </c>
      <c r="L386" s="21">
        <v>0.81950000000000001</v>
      </c>
      <c r="M386" s="17" t="s">
        <v>122</v>
      </c>
      <c r="N386" s="17" t="s">
        <v>116</v>
      </c>
      <c r="O386" s="21">
        <v>1.5</v>
      </c>
      <c r="P386" s="21">
        <v>0.81950000000000001</v>
      </c>
      <c r="Q386" s="21">
        <v>13.4</v>
      </c>
    </row>
    <row r="387" spans="1:17" ht="16.5" x14ac:dyDescent="0.25">
      <c r="A387" s="2"/>
      <c r="B387" s="4"/>
      <c r="C387" s="18"/>
      <c r="E387" s="20">
        <v>44586</v>
      </c>
      <c r="F387" s="17" t="s">
        <v>96</v>
      </c>
      <c r="G387" s="21">
        <v>9.91</v>
      </c>
      <c r="H387" s="21">
        <v>11.9</v>
      </c>
      <c r="I387" s="25">
        <v>0.16722689075630254</v>
      </c>
      <c r="J387" s="21">
        <v>0</v>
      </c>
      <c r="K387" s="21">
        <v>0.2432</v>
      </c>
      <c r="L387" s="21">
        <v>0</v>
      </c>
      <c r="M387" s="17" t="s">
        <v>113</v>
      </c>
      <c r="N387" s="17" t="s">
        <v>115</v>
      </c>
      <c r="O387" s="21">
        <v>0</v>
      </c>
      <c r="P387" s="21">
        <v>0</v>
      </c>
      <c r="Q387" s="21">
        <v>11.9</v>
      </c>
    </row>
    <row r="388" spans="1:17" ht="16.5" x14ac:dyDescent="0.25">
      <c r="A388" s="2"/>
      <c r="B388" s="4"/>
      <c r="C388" s="18"/>
      <c r="E388" s="20">
        <v>44586</v>
      </c>
      <c r="F388" s="17" t="s">
        <v>95</v>
      </c>
      <c r="G388" s="21">
        <v>4.8334000000000001</v>
      </c>
      <c r="H388" s="21">
        <v>7.9</v>
      </c>
      <c r="I388" s="25">
        <v>0.21241959396799709</v>
      </c>
      <c r="J388" s="21">
        <v>0</v>
      </c>
      <c r="K388" s="21">
        <v>0.1216</v>
      </c>
      <c r="L388" s="21">
        <v>0.94799999999999995</v>
      </c>
      <c r="M388" s="17" t="s">
        <v>122</v>
      </c>
      <c r="N388" s="17" t="s">
        <v>117</v>
      </c>
      <c r="O388" s="21">
        <v>0.5</v>
      </c>
      <c r="P388" s="21">
        <v>1.1281200000000002</v>
      </c>
      <c r="Q388" s="21">
        <v>7.4</v>
      </c>
    </row>
    <row r="389" spans="1:17" ht="16.5" x14ac:dyDescent="0.25">
      <c r="A389" s="2"/>
      <c r="B389" s="4"/>
      <c r="C389" s="18"/>
      <c r="E389" s="20">
        <v>44586</v>
      </c>
      <c r="F389" s="17" t="s">
        <v>95</v>
      </c>
      <c r="G389" s="21">
        <v>4.8334000000000001</v>
      </c>
      <c r="H389" s="21">
        <v>7.4</v>
      </c>
      <c r="I389" s="25">
        <v>0.23732303732303733</v>
      </c>
      <c r="J389" s="21">
        <v>0</v>
      </c>
      <c r="K389" s="21">
        <v>0.1216</v>
      </c>
      <c r="L389" s="21">
        <v>0.40700000000000003</v>
      </c>
      <c r="M389" s="17" t="s">
        <v>122</v>
      </c>
      <c r="N389" s="17" t="s">
        <v>116</v>
      </c>
      <c r="O389" s="21">
        <v>0.5</v>
      </c>
      <c r="P389" s="21">
        <v>0.40700000000000003</v>
      </c>
      <c r="Q389" s="21">
        <v>6.9</v>
      </c>
    </row>
    <row r="390" spans="1:17" ht="16.5" x14ac:dyDescent="0.25">
      <c r="A390" s="2"/>
      <c r="B390" s="4"/>
      <c r="C390" s="18"/>
      <c r="E390" s="20">
        <v>44586</v>
      </c>
      <c r="F390" s="17" t="s">
        <v>95</v>
      </c>
      <c r="G390" s="21">
        <v>4.8334000000000001</v>
      </c>
      <c r="H390" s="21">
        <v>7.5</v>
      </c>
      <c r="I390" s="25">
        <v>0.24749206349206351</v>
      </c>
      <c r="J390" s="21">
        <v>0</v>
      </c>
      <c r="K390" s="21">
        <v>0.1216</v>
      </c>
      <c r="L390" s="21">
        <v>0.41249999999999998</v>
      </c>
      <c r="M390" s="17" t="s">
        <v>122</v>
      </c>
      <c r="N390" s="17" t="s">
        <v>116</v>
      </c>
      <c r="O390" s="21">
        <v>0.5</v>
      </c>
      <c r="P390" s="21">
        <v>0.41249999999999998</v>
      </c>
      <c r="Q390" s="21">
        <v>7</v>
      </c>
    </row>
    <row r="391" spans="1:17" ht="16.5" x14ac:dyDescent="0.25">
      <c r="A391" s="2"/>
      <c r="B391" s="4"/>
      <c r="C391" s="18"/>
      <c r="E391" s="20">
        <v>44586</v>
      </c>
      <c r="F391" s="17" t="s">
        <v>95</v>
      </c>
      <c r="G391" s="21">
        <v>4.9550000000000001</v>
      </c>
      <c r="H391" s="21">
        <v>6.2</v>
      </c>
      <c r="I391" s="25">
        <v>0.20080645161290323</v>
      </c>
      <c r="J391" s="21">
        <v>0</v>
      </c>
      <c r="K391" s="21">
        <v>0.1216</v>
      </c>
      <c r="L391" s="21">
        <v>0</v>
      </c>
      <c r="M391" s="17" t="s">
        <v>113</v>
      </c>
      <c r="N391" s="17" t="s">
        <v>115</v>
      </c>
      <c r="O391" s="21">
        <v>0</v>
      </c>
      <c r="P391" s="21">
        <v>0</v>
      </c>
      <c r="Q391" s="21">
        <v>6.2</v>
      </c>
    </row>
    <row r="392" spans="1:17" ht="16.5" x14ac:dyDescent="0.25">
      <c r="A392" s="2"/>
      <c r="B392" s="4"/>
      <c r="C392" s="18"/>
      <c r="E392" s="20">
        <v>44586</v>
      </c>
      <c r="F392" s="17" t="s">
        <v>94</v>
      </c>
      <c r="G392" s="21">
        <v>2.4410599999999998</v>
      </c>
      <c r="H392" s="21">
        <v>4.7</v>
      </c>
      <c r="I392" s="25">
        <v>0.26999831216925962</v>
      </c>
      <c r="J392" s="21">
        <v>0</v>
      </c>
      <c r="K392" s="21">
        <v>6.1440000000000002E-2</v>
      </c>
      <c r="L392" s="21">
        <v>0.56399999999999995</v>
      </c>
      <c r="M392" s="17" t="s">
        <v>122</v>
      </c>
      <c r="N392" s="17" t="s">
        <v>117</v>
      </c>
      <c r="O392" s="21">
        <v>0.5</v>
      </c>
      <c r="P392" s="21">
        <v>0.67116000000000009</v>
      </c>
      <c r="Q392" s="21">
        <v>4.2</v>
      </c>
    </row>
    <row r="393" spans="1:17" ht="16.5" x14ac:dyDescent="0.25">
      <c r="A393" s="2"/>
      <c r="B393" s="4"/>
      <c r="C393" s="18"/>
      <c r="E393" s="20">
        <v>44586</v>
      </c>
      <c r="F393" s="17" t="s">
        <v>94</v>
      </c>
      <c r="G393" s="21">
        <v>2.4410599999999998</v>
      </c>
      <c r="H393" s="21">
        <v>4.2</v>
      </c>
      <c r="I393" s="25">
        <v>0.25899218946838004</v>
      </c>
      <c r="J393" s="21">
        <v>0</v>
      </c>
      <c r="K393" s="21">
        <v>6.1440000000000002E-2</v>
      </c>
      <c r="L393" s="21">
        <v>0.23100000000000001</v>
      </c>
      <c r="M393" s="17" t="s">
        <v>122</v>
      </c>
      <c r="N393" s="17" t="s">
        <v>116</v>
      </c>
      <c r="O393" s="21">
        <v>0.5</v>
      </c>
      <c r="P393" s="21">
        <v>0.23100000000000001</v>
      </c>
      <c r="Q393" s="21">
        <v>3.7</v>
      </c>
    </row>
    <row r="394" spans="1:17" ht="16.5" x14ac:dyDescent="0.25">
      <c r="A394" s="2"/>
      <c r="B394" s="4"/>
      <c r="C394" s="18"/>
      <c r="E394" s="20">
        <v>44586</v>
      </c>
      <c r="F394" s="17" t="s">
        <v>94</v>
      </c>
      <c r="G394" s="21">
        <v>2.5024999999999999</v>
      </c>
      <c r="H394" s="21">
        <v>3.4</v>
      </c>
      <c r="I394" s="25">
        <v>0.26397058823529412</v>
      </c>
      <c r="J394" s="21">
        <v>0</v>
      </c>
      <c r="K394" s="21">
        <v>6.1440000000000002E-2</v>
      </c>
      <c r="L394" s="21">
        <v>0</v>
      </c>
      <c r="M394" s="17" t="s">
        <v>113</v>
      </c>
      <c r="N394" s="17" t="s">
        <v>115</v>
      </c>
      <c r="O394" s="21">
        <v>0</v>
      </c>
      <c r="P394" s="21">
        <v>0</v>
      </c>
      <c r="Q394" s="21">
        <v>3.4</v>
      </c>
    </row>
    <row r="395" spans="1:17" ht="16.5" x14ac:dyDescent="0.25">
      <c r="A395" s="2"/>
      <c r="B395" s="4"/>
      <c r="C395" s="18"/>
      <c r="E395" s="20">
        <v>44582</v>
      </c>
      <c r="F395" s="17" t="s">
        <v>137</v>
      </c>
      <c r="G395" s="21">
        <v>6.91</v>
      </c>
      <c r="H395" s="21">
        <v>7.9</v>
      </c>
      <c r="I395" s="25">
        <v>0.12531645569620256</v>
      </c>
      <c r="J395" s="21">
        <v>0</v>
      </c>
      <c r="K395" s="21">
        <v>0.78</v>
      </c>
      <c r="L395" s="21">
        <v>0</v>
      </c>
      <c r="M395" s="17" t="s">
        <v>113</v>
      </c>
      <c r="N395" s="17" t="s">
        <v>115</v>
      </c>
      <c r="O395" s="21">
        <v>0</v>
      </c>
      <c r="P395" s="21">
        <v>0</v>
      </c>
      <c r="Q395" s="21">
        <v>7.9</v>
      </c>
    </row>
    <row r="396" spans="1:17" ht="16.5" x14ac:dyDescent="0.25">
      <c r="A396" s="2"/>
      <c r="B396" s="4"/>
      <c r="C396" s="18"/>
      <c r="E396" s="20">
        <v>44582</v>
      </c>
      <c r="F396" s="17" t="s">
        <v>137</v>
      </c>
      <c r="G396" s="21">
        <v>6.13</v>
      </c>
      <c r="H396" s="21">
        <v>9.5</v>
      </c>
      <c r="I396" s="25">
        <v>0.12444433528992803</v>
      </c>
      <c r="J396" s="21">
        <v>0</v>
      </c>
      <c r="K396" s="21">
        <v>0.78</v>
      </c>
      <c r="L396" s="21">
        <v>1.1399999999999999</v>
      </c>
      <c r="M396" s="17" t="s">
        <v>122</v>
      </c>
      <c r="N396" s="17" t="s">
        <v>117</v>
      </c>
      <c r="O396" s="21">
        <v>1</v>
      </c>
      <c r="P396" s="21">
        <v>1.3566</v>
      </c>
      <c r="Q396" s="21">
        <v>8.5</v>
      </c>
    </row>
    <row r="397" spans="1:17" ht="16.5" x14ac:dyDescent="0.25">
      <c r="A397" s="2"/>
      <c r="B397" s="4"/>
      <c r="C397" s="18"/>
      <c r="E397" s="20">
        <v>44579</v>
      </c>
      <c r="F397" s="17" t="s">
        <v>100</v>
      </c>
      <c r="G397" s="21">
        <v>15.324999999999999</v>
      </c>
      <c r="H397" s="21">
        <v>20.9</v>
      </c>
      <c r="I397" s="25">
        <v>0.14812283233335863</v>
      </c>
      <c r="J397" s="21">
        <v>0</v>
      </c>
      <c r="K397" s="21">
        <v>0.1875</v>
      </c>
      <c r="L397" s="21">
        <v>1.1495</v>
      </c>
      <c r="M397" s="17" t="s">
        <v>122</v>
      </c>
      <c r="N397" s="17" t="s">
        <v>116</v>
      </c>
      <c r="O397" s="21">
        <v>1.5</v>
      </c>
      <c r="P397" s="21">
        <v>1.1495</v>
      </c>
      <c r="Q397" s="21">
        <v>19.399999999999999</v>
      </c>
    </row>
    <row r="398" spans="1:17" ht="16.5" x14ac:dyDescent="0.25">
      <c r="A398" s="2"/>
      <c r="B398" s="4"/>
      <c r="C398" s="18"/>
      <c r="E398" s="20">
        <v>44579</v>
      </c>
      <c r="F398" s="17" t="s">
        <v>100</v>
      </c>
      <c r="G398" s="21">
        <v>15.324999999999999</v>
      </c>
      <c r="H398" s="21">
        <v>19.899999999999999</v>
      </c>
      <c r="I398" s="25">
        <v>0.10531493446066308</v>
      </c>
      <c r="J398" s="21">
        <v>0</v>
      </c>
      <c r="K398" s="21">
        <v>0.1875</v>
      </c>
      <c r="L398" s="21">
        <v>1.0945</v>
      </c>
      <c r="M398" s="17" t="s">
        <v>122</v>
      </c>
      <c r="N398" s="17" t="s">
        <v>116</v>
      </c>
      <c r="O398" s="21">
        <v>1.5</v>
      </c>
      <c r="P398" s="21">
        <v>1.0945</v>
      </c>
      <c r="Q398" s="21">
        <v>18.399999999999999</v>
      </c>
    </row>
    <row r="399" spans="1:17" ht="16.5" x14ac:dyDescent="0.25">
      <c r="A399" s="2"/>
      <c r="B399" s="4"/>
      <c r="C399" s="18"/>
      <c r="E399" s="20">
        <v>44579</v>
      </c>
      <c r="F399" s="17" t="s">
        <v>100</v>
      </c>
      <c r="G399" s="21">
        <v>15.324999999999999</v>
      </c>
      <c r="H399" s="21">
        <v>22.9</v>
      </c>
      <c r="I399" s="25">
        <v>0.10476890799897627</v>
      </c>
      <c r="J399" s="21">
        <v>0</v>
      </c>
      <c r="K399" s="21">
        <v>0.1875</v>
      </c>
      <c r="L399" s="21">
        <v>2.7479999999999998</v>
      </c>
      <c r="M399" s="17" t="s">
        <v>122</v>
      </c>
      <c r="N399" s="17" t="s">
        <v>117</v>
      </c>
      <c r="O399" s="21">
        <v>1.5</v>
      </c>
      <c r="P399" s="21">
        <v>4.1059700000000001</v>
      </c>
      <c r="Q399" s="21">
        <v>21.4</v>
      </c>
    </row>
    <row r="400" spans="1:17" ht="16.5" x14ac:dyDescent="0.25">
      <c r="A400" s="2"/>
      <c r="B400" s="4"/>
      <c r="C400" s="18"/>
      <c r="E400" s="20">
        <v>44579</v>
      </c>
      <c r="F400" s="17" t="s">
        <v>100</v>
      </c>
      <c r="G400" s="21">
        <v>15.512499999999999</v>
      </c>
      <c r="H400" s="21">
        <v>18.5</v>
      </c>
      <c r="I400" s="25">
        <v>0.16148648648648653</v>
      </c>
      <c r="J400" s="21">
        <v>0</v>
      </c>
      <c r="K400" s="21">
        <v>0.1875</v>
      </c>
      <c r="L400" s="21">
        <v>0</v>
      </c>
      <c r="M400" s="17" t="s">
        <v>113</v>
      </c>
      <c r="N400" s="17" t="s">
        <v>115</v>
      </c>
      <c r="O400" s="21">
        <v>0</v>
      </c>
      <c r="P400" s="21">
        <v>0</v>
      </c>
      <c r="Q400" s="21">
        <v>18.5</v>
      </c>
    </row>
    <row r="401" spans="1:17" ht="16.5" x14ac:dyDescent="0.25">
      <c r="A401" s="2"/>
      <c r="B401" s="4"/>
      <c r="C401" s="18"/>
      <c r="E401" s="20">
        <v>44579</v>
      </c>
      <c r="F401" s="17" t="s">
        <v>99</v>
      </c>
      <c r="G401" s="21">
        <v>10.387499999999999</v>
      </c>
      <c r="H401" s="21">
        <v>15</v>
      </c>
      <c r="I401" s="25">
        <v>0.16137566137566148</v>
      </c>
      <c r="J401" s="21">
        <v>0</v>
      </c>
      <c r="K401" s="21">
        <v>0.125</v>
      </c>
      <c r="L401" s="21">
        <v>0.82499999999999996</v>
      </c>
      <c r="M401" s="17" t="s">
        <v>122</v>
      </c>
      <c r="N401" s="17" t="s">
        <v>116</v>
      </c>
      <c r="O401" s="21">
        <v>1.5</v>
      </c>
      <c r="P401" s="21">
        <v>0.82499999999999996</v>
      </c>
      <c r="Q401" s="21">
        <v>13.5</v>
      </c>
    </row>
    <row r="402" spans="1:17" ht="16.5" x14ac:dyDescent="0.25">
      <c r="A402" s="2"/>
      <c r="B402" s="4"/>
      <c r="C402" s="18"/>
      <c r="E402" s="20">
        <v>44579</v>
      </c>
      <c r="F402" s="17" t="s">
        <v>99</v>
      </c>
      <c r="G402" s="21">
        <v>10.387499999999999</v>
      </c>
      <c r="H402" s="21">
        <v>17</v>
      </c>
      <c r="I402" s="25">
        <v>0.1479655100738968</v>
      </c>
      <c r="J402" s="21">
        <v>0</v>
      </c>
      <c r="K402" s="21">
        <v>0.125</v>
      </c>
      <c r="L402" s="21">
        <v>2.04</v>
      </c>
      <c r="M402" s="17" t="s">
        <v>122</v>
      </c>
      <c r="N402" s="17" t="s">
        <v>117</v>
      </c>
      <c r="O402" s="21">
        <v>1.5</v>
      </c>
      <c r="P402" s="21">
        <v>3.0481000000000003</v>
      </c>
      <c r="Q402" s="21">
        <v>15.5</v>
      </c>
    </row>
    <row r="403" spans="1:17" ht="16.5" x14ac:dyDescent="0.25">
      <c r="A403" s="2"/>
      <c r="B403" s="4"/>
      <c r="C403" s="18"/>
      <c r="E403" s="20">
        <v>44579</v>
      </c>
      <c r="F403" s="17" t="s">
        <v>99</v>
      </c>
      <c r="G403" s="21">
        <v>10.512499999999999</v>
      </c>
      <c r="H403" s="21">
        <v>12.5</v>
      </c>
      <c r="I403" s="25">
        <v>0.15900000000000006</v>
      </c>
      <c r="J403" s="21">
        <v>0</v>
      </c>
      <c r="K403" s="21">
        <v>0.125</v>
      </c>
      <c r="L403" s="21">
        <v>0</v>
      </c>
      <c r="M403" s="17" t="s">
        <v>113</v>
      </c>
      <c r="N403" s="17" t="s">
        <v>115</v>
      </c>
      <c r="O403" s="21">
        <v>0</v>
      </c>
      <c r="P403" s="21">
        <v>0</v>
      </c>
      <c r="Q403" s="21">
        <v>12.5</v>
      </c>
    </row>
    <row r="404" spans="1:17" ht="16.5" x14ac:dyDescent="0.25">
      <c r="A404" s="2"/>
      <c r="B404" s="4"/>
      <c r="C404" s="18"/>
      <c r="E404" s="20">
        <v>44579</v>
      </c>
      <c r="F404" s="17" t="s">
        <v>99</v>
      </c>
      <c r="G404" s="21">
        <v>10.512499999999999</v>
      </c>
      <c r="H404" s="21">
        <v>13.9</v>
      </c>
      <c r="I404" s="25">
        <v>0.13579136690647489</v>
      </c>
      <c r="J404" s="21">
        <v>0</v>
      </c>
      <c r="K404" s="21">
        <v>0.125</v>
      </c>
      <c r="L404" s="21">
        <v>0</v>
      </c>
      <c r="M404" s="17" t="s">
        <v>113</v>
      </c>
      <c r="N404" s="17" t="s">
        <v>115</v>
      </c>
      <c r="O404" s="21">
        <v>1.5</v>
      </c>
      <c r="P404" s="21">
        <v>0</v>
      </c>
      <c r="Q404" s="21">
        <v>12.4</v>
      </c>
    </row>
    <row r="405" spans="1:17" ht="16.5" x14ac:dyDescent="0.25">
      <c r="A405" s="2"/>
      <c r="B405" s="4"/>
      <c r="C405" s="18"/>
      <c r="E405" s="20">
        <v>44579</v>
      </c>
      <c r="F405" s="17" t="s">
        <v>99</v>
      </c>
      <c r="G405" s="21">
        <v>10.512499999999999</v>
      </c>
      <c r="H405" s="21">
        <v>12.5</v>
      </c>
      <c r="I405" s="25">
        <v>0.15900000000000006</v>
      </c>
      <c r="J405" s="21">
        <v>0</v>
      </c>
      <c r="K405" s="21">
        <v>0.125</v>
      </c>
      <c r="L405" s="21">
        <v>0</v>
      </c>
      <c r="M405" s="17" t="s">
        <v>113</v>
      </c>
      <c r="N405" s="17" t="s">
        <v>115</v>
      </c>
      <c r="O405" s="21">
        <v>0</v>
      </c>
      <c r="P405" s="21">
        <v>0</v>
      </c>
      <c r="Q405" s="21">
        <v>12.5</v>
      </c>
    </row>
    <row r="406" spans="1:17" ht="16.5" x14ac:dyDescent="0.25">
      <c r="A406" s="2"/>
      <c r="B406" s="4"/>
      <c r="C406" s="18"/>
      <c r="E406" s="20">
        <v>44579</v>
      </c>
      <c r="F406" s="17" t="s">
        <v>99</v>
      </c>
      <c r="G406" s="21">
        <v>10.512499999999999</v>
      </c>
      <c r="H406" s="21">
        <v>13.9</v>
      </c>
      <c r="I406" s="25">
        <v>0.13579136690647489</v>
      </c>
      <c r="J406" s="21">
        <v>0</v>
      </c>
      <c r="K406" s="21">
        <v>0.125</v>
      </c>
      <c r="L406" s="21">
        <v>0</v>
      </c>
      <c r="M406" s="17" t="s">
        <v>122</v>
      </c>
      <c r="N406" s="17" t="s">
        <v>115</v>
      </c>
      <c r="O406" s="21">
        <v>1.5</v>
      </c>
      <c r="P406" s="21">
        <v>0</v>
      </c>
      <c r="Q406" s="21">
        <v>12.4</v>
      </c>
    </row>
    <row r="407" spans="1:17" ht="16.5" x14ac:dyDescent="0.25">
      <c r="A407" s="2"/>
      <c r="B407" s="4"/>
      <c r="C407" s="18"/>
      <c r="E407" s="20">
        <v>44579</v>
      </c>
      <c r="F407" s="17" t="s">
        <v>99</v>
      </c>
      <c r="G407" s="21">
        <v>10.512499999999999</v>
      </c>
      <c r="H407" s="21">
        <v>13.9</v>
      </c>
      <c r="I407" s="25">
        <v>0.13579136690647489</v>
      </c>
      <c r="J407" s="21">
        <v>0</v>
      </c>
      <c r="K407" s="21">
        <v>0.125</v>
      </c>
      <c r="L407" s="21">
        <v>0</v>
      </c>
      <c r="M407" s="17" t="s">
        <v>113</v>
      </c>
      <c r="N407" s="17" t="s">
        <v>115</v>
      </c>
      <c r="O407" s="21">
        <v>1.5</v>
      </c>
      <c r="P407" s="21">
        <v>0</v>
      </c>
      <c r="Q407" s="21">
        <v>12.4</v>
      </c>
    </row>
    <row r="408" spans="1:17" ht="16.5" x14ac:dyDescent="0.25">
      <c r="A408" s="2"/>
      <c r="B408" s="4"/>
      <c r="C408" s="18"/>
      <c r="E408" s="20">
        <v>44579</v>
      </c>
      <c r="F408" s="17" t="s">
        <v>99</v>
      </c>
      <c r="G408" s="21">
        <v>10.512499999999999</v>
      </c>
      <c r="H408" s="21">
        <v>12.5</v>
      </c>
      <c r="I408" s="25">
        <v>0.15900000000000006</v>
      </c>
      <c r="J408" s="21">
        <v>0</v>
      </c>
      <c r="K408" s="21">
        <v>0.125</v>
      </c>
      <c r="L408" s="21">
        <v>0</v>
      </c>
      <c r="M408" s="17" t="s">
        <v>113</v>
      </c>
      <c r="N408" s="17" t="s">
        <v>115</v>
      </c>
      <c r="O408" s="21">
        <v>0</v>
      </c>
      <c r="P408" s="21">
        <v>0</v>
      </c>
      <c r="Q408" s="21">
        <v>12.5</v>
      </c>
    </row>
    <row r="409" spans="1:17" ht="16.5" x14ac:dyDescent="0.25">
      <c r="A409" s="2"/>
      <c r="B409" s="4"/>
      <c r="C409" s="18"/>
      <c r="E409" s="20">
        <v>44579</v>
      </c>
      <c r="F409" s="17" t="s">
        <v>88</v>
      </c>
      <c r="G409" s="21">
        <v>6.600230166666667</v>
      </c>
      <c r="H409" s="21">
        <v>11</v>
      </c>
      <c r="I409" s="25">
        <v>0.15426144411845569</v>
      </c>
      <c r="J409" s="21">
        <v>0</v>
      </c>
      <c r="K409" s="21">
        <v>0.47969583333333338</v>
      </c>
      <c r="L409" s="21">
        <v>0.77</v>
      </c>
      <c r="M409" s="17" t="s">
        <v>122</v>
      </c>
      <c r="N409" s="17" t="s">
        <v>117</v>
      </c>
      <c r="O409" s="21">
        <v>1.5</v>
      </c>
      <c r="P409" s="21">
        <v>1.4222999999999999</v>
      </c>
      <c r="Q409" s="21">
        <v>9.5</v>
      </c>
    </row>
    <row r="410" spans="1:17" ht="16.5" x14ac:dyDescent="0.25">
      <c r="A410" s="2"/>
      <c r="B410" s="4"/>
      <c r="C410" s="18"/>
      <c r="E410" s="20">
        <v>44579</v>
      </c>
      <c r="F410" s="17" t="s">
        <v>88</v>
      </c>
      <c r="G410" s="21">
        <v>7.0799260000000004</v>
      </c>
      <c r="H410" s="21">
        <v>8.5</v>
      </c>
      <c r="I410" s="25">
        <v>0.16706752941176467</v>
      </c>
      <c r="J410" s="21">
        <v>0</v>
      </c>
      <c r="K410" s="21">
        <v>0.47969583333333338</v>
      </c>
      <c r="L410" s="21">
        <v>0</v>
      </c>
      <c r="M410" s="17" t="s">
        <v>113</v>
      </c>
      <c r="N410" s="17" t="s">
        <v>115</v>
      </c>
      <c r="O410" s="21">
        <v>0</v>
      </c>
      <c r="P410" s="21">
        <v>0</v>
      </c>
      <c r="Q410" s="21">
        <v>8.5</v>
      </c>
    </row>
    <row r="411" spans="1:17" ht="16.5" x14ac:dyDescent="0.25">
      <c r="A411" s="2"/>
      <c r="B411" s="4"/>
      <c r="C411" s="18"/>
      <c r="E411" s="20">
        <v>44579</v>
      </c>
      <c r="F411" s="17" t="s">
        <v>87</v>
      </c>
      <c r="G411" s="21">
        <v>4.4093009999999992</v>
      </c>
      <c r="H411" s="21">
        <v>5.5</v>
      </c>
      <c r="I411" s="25">
        <v>0.19830890909090923</v>
      </c>
      <c r="J411" s="21">
        <v>0</v>
      </c>
      <c r="K411" s="21">
        <v>0.35962916666666672</v>
      </c>
      <c r="L411" s="21">
        <v>0</v>
      </c>
      <c r="M411" s="17" t="s">
        <v>113</v>
      </c>
      <c r="N411" s="17" t="s">
        <v>115</v>
      </c>
      <c r="O411" s="21">
        <v>0</v>
      </c>
      <c r="P411" s="21">
        <v>0</v>
      </c>
      <c r="Q411" s="21">
        <v>5.5</v>
      </c>
    </row>
    <row r="412" spans="1:17" ht="16.5" x14ac:dyDescent="0.25">
      <c r="A412" s="2"/>
      <c r="B412" s="4"/>
      <c r="C412" s="18"/>
      <c r="E412" s="20">
        <v>44579</v>
      </c>
      <c r="F412" s="17" t="s">
        <v>87</v>
      </c>
      <c r="G412" s="21">
        <v>4.4093009999999992</v>
      </c>
      <c r="H412" s="21">
        <v>5.5</v>
      </c>
      <c r="I412" s="25">
        <v>0.19830890909090923</v>
      </c>
      <c r="J412" s="21">
        <v>0</v>
      </c>
      <c r="K412" s="21">
        <v>0.35962916666666672</v>
      </c>
      <c r="L412" s="21">
        <v>0</v>
      </c>
      <c r="M412" s="17" t="s">
        <v>122</v>
      </c>
      <c r="N412" s="17" t="s">
        <v>115</v>
      </c>
      <c r="O412" s="21">
        <v>0</v>
      </c>
      <c r="P412" s="21">
        <v>0</v>
      </c>
      <c r="Q412" s="21">
        <v>5.5</v>
      </c>
    </row>
    <row r="413" spans="1:17" ht="16.5" x14ac:dyDescent="0.25">
      <c r="A413" s="2"/>
      <c r="B413" s="4"/>
      <c r="C413" s="18"/>
      <c r="E413" s="20">
        <v>44579</v>
      </c>
      <c r="F413" s="17" t="s">
        <v>87</v>
      </c>
      <c r="G413" s="21">
        <v>4.0496718333333321</v>
      </c>
      <c r="H413" s="21">
        <v>7</v>
      </c>
      <c r="I413" s="25">
        <v>0.17149225855496691</v>
      </c>
      <c r="J413" s="21">
        <v>0</v>
      </c>
      <c r="K413" s="21">
        <v>0.35962916666666672</v>
      </c>
      <c r="L413" s="21">
        <v>0.49000000000000005</v>
      </c>
      <c r="M413" s="17" t="s">
        <v>122</v>
      </c>
      <c r="N413" s="17" t="s">
        <v>117</v>
      </c>
      <c r="O413" s="21">
        <v>1</v>
      </c>
      <c r="P413" s="21">
        <v>0.90510000000000002</v>
      </c>
      <c r="Q413" s="21">
        <v>6</v>
      </c>
    </row>
    <row r="414" spans="1:17" ht="16.5" x14ac:dyDescent="0.25">
      <c r="A414" s="2"/>
      <c r="B414" s="4"/>
      <c r="C414" s="18"/>
      <c r="E414" s="20">
        <v>44579</v>
      </c>
      <c r="F414" s="17" t="s">
        <v>86</v>
      </c>
      <c r="G414" s="21">
        <v>7.3669176666666667</v>
      </c>
      <c r="H414" s="21">
        <v>12</v>
      </c>
      <c r="I414" s="25">
        <v>0.15136119724870151</v>
      </c>
      <c r="J414" s="21">
        <v>0</v>
      </c>
      <c r="K414" s="21">
        <v>0.71925833333333344</v>
      </c>
      <c r="L414" s="21">
        <v>0.84000000000000008</v>
      </c>
      <c r="M414" s="17" t="s">
        <v>122</v>
      </c>
      <c r="N414" s="17" t="s">
        <v>117</v>
      </c>
      <c r="O414" s="21">
        <v>1.5</v>
      </c>
      <c r="P414" s="21">
        <v>1.5516000000000001</v>
      </c>
      <c r="Q414" s="21">
        <v>10.5</v>
      </c>
    </row>
    <row r="415" spans="1:17" ht="16.5" x14ac:dyDescent="0.25">
      <c r="A415" s="2"/>
      <c r="B415" s="4"/>
      <c r="C415" s="18"/>
      <c r="E415" s="20">
        <v>44579</v>
      </c>
      <c r="F415" s="17" t="s">
        <v>86</v>
      </c>
      <c r="G415" s="21">
        <v>8.086176</v>
      </c>
      <c r="H415" s="21">
        <v>9.5</v>
      </c>
      <c r="I415" s="25">
        <v>0.14882357894736842</v>
      </c>
      <c r="J415" s="21">
        <v>0</v>
      </c>
      <c r="K415" s="21">
        <v>0.71925833333333344</v>
      </c>
      <c r="L415" s="21">
        <v>0</v>
      </c>
      <c r="M415" s="17" t="s">
        <v>113</v>
      </c>
      <c r="N415" s="17" t="s">
        <v>115</v>
      </c>
      <c r="O415" s="21">
        <v>0</v>
      </c>
      <c r="P415" s="21">
        <v>0</v>
      </c>
      <c r="Q415" s="21">
        <v>9.5</v>
      </c>
    </row>
    <row r="416" spans="1:17" ht="16.5" x14ac:dyDescent="0.25">
      <c r="A416" s="2"/>
      <c r="B416" s="4"/>
      <c r="C416" s="18"/>
      <c r="E416" s="20">
        <v>44579</v>
      </c>
      <c r="F416" s="17" t="s">
        <v>100</v>
      </c>
      <c r="G416" s="21">
        <v>15.324999999999999</v>
      </c>
      <c r="H416" s="21">
        <v>19.899999999999999</v>
      </c>
      <c r="I416" s="25">
        <v>0.10531493446066308</v>
      </c>
      <c r="J416" s="21">
        <v>0</v>
      </c>
      <c r="K416" s="21">
        <v>0.1875</v>
      </c>
      <c r="L416" s="21">
        <v>1.0945</v>
      </c>
      <c r="M416" s="17" t="s">
        <v>122</v>
      </c>
      <c r="N416" s="17" t="s">
        <v>116</v>
      </c>
      <c r="O416" s="21">
        <v>1.5</v>
      </c>
      <c r="P416" s="21">
        <v>1.0945</v>
      </c>
      <c r="Q416" s="21">
        <v>18.399999999999999</v>
      </c>
    </row>
    <row r="417" spans="1:17" ht="16.5" x14ac:dyDescent="0.25">
      <c r="A417" s="2"/>
      <c r="B417" s="4"/>
      <c r="C417" s="18"/>
      <c r="E417" s="20">
        <v>44579</v>
      </c>
      <c r="F417" s="17" t="s">
        <v>100</v>
      </c>
      <c r="G417" s="21">
        <v>15.324999999999999</v>
      </c>
      <c r="H417" s="21">
        <v>22.9</v>
      </c>
      <c r="I417" s="25">
        <v>0.10476890799897627</v>
      </c>
      <c r="J417" s="21">
        <v>0</v>
      </c>
      <c r="K417" s="21">
        <v>0.1875</v>
      </c>
      <c r="L417" s="21">
        <v>2.7479999999999998</v>
      </c>
      <c r="M417" s="17" t="s">
        <v>122</v>
      </c>
      <c r="N417" s="17" t="s">
        <v>117</v>
      </c>
      <c r="O417" s="21">
        <v>1.5</v>
      </c>
      <c r="P417" s="21">
        <v>4.1059700000000001</v>
      </c>
      <c r="Q417" s="21">
        <v>21.4</v>
      </c>
    </row>
    <row r="418" spans="1:17" ht="16.5" x14ac:dyDescent="0.25">
      <c r="A418" s="2"/>
      <c r="B418" s="4"/>
      <c r="C418" s="18"/>
      <c r="E418" s="20">
        <v>44579</v>
      </c>
      <c r="F418" s="17" t="s">
        <v>100</v>
      </c>
      <c r="G418" s="21">
        <v>15.512499999999999</v>
      </c>
      <c r="H418" s="21">
        <v>18.899999999999999</v>
      </c>
      <c r="I418" s="25">
        <v>9.9867724867724841E-2</v>
      </c>
      <c r="J418" s="21">
        <v>0</v>
      </c>
      <c r="K418" s="21">
        <v>0.1875</v>
      </c>
      <c r="L418" s="21">
        <v>0</v>
      </c>
      <c r="M418" s="17" t="s">
        <v>113</v>
      </c>
      <c r="N418" s="17" t="s">
        <v>115</v>
      </c>
      <c r="O418" s="21">
        <v>1.5</v>
      </c>
      <c r="P418" s="21">
        <v>0</v>
      </c>
      <c r="Q418" s="21">
        <v>17.399999999999999</v>
      </c>
    </row>
    <row r="419" spans="1:17" ht="16.5" x14ac:dyDescent="0.25">
      <c r="A419" s="2"/>
      <c r="B419" s="4"/>
      <c r="C419" s="18"/>
      <c r="E419" s="20">
        <v>44579</v>
      </c>
      <c r="F419" s="17" t="s">
        <v>99</v>
      </c>
      <c r="G419" s="21">
        <v>10.387499999999999</v>
      </c>
      <c r="H419" s="21">
        <v>14</v>
      </c>
      <c r="I419" s="25">
        <v>0.10147392290249442</v>
      </c>
      <c r="J419" s="21">
        <v>0</v>
      </c>
      <c r="K419" s="21">
        <v>0.125</v>
      </c>
      <c r="L419" s="21">
        <v>0.77</v>
      </c>
      <c r="M419" s="17" t="s">
        <v>122</v>
      </c>
      <c r="N419" s="17" t="s">
        <v>116</v>
      </c>
      <c r="O419" s="21">
        <v>1.5</v>
      </c>
      <c r="P419" s="21">
        <v>0.77</v>
      </c>
      <c r="Q419" s="21">
        <v>12.5</v>
      </c>
    </row>
    <row r="420" spans="1:17" ht="16.5" x14ac:dyDescent="0.25">
      <c r="A420" s="2"/>
      <c r="B420" s="4"/>
      <c r="C420" s="18"/>
      <c r="E420" s="20">
        <v>44579</v>
      </c>
      <c r="F420" s="17" t="s">
        <v>99</v>
      </c>
      <c r="G420" s="21">
        <v>10.387499999999999</v>
      </c>
      <c r="H420" s="21">
        <v>16.5</v>
      </c>
      <c r="I420" s="25">
        <v>0.12214628310643919</v>
      </c>
      <c r="J420" s="21">
        <v>0</v>
      </c>
      <c r="K420" s="21">
        <v>0.125</v>
      </c>
      <c r="L420" s="21">
        <v>1.98</v>
      </c>
      <c r="M420" s="17" t="s">
        <v>122</v>
      </c>
      <c r="N420" s="17" t="s">
        <v>117</v>
      </c>
      <c r="O420" s="21">
        <v>1.5</v>
      </c>
      <c r="P420" s="21">
        <v>2.95845</v>
      </c>
      <c r="Q420" s="21">
        <v>15</v>
      </c>
    </row>
    <row r="421" spans="1:17" ht="16.5" x14ac:dyDescent="0.25">
      <c r="A421" s="2"/>
      <c r="B421" s="4"/>
      <c r="C421" s="18"/>
      <c r="E421" s="20">
        <v>44579</v>
      </c>
      <c r="F421" s="17" t="s">
        <v>99</v>
      </c>
      <c r="G421" s="21">
        <v>10.512499999999999</v>
      </c>
      <c r="H421" s="21">
        <v>13.5</v>
      </c>
      <c r="I421" s="25">
        <v>0.11018518518518523</v>
      </c>
      <c r="J421" s="21">
        <v>0</v>
      </c>
      <c r="K421" s="21">
        <v>0.125</v>
      </c>
      <c r="L421" s="21">
        <v>0</v>
      </c>
      <c r="M421" s="17" t="s">
        <v>113</v>
      </c>
      <c r="N421" s="17" t="s">
        <v>115</v>
      </c>
      <c r="O421" s="21">
        <v>1.5</v>
      </c>
      <c r="P421" s="21">
        <v>0</v>
      </c>
      <c r="Q421" s="21">
        <v>12</v>
      </c>
    </row>
    <row r="422" spans="1:17" ht="16.5" x14ac:dyDescent="0.25">
      <c r="A422" s="2"/>
      <c r="B422" s="4"/>
      <c r="C422" s="18"/>
      <c r="E422" s="20">
        <v>44575</v>
      </c>
      <c r="F422" s="17" t="s">
        <v>144</v>
      </c>
      <c r="G422" s="21">
        <v>5.8262499999999999</v>
      </c>
      <c r="H422" s="21">
        <v>8.4</v>
      </c>
      <c r="I422" s="25">
        <v>7.7066011589821196E-2</v>
      </c>
      <c r="J422" s="21">
        <v>0</v>
      </c>
      <c r="K422" s="21">
        <v>7.375000000000001E-2</v>
      </c>
      <c r="L422" s="21">
        <v>0.46200000000000002</v>
      </c>
      <c r="M422" s="17" t="s">
        <v>122</v>
      </c>
      <c r="N422" s="17" t="s">
        <v>116</v>
      </c>
      <c r="O422" s="21">
        <v>1.5</v>
      </c>
      <c r="P422" s="21">
        <v>0.46200000000000002</v>
      </c>
      <c r="Q422" s="21">
        <v>6.9</v>
      </c>
    </row>
    <row r="423" spans="1:17" ht="16.5" x14ac:dyDescent="0.25">
      <c r="A423" s="2"/>
      <c r="B423" s="4"/>
      <c r="C423" s="18"/>
      <c r="E423" s="20">
        <v>44575</v>
      </c>
      <c r="F423" s="17" t="s">
        <v>144</v>
      </c>
      <c r="G423" s="21">
        <v>5.8262499999999999</v>
      </c>
      <c r="H423" s="21">
        <v>9.1999999999999993</v>
      </c>
      <c r="I423" s="25">
        <v>7.1008490738298499E-2</v>
      </c>
      <c r="J423" s="21">
        <v>0</v>
      </c>
      <c r="K423" s="21">
        <v>7.375000000000001E-2</v>
      </c>
      <c r="L423" s="21">
        <v>1.1039999999999999</v>
      </c>
      <c r="M423" s="17" t="s">
        <v>122</v>
      </c>
      <c r="N423" s="17" t="s">
        <v>117</v>
      </c>
      <c r="O423" s="21">
        <v>1.5</v>
      </c>
      <c r="P423" s="21">
        <v>1.31376</v>
      </c>
      <c r="Q423" s="21">
        <v>7.7</v>
      </c>
    </row>
    <row r="424" spans="1:17" ht="16.5" x14ac:dyDescent="0.25">
      <c r="A424" s="2"/>
      <c r="B424" s="4"/>
      <c r="C424" s="18"/>
      <c r="E424" s="20">
        <v>44575</v>
      </c>
      <c r="F424" s="17" t="s">
        <v>145</v>
      </c>
      <c r="G424" s="21">
        <v>4.2</v>
      </c>
      <c r="H424" s="21">
        <v>4.7</v>
      </c>
      <c r="I424" s="25">
        <v>0.10638297872340426</v>
      </c>
      <c r="J424" s="21">
        <v>0</v>
      </c>
      <c r="K424" s="21">
        <v>5.2500000000000005E-2</v>
      </c>
      <c r="L424" s="21">
        <v>0</v>
      </c>
      <c r="M424" s="17" t="s">
        <v>113</v>
      </c>
      <c r="N424" s="17" t="s">
        <v>115</v>
      </c>
      <c r="O424" s="21">
        <v>0</v>
      </c>
      <c r="P424" s="21">
        <v>0</v>
      </c>
      <c r="Q424" s="21">
        <v>4.7</v>
      </c>
    </row>
    <row r="425" spans="1:17" ht="16.5" x14ac:dyDescent="0.25">
      <c r="A425" s="2"/>
      <c r="B425" s="4"/>
      <c r="C425" s="18"/>
      <c r="E425" s="20">
        <v>44575</v>
      </c>
      <c r="F425" s="17" t="s">
        <v>145</v>
      </c>
      <c r="G425" s="21">
        <v>4.1475</v>
      </c>
      <c r="H425" s="21">
        <v>6.4</v>
      </c>
      <c r="I425" s="25">
        <v>6.622023809523811E-2</v>
      </c>
      <c r="J425" s="21">
        <v>0</v>
      </c>
      <c r="K425" s="21">
        <v>5.2500000000000005E-2</v>
      </c>
      <c r="L425" s="21">
        <v>0.35200000000000004</v>
      </c>
      <c r="M425" s="17" t="s">
        <v>122</v>
      </c>
      <c r="N425" s="17" t="s">
        <v>116</v>
      </c>
      <c r="O425" s="21">
        <v>1.5</v>
      </c>
      <c r="P425" s="21">
        <v>0.35200000000000004</v>
      </c>
      <c r="Q425" s="21">
        <v>4.9000000000000004</v>
      </c>
    </row>
    <row r="426" spans="1:17" ht="16.5" x14ac:dyDescent="0.25">
      <c r="A426" s="2"/>
      <c r="B426" s="4"/>
      <c r="C426" s="18"/>
      <c r="E426" s="20">
        <v>44575</v>
      </c>
      <c r="F426" s="17" t="s">
        <v>145</v>
      </c>
      <c r="G426" s="21">
        <v>4.1475</v>
      </c>
      <c r="H426" s="21">
        <v>7</v>
      </c>
      <c r="I426" s="25">
        <v>5.8812745816945539E-2</v>
      </c>
      <c r="J426" s="21">
        <v>0</v>
      </c>
      <c r="K426" s="21">
        <v>5.2500000000000005E-2</v>
      </c>
      <c r="L426" s="21">
        <v>0.84</v>
      </c>
      <c r="M426" s="17" t="s">
        <v>122</v>
      </c>
      <c r="N426" s="17" t="s">
        <v>117</v>
      </c>
      <c r="O426" s="21">
        <v>1.5</v>
      </c>
      <c r="P426" s="21">
        <v>0.99960000000000004</v>
      </c>
      <c r="Q426" s="21">
        <v>5.5</v>
      </c>
    </row>
    <row r="427" spans="1:17" ht="16.5" x14ac:dyDescent="0.25">
      <c r="A427" s="2"/>
      <c r="B427" s="4"/>
      <c r="C427" s="18"/>
      <c r="E427" s="20">
        <v>44575</v>
      </c>
      <c r="F427" s="17" t="s">
        <v>145</v>
      </c>
      <c r="G427" s="21">
        <v>4.2</v>
      </c>
      <c r="H427" s="21">
        <v>4.9000000000000004</v>
      </c>
      <c r="I427" s="25">
        <v>0.14285714285714288</v>
      </c>
      <c r="J427" s="21">
        <v>0</v>
      </c>
      <c r="K427" s="21">
        <v>5.2500000000000005E-2</v>
      </c>
      <c r="L427" s="21">
        <v>0</v>
      </c>
      <c r="M427" s="17" t="s">
        <v>113</v>
      </c>
      <c r="N427" s="17" t="s">
        <v>115</v>
      </c>
      <c r="O427" s="21">
        <v>0</v>
      </c>
      <c r="P427" s="21">
        <v>0</v>
      </c>
      <c r="Q427" s="21">
        <v>4.9000000000000004</v>
      </c>
    </row>
    <row r="428" spans="1:17" ht="16.5" x14ac:dyDescent="0.25">
      <c r="A428" s="2"/>
      <c r="B428" s="4"/>
      <c r="C428" s="18"/>
      <c r="E428" s="20">
        <v>44575</v>
      </c>
      <c r="F428" s="17" t="s">
        <v>144</v>
      </c>
      <c r="G428" s="21">
        <v>5.8262499999999999</v>
      </c>
      <c r="H428" s="21">
        <v>8.4</v>
      </c>
      <c r="I428" s="25">
        <v>7.7066011589821196E-2</v>
      </c>
      <c r="J428" s="21">
        <v>0</v>
      </c>
      <c r="K428" s="21">
        <v>7.375000000000001E-2</v>
      </c>
      <c r="L428" s="21">
        <v>0.46200000000000002</v>
      </c>
      <c r="M428" s="17" t="s">
        <v>113</v>
      </c>
      <c r="N428" s="17" t="s">
        <v>116</v>
      </c>
      <c r="O428" s="21">
        <v>1.5</v>
      </c>
      <c r="P428" s="21">
        <v>0.46200000000000002</v>
      </c>
      <c r="Q428" s="21">
        <v>6.9</v>
      </c>
    </row>
    <row r="429" spans="1:17" ht="16.5" x14ac:dyDescent="0.25">
      <c r="A429" s="2"/>
      <c r="B429" s="4"/>
      <c r="C429" s="18"/>
      <c r="E429" s="20">
        <v>44575</v>
      </c>
      <c r="F429" s="17" t="s">
        <v>144</v>
      </c>
      <c r="G429" s="21">
        <v>5.8262499999999999</v>
      </c>
      <c r="H429" s="21">
        <v>9.1999999999999993</v>
      </c>
      <c r="I429" s="25">
        <v>7.1008490738298499E-2</v>
      </c>
      <c r="J429" s="21">
        <v>0</v>
      </c>
      <c r="K429" s="21">
        <v>7.375000000000001E-2</v>
      </c>
      <c r="L429" s="21">
        <v>1.1039999999999999</v>
      </c>
      <c r="M429" s="17" t="s">
        <v>113</v>
      </c>
      <c r="N429" s="17" t="s">
        <v>117</v>
      </c>
      <c r="O429" s="21">
        <v>1.5</v>
      </c>
      <c r="P429" s="21">
        <v>1.31376</v>
      </c>
      <c r="Q429" s="21">
        <v>7.7</v>
      </c>
    </row>
    <row r="430" spans="1:17" ht="16.5" x14ac:dyDescent="0.25">
      <c r="A430" s="2"/>
      <c r="B430" s="4"/>
      <c r="C430" s="18"/>
      <c r="E430" s="20">
        <v>44575</v>
      </c>
      <c r="F430" s="17" t="s">
        <v>144</v>
      </c>
      <c r="G430" s="21">
        <v>5.9</v>
      </c>
      <c r="H430" s="21">
        <v>6.6</v>
      </c>
      <c r="I430" s="25">
        <v>0.10606060606060595</v>
      </c>
      <c r="J430" s="21">
        <v>0</v>
      </c>
      <c r="K430" s="21">
        <v>7.375000000000001E-2</v>
      </c>
      <c r="L430" s="21">
        <v>0</v>
      </c>
      <c r="M430" s="17" t="s">
        <v>113</v>
      </c>
      <c r="N430" s="17" t="s">
        <v>115</v>
      </c>
      <c r="O430" s="21">
        <v>0</v>
      </c>
      <c r="P430" s="21">
        <v>0</v>
      </c>
      <c r="Q430" s="21">
        <v>6.6</v>
      </c>
    </row>
    <row r="431" spans="1:17" ht="16.5" x14ac:dyDescent="0.25">
      <c r="A431" s="2"/>
      <c r="B431" s="4"/>
      <c r="C431" s="18"/>
      <c r="E431" s="20">
        <v>44574</v>
      </c>
      <c r="F431" s="17" t="s">
        <v>93</v>
      </c>
      <c r="G431" s="21">
        <v>10.319166666666668</v>
      </c>
      <c r="H431" s="21">
        <v>17.5</v>
      </c>
      <c r="I431" s="25">
        <v>0.10744022234213524</v>
      </c>
      <c r="J431" s="21">
        <v>0</v>
      </c>
      <c r="K431" s="21">
        <v>0.12250000000000001</v>
      </c>
      <c r="L431" s="21">
        <v>2.1</v>
      </c>
      <c r="M431" s="17" t="s">
        <v>122</v>
      </c>
      <c r="N431" s="17" t="s">
        <v>117</v>
      </c>
      <c r="O431" s="21">
        <v>2.5</v>
      </c>
      <c r="P431" s="21">
        <v>3.1377500000000005</v>
      </c>
      <c r="Q431" s="21">
        <v>15</v>
      </c>
    </row>
    <row r="432" spans="1:17" ht="16.5" x14ac:dyDescent="0.25">
      <c r="A432" s="2"/>
      <c r="B432" s="4"/>
      <c r="C432" s="18"/>
      <c r="E432" s="20">
        <v>44574</v>
      </c>
      <c r="F432" s="17" t="s">
        <v>93</v>
      </c>
      <c r="G432" s="21">
        <v>10.319166666666668</v>
      </c>
      <c r="H432" s="21">
        <v>15.9</v>
      </c>
      <c r="I432" s="25">
        <v>0.11356249930673409</v>
      </c>
      <c r="J432" s="21">
        <v>0</v>
      </c>
      <c r="K432" s="21">
        <v>0.12250000000000001</v>
      </c>
      <c r="L432" s="21">
        <v>0.87450000000000006</v>
      </c>
      <c r="M432" s="17" t="s">
        <v>122</v>
      </c>
      <c r="N432" s="17" t="s">
        <v>116</v>
      </c>
      <c r="O432" s="21">
        <v>3</v>
      </c>
      <c r="P432" s="21">
        <v>0.87450000000000006</v>
      </c>
      <c r="Q432" s="21">
        <v>12.9</v>
      </c>
    </row>
    <row r="433" spans="1:17" ht="16.5" x14ac:dyDescent="0.25">
      <c r="A433" s="2"/>
      <c r="B433" s="4"/>
      <c r="C433" s="18"/>
      <c r="E433" s="20">
        <v>44574</v>
      </c>
      <c r="F433" s="17" t="s">
        <v>93</v>
      </c>
      <c r="G433" s="21">
        <v>10.441666666666668</v>
      </c>
      <c r="H433" s="21">
        <v>11.5</v>
      </c>
      <c r="I433" s="25">
        <v>9.2028985507246239E-2</v>
      </c>
      <c r="J433" s="21">
        <v>0</v>
      </c>
      <c r="K433" s="21">
        <v>0.12250000000000001</v>
      </c>
      <c r="L433" s="21">
        <v>0</v>
      </c>
      <c r="M433" s="17" t="s">
        <v>113</v>
      </c>
      <c r="N433" s="17" t="s">
        <v>115</v>
      </c>
      <c r="O433" s="21">
        <v>0</v>
      </c>
      <c r="P433" s="21">
        <v>0</v>
      </c>
      <c r="Q433" s="21">
        <v>11.5</v>
      </c>
    </row>
    <row r="434" spans="1:17" ht="16.5" x14ac:dyDescent="0.25">
      <c r="A434" s="2"/>
      <c r="B434" s="4"/>
      <c r="C434" s="18"/>
      <c r="E434" s="20">
        <v>44574</v>
      </c>
      <c r="F434" s="17" t="s">
        <v>93</v>
      </c>
      <c r="G434" s="21">
        <v>10.441666666666668</v>
      </c>
      <c r="H434" s="21">
        <v>11.5</v>
      </c>
      <c r="I434" s="25">
        <v>9.2028985507246239E-2</v>
      </c>
      <c r="J434" s="21">
        <v>0</v>
      </c>
      <c r="K434" s="21">
        <v>0.12250000000000001</v>
      </c>
      <c r="L434" s="21">
        <v>0</v>
      </c>
      <c r="M434" s="17" t="s">
        <v>113</v>
      </c>
      <c r="N434" s="17" t="s">
        <v>115</v>
      </c>
      <c r="O434" s="21">
        <v>0</v>
      </c>
      <c r="P434" s="21">
        <v>0</v>
      </c>
      <c r="Q434" s="21">
        <v>11.5</v>
      </c>
    </row>
    <row r="435" spans="1:17" ht="16.5" x14ac:dyDescent="0.25">
      <c r="A435" s="2"/>
      <c r="B435" s="4"/>
      <c r="C435" s="18"/>
      <c r="E435" s="20">
        <v>44574</v>
      </c>
      <c r="F435" s="17" t="s">
        <v>92</v>
      </c>
      <c r="G435" s="21">
        <v>5.9234375000000004</v>
      </c>
      <c r="H435" s="21">
        <v>9</v>
      </c>
      <c r="I435" s="25">
        <v>6.8378894767783707E-2</v>
      </c>
      <c r="J435" s="21">
        <v>0</v>
      </c>
      <c r="K435" s="21">
        <v>6.8750000000000006E-2</v>
      </c>
      <c r="L435" s="21">
        <v>0.495</v>
      </c>
      <c r="M435" s="17" t="s">
        <v>122</v>
      </c>
      <c r="N435" s="17" t="s">
        <v>116</v>
      </c>
      <c r="O435" s="21">
        <v>2</v>
      </c>
      <c r="P435" s="21">
        <v>0.495</v>
      </c>
      <c r="Q435" s="21">
        <v>7</v>
      </c>
    </row>
    <row r="436" spans="1:17" ht="16.5" x14ac:dyDescent="0.25">
      <c r="A436" s="2"/>
      <c r="B436" s="4"/>
      <c r="C436" s="18"/>
      <c r="E436" s="20">
        <v>44574</v>
      </c>
      <c r="F436" s="17" t="s">
        <v>92</v>
      </c>
      <c r="G436" s="21">
        <v>5.9234375000000004</v>
      </c>
      <c r="H436" s="21">
        <v>9</v>
      </c>
      <c r="I436" s="25">
        <v>0.12716784244562027</v>
      </c>
      <c r="J436" s="21">
        <v>0</v>
      </c>
      <c r="K436" s="21">
        <v>6.8750000000000006E-2</v>
      </c>
      <c r="L436" s="21">
        <v>0.495</v>
      </c>
      <c r="M436" s="17" t="s">
        <v>122</v>
      </c>
      <c r="N436" s="17" t="s">
        <v>116</v>
      </c>
      <c r="O436" s="21">
        <v>1.5</v>
      </c>
      <c r="P436" s="21">
        <v>0.495</v>
      </c>
      <c r="Q436" s="21">
        <v>7.5</v>
      </c>
    </row>
    <row r="437" spans="1:17" ht="16.5" x14ac:dyDescent="0.25">
      <c r="A437" s="2"/>
      <c r="B437" s="4"/>
      <c r="C437" s="18"/>
      <c r="E437" s="20">
        <v>44574</v>
      </c>
      <c r="F437" s="17" t="s">
        <v>92</v>
      </c>
      <c r="G437" s="21">
        <v>5.9234375000000004</v>
      </c>
      <c r="H437" s="21">
        <v>9</v>
      </c>
      <c r="I437" s="25">
        <v>0.12716784244562027</v>
      </c>
      <c r="J437" s="21">
        <v>0</v>
      </c>
      <c r="K437" s="21">
        <v>6.8750000000000006E-2</v>
      </c>
      <c r="L437" s="21">
        <v>0.495</v>
      </c>
      <c r="M437" s="17" t="s">
        <v>122</v>
      </c>
      <c r="N437" s="17" t="s">
        <v>116</v>
      </c>
      <c r="O437" s="21">
        <v>1.5</v>
      </c>
      <c r="P437" s="21">
        <v>0.495</v>
      </c>
      <c r="Q437" s="21">
        <v>7.5</v>
      </c>
    </row>
    <row r="438" spans="1:17" ht="16.5" x14ac:dyDescent="0.25">
      <c r="A438" s="2"/>
      <c r="B438" s="4"/>
      <c r="C438" s="18"/>
      <c r="E438" s="20">
        <v>44574</v>
      </c>
      <c r="F438" s="17" t="s">
        <v>92</v>
      </c>
      <c r="G438" s="21">
        <v>5.9234375000000004</v>
      </c>
      <c r="H438" s="21">
        <v>10</v>
      </c>
      <c r="I438" s="25">
        <v>9.5474899476057057E-2</v>
      </c>
      <c r="J438" s="21">
        <v>0</v>
      </c>
      <c r="K438" s="21">
        <v>6.8750000000000006E-2</v>
      </c>
      <c r="L438" s="21">
        <v>1.2</v>
      </c>
      <c r="M438" s="17" t="s">
        <v>122</v>
      </c>
      <c r="N438" s="17" t="s">
        <v>117</v>
      </c>
      <c r="O438" s="21">
        <v>1.5</v>
      </c>
      <c r="P438" s="21">
        <v>1.7930000000000001</v>
      </c>
      <c r="Q438" s="21">
        <v>8.5</v>
      </c>
    </row>
    <row r="439" spans="1:17" ht="16.5" x14ac:dyDescent="0.25">
      <c r="A439" s="2"/>
      <c r="B439" s="4"/>
      <c r="C439" s="18"/>
      <c r="E439" s="20">
        <v>44574</v>
      </c>
      <c r="F439" s="17" t="s">
        <v>92</v>
      </c>
      <c r="G439" s="21">
        <v>5.9921875</v>
      </c>
      <c r="H439" s="21">
        <v>6.7</v>
      </c>
      <c r="I439" s="25">
        <v>0.10564365671641793</v>
      </c>
      <c r="J439" s="21">
        <v>0</v>
      </c>
      <c r="K439" s="21">
        <v>6.8750000000000006E-2</v>
      </c>
      <c r="L439" s="21">
        <v>0</v>
      </c>
      <c r="M439" s="17" t="s">
        <v>113</v>
      </c>
      <c r="N439" s="17" t="s">
        <v>115</v>
      </c>
      <c r="O439" s="21">
        <v>0</v>
      </c>
      <c r="P439" s="21">
        <v>0</v>
      </c>
      <c r="Q439" s="21">
        <v>6.7</v>
      </c>
    </row>
    <row r="440" spans="1:17" ht="16.5" x14ac:dyDescent="0.25">
      <c r="A440" s="2"/>
      <c r="B440" s="4"/>
      <c r="C440" s="18"/>
      <c r="E440" s="20">
        <v>44574</v>
      </c>
      <c r="F440" s="17" t="s">
        <v>91</v>
      </c>
      <c r="G440" s="21">
        <v>25.262500000000003</v>
      </c>
      <c r="H440" s="21">
        <v>39.5</v>
      </c>
      <c r="I440" s="25">
        <v>9.7328153027748734E-2</v>
      </c>
      <c r="J440" s="21">
        <v>0</v>
      </c>
      <c r="K440" s="21">
        <v>0.30625000000000002</v>
      </c>
      <c r="L440" s="21">
        <v>4.74</v>
      </c>
      <c r="M440" s="17" t="s">
        <v>122</v>
      </c>
      <c r="N440" s="17" t="s">
        <v>117</v>
      </c>
      <c r="O440" s="21">
        <v>4</v>
      </c>
      <c r="P440" s="21">
        <v>7.0823500000000008</v>
      </c>
      <c r="Q440" s="21">
        <v>35.5</v>
      </c>
    </row>
    <row r="441" spans="1:17" ht="16.5" x14ac:dyDescent="0.25">
      <c r="A441" s="2"/>
      <c r="B441" s="4"/>
      <c r="C441" s="18"/>
      <c r="E441" s="20">
        <v>44574</v>
      </c>
      <c r="F441" s="17" t="s">
        <v>91</v>
      </c>
      <c r="G441" s="21">
        <v>25.568750000000001</v>
      </c>
      <c r="H441" s="21">
        <v>32</v>
      </c>
      <c r="I441" s="25">
        <v>0.20097656249999996</v>
      </c>
      <c r="J441" s="21">
        <v>0</v>
      </c>
      <c r="K441" s="21">
        <v>0.30625000000000002</v>
      </c>
      <c r="L441" s="21">
        <v>0</v>
      </c>
      <c r="M441" s="17" t="s">
        <v>113</v>
      </c>
      <c r="N441" s="17" t="s">
        <v>115</v>
      </c>
      <c r="O441" s="21">
        <v>0</v>
      </c>
      <c r="P441" s="21">
        <v>0</v>
      </c>
      <c r="Q441" s="21">
        <v>32</v>
      </c>
    </row>
    <row r="442" spans="1:17" ht="16.5" x14ac:dyDescent="0.25">
      <c r="A442" s="2"/>
      <c r="B442" s="4"/>
      <c r="C442" s="18"/>
      <c r="E442" s="20">
        <v>44574</v>
      </c>
      <c r="F442" s="17" t="s">
        <v>90</v>
      </c>
      <c r="G442" s="21">
        <v>27.933333333333334</v>
      </c>
      <c r="H442" s="21">
        <v>35</v>
      </c>
      <c r="I442" s="25">
        <v>0.20190476190476189</v>
      </c>
      <c r="J442" s="21">
        <v>0</v>
      </c>
      <c r="K442" s="21">
        <v>0.33687500000000004</v>
      </c>
      <c r="L442" s="21">
        <v>0</v>
      </c>
      <c r="M442" s="17" t="s">
        <v>113</v>
      </c>
      <c r="N442" s="17" t="s">
        <v>115</v>
      </c>
      <c r="O442" s="21">
        <v>0</v>
      </c>
      <c r="P442" s="21">
        <v>0</v>
      </c>
      <c r="Q442" s="21">
        <v>35</v>
      </c>
    </row>
    <row r="443" spans="1:17" ht="16.5" x14ac:dyDescent="0.25">
      <c r="A443" s="2"/>
      <c r="B443" s="4"/>
      <c r="C443" s="18"/>
      <c r="E443" s="20">
        <v>44574</v>
      </c>
      <c r="F443" s="17" t="s">
        <v>90</v>
      </c>
      <c r="G443" s="21">
        <v>27.933333333333334</v>
      </c>
      <c r="H443" s="21">
        <v>35</v>
      </c>
      <c r="I443" s="25">
        <v>0.20190476190476189</v>
      </c>
      <c r="J443" s="21">
        <v>0</v>
      </c>
      <c r="K443" s="21">
        <v>0.33687500000000004</v>
      </c>
      <c r="L443" s="21">
        <v>0</v>
      </c>
      <c r="M443" s="17" t="s">
        <v>122</v>
      </c>
      <c r="N443" s="17" t="s">
        <v>115</v>
      </c>
      <c r="O443" s="21">
        <v>0</v>
      </c>
      <c r="P443" s="21">
        <v>0</v>
      </c>
      <c r="Q443" s="21">
        <v>35</v>
      </c>
    </row>
    <row r="444" spans="1:17" ht="16.5" x14ac:dyDescent="0.25">
      <c r="A444" s="2"/>
      <c r="B444" s="4"/>
      <c r="C444" s="18"/>
      <c r="E444" s="20">
        <v>44574</v>
      </c>
      <c r="F444" s="17" t="s">
        <v>90</v>
      </c>
      <c r="G444" s="21">
        <v>27.596458333333334</v>
      </c>
      <c r="H444" s="21">
        <v>43.5</v>
      </c>
      <c r="I444" s="25">
        <v>0.10095087503565536</v>
      </c>
      <c r="J444" s="21">
        <v>0</v>
      </c>
      <c r="K444" s="21">
        <v>0.33687500000000004</v>
      </c>
      <c r="L444" s="21">
        <v>5.22</v>
      </c>
      <c r="M444" s="17" t="s">
        <v>122</v>
      </c>
      <c r="N444" s="17" t="s">
        <v>117</v>
      </c>
      <c r="O444" s="21">
        <v>4.5</v>
      </c>
      <c r="P444" s="21">
        <v>7.7995500000000009</v>
      </c>
      <c r="Q444" s="21">
        <v>39</v>
      </c>
    </row>
    <row r="445" spans="1:17" ht="16.5" x14ac:dyDescent="0.25">
      <c r="A445" s="2"/>
      <c r="B445" s="4"/>
      <c r="C445" s="18"/>
      <c r="E445" s="20">
        <v>44574</v>
      </c>
      <c r="F445" s="17" t="s">
        <v>89</v>
      </c>
      <c r="G445" s="21">
        <v>14.535</v>
      </c>
      <c r="H445" s="21">
        <v>21.9</v>
      </c>
      <c r="I445" s="25">
        <v>8.0025793773329551E-2</v>
      </c>
      <c r="J445" s="21">
        <v>0</v>
      </c>
      <c r="K445" s="21">
        <v>0.17500000000000002</v>
      </c>
      <c r="L445" s="21">
        <v>2.6279999999999997</v>
      </c>
      <c r="M445" s="17" t="s">
        <v>122</v>
      </c>
      <c r="N445" s="17" t="s">
        <v>117</v>
      </c>
      <c r="O445" s="21">
        <v>2</v>
      </c>
      <c r="P445" s="21">
        <v>3.9266700000000001</v>
      </c>
      <c r="Q445" s="21">
        <v>19.899999999999999</v>
      </c>
    </row>
    <row r="446" spans="1:17" ht="16.5" x14ac:dyDescent="0.25">
      <c r="A446" s="2"/>
      <c r="B446" s="4"/>
      <c r="C446" s="18"/>
      <c r="E446" s="20">
        <v>44574</v>
      </c>
      <c r="F446" s="17" t="s">
        <v>89</v>
      </c>
      <c r="G446" s="21">
        <v>14.71</v>
      </c>
      <c r="H446" s="21">
        <v>16.5</v>
      </c>
      <c r="I446" s="25">
        <v>0.10848484848484843</v>
      </c>
      <c r="J446" s="21">
        <v>0</v>
      </c>
      <c r="K446" s="21">
        <v>0.17500000000000002</v>
      </c>
      <c r="L446" s="21">
        <v>0</v>
      </c>
      <c r="M446" s="17" t="s">
        <v>113</v>
      </c>
      <c r="N446" s="17" t="s">
        <v>115</v>
      </c>
      <c r="O446" s="21">
        <v>0</v>
      </c>
      <c r="P446" s="21">
        <v>0</v>
      </c>
      <c r="Q446" s="21">
        <v>16.5</v>
      </c>
    </row>
    <row r="447" spans="1:17" ht="16.5" x14ac:dyDescent="0.25">
      <c r="A447" s="2"/>
      <c r="B447" s="4"/>
      <c r="C447" s="18"/>
      <c r="E447" s="20">
        <v>44572</v>
      </c>
      <c r="F447" s="17" t="s">
        <v>92</v>
      </c>
      <c r="G447" s="21">
        <v>5.9234375000000004</v>
      </c>
      <c r="H447" s="21">
        <v>8.5</v>
      </c>
      <c r="I447" s="25">
        <v>7.582477435418615E-2</v>
      </c>
      <c r="J447" s="21">
        <v>0</v>
      </c>
      <c r="K447" s="21">
        <v>6.8750000000000006E-2</v>
      </c>
      <c r="L447" s="21">
        <v>0.46750000000000003</v>
      </c>
      <c r="M447" s="17" t="s">
        <v>122</v>
      </c>
      <c r="N447" s="17" t="s">
        <v>116</v>
      </c>
      <c r="O447" s="21">
        <v>1.5</v>
      </c>
      <c r="P447" s="21">
        <v>0.46750000000000003</v>
      </c>
      <c r="Q447" s="21">
        <v>7</v>
      </c>
    </row>
    <row r="448" spans="1:17" ht="16.5" x14ac:dyDescent="0.25">
      <c r="A448" s="2"/>
      <c r="B448" s="4"/>
      <c r="C448" s="18"/>
      <c r="E448" s="20">
        <v>44572</v>
      </c>
      <c r="F448" s="17" t="s">
        <v>92</v>
      </c>
      <c r="G448" s="21">
        <v>5.9234375000000004</v>
      </c>
      <c r="H448" s="21">
        <v>9.6999999999999993</v>
      </c>
      <c r="I448" s="25">
        <v>6.7499896367068976E-2</v>
      </c>
      <c r="J448" s="21">
        <v>0</v>
      </c>
      <c r="K448" s="21">
        <v>6.8750000000000006E-2</v>
      </c>
      <c r="L448" s="21">
        <v>1.1639999999999999</v>
      </c>
      <c r="M448" s="17" t="s">
        <v>122</v>
      </c>
      <c r="N448" s="17" t="s">
        <v>117</v>
      </c>
      <c r="O448" s="21">
        <v>1.5</v>
      </c>
      <c r="P448" s="21">
        <v>1.7392099999999999</v>
      </c>
      <c r="Q448" s="21">
        <v>8.1999999999999993</v>
      </c>
    </row>
    <row r="449" spans="1:17" ht="16.5" x14ac:dyDescent="0.25">
      <c r="A449" s="2"/>
      <c r="B449" s="4"/>
      <c r="C449" s="18"/>
      <c r="E449" s="20">
        <v>44572</v>
      </c>
      <c r="F449" s="17" t="s">
        <v>92</v>
      </c>
      <c r="G449" s="21">
        <v>5.9921875</v>
      </c>
      <c r="H449" s="21">
        <v>6.7</v>
      </c>
      <c r="I449" s="25">
        <v>0.10564365671641793</v>
      </c>
      <c r="J449" s="21">
        <v>0</v>
      </c>
      <c r="K449" s="21">
        <v>6.8750000000000006E-2</v>
      </c>
      <c r="L449" s="21">
        <v>0</v>
      </c>
      <c r="M449" s="17" t="s">
        <v>113</v>
      </c>
      <c r="N449" s="17" t="s">
        <v>115</v>
      </c>
      <c r="O449" s="21">
        <v>0</v>
      </c>
      <c r="P449" s="21">
        <v>0</v>
      </c>
      <c r="Q449" s="21">
        <v>6.7</v>
      </c>
    </row>
    <row r="450" spans="1:17" ht="16.5" x14ac:dyDescent="0.25">
      <c r="A450" s="2"/>
      <c r="B450" s="4"/>
      <c r="C450" s="18"/>
      <c r="E450" s="20">
        <v>44572</v>
      </c>
      <c r="F450" s="17" t="s">
        <v>93</v>
      </c>
      <c r="G450" s="21">
        <v>10.319166666666668</v>
      </c>
      <c r="H450" s="21">
        <v>14.2</v>
      </c>
      <c r="I450" s="25">
        <v>8.1960901209727335E-2</v>
      </c>
      <c r="J450" s="21">
        <v>0</v>
      </c>
      <c r="K450" s="21">
        <v>0.12250000000000001</v>
      </c>
      <c r="L450" s="21">
        <v>0.78099999999999992</v>
      </c>
      <c r="M450" s="17" t="s">
        <v>113</v>
      </c>
      <c r="N450" s="17" t="s">
        <v>116</v>
      </c>
      <c r="O450" s="21">
        <v>2</v>
      </c>
      <c r="P450" s="21">
        <v>0.78099999999999992</v>
      </c>
      <c r="Q450" s="21">
        <v>12.2</v>
      </c>
    </row>
    <row r="451" spans="1:17" ht="16.5" x14ac:dyDescent="0.25">
      <c r="A451" s="2"/>
      <c r="B451" s="4"/>
      <c r="C451" s="18"/>
      <c r="E451" s="20">
        <v>44572</v>
      </c>
      <c r="F451" s="17" t="s">
        <v>93</v>
      </c>
      <c r="G451" s="21">
        <v>10.319166666666668</v>
      </c>
      <c r="H451" s="21">
        <v>16.3</v>
      </c>
      <c r="I451" s="25">
        <v>7.9106742884708869E-2</v>
      </c>
      <c r="J451" s="21">
        <v>0</v>
      </c>
      <c r="K451" s="21">
        <v>0.12250000000000001</v>
      </c>
      <c r="L451" s="21">
        <v>1.956</v>
      </c>
      <c r="M451" s="17" t="s">
        <v>113</v>
      </c>
      <c r="N451" s="17" t="s">
        <v>117</v>
      </c>
      <c r="O451" s="21">
        <v>2</v>
      </c>
      <c r="P451" s="21">
        <v>2.9225900000000005</v>
      </c>
      <c r="Q451" s="21">
        <v>14.3</v>
      </c>
    </row>
    <row r="452" spans="1:17" ht="16.5" x14ac:dyDescent="0.25">
      <c r="A452" s="2"/>
      <c r="B452" s="4"/>
      <c r="C452" s="18"/>
      <c r="E452" s="20">
        <v>44572</v>
      </c>
      <c r="F452" s="17" t="s">
        <v>93</v>
      </c>
      <c r="G452" s="21">
        <v>10.441666666666668</v>
      </c>
      <c r="H452" s="21">
        <v>11.6</v>
      </c>
      <c r="I452" s="25">
        <v>9.9856321839080303E-2</v>
      </c>
      <c r="J452" s="21">
        <v>0</v>
      </c>
      <c r="K452" s="21">
        <v>0.12250000000000001</v>
      </c>
      <c r="L452" s="21">
        <v>0</v>
      </c>
      <c r="M452" s="17" t="s">
        <v>113</v>
      </c>
      <c r="N452" s="17" t="s">
        <v>115</v>
      </c>
      <c r="O452" s="21">
        <v>0</v>
      </c>
      <c r="P452" s="21">
        <v>0</v>
      </c>
      <c r="Q452" s="21">
        <v>11.6</v>
      </c>
    </row>
    <row r="453" spans="1:17" ht="16.5" x14ac:dyDescent="0.25">
      <c r="A453" s="2"/>
      <c r="B453" s="4"/>
      <c r="C453" s="18"/>
      <c r="E453" s="20">
        <v>44571</v>
      </c>
      <c r="F453" s="17" t="s">
        <v>93</v>
      </c>
      <c r="G453" s="21">
        <v>10.022916666666667</v>
      </c>
      <c r="H453" s="21">
        <v>15.9</v>
      </c>
      <c r="I453" s="25">
        <v>7.8642279855694039E-2</v>
      </c>
      <c r="J453" s="21">
        <v>0</v>
      </c>
      <c r="K453" s="21">
        <v>0.11875000000000001</v>
      </c>
      <c r="L453" s="21">
        <v>1.9079999999999999</v>
      </c>
      <c r="M453" s="17" t="s">
        <v>122</v>
      </c>
      <c r="N453" s="17" t="s">
        <v>117</v>
      </c>
      <c r="O453" s="21">
        <v>2</v>
      </c>
      <c r="P453" s="21">
        <v>2.8508700000000005</v>
      </c>
      <c r="Q453" s="21">
        <v>13.9</v>
      </c>
    </row>
    <row r="454" spans="1:17" ht="16.5" x14ac:dyDescent="0.25">
      <c r="A454" s="2"/>
      <c r="B454" s="4"/>
      <c r="C454" s="18"/>
      <c r="E454" s="20">
        <v>44571</v>
      </c>
      <c r="F454" s="17" t="s">
        <v>93</v>
      </c>
      <c r="G454" s="21">
        <v>10.022916666666667</v>
      </c>
      <c r="H454" s="21">
        <v>13.9</v>
      </c>
      <c r="I454" s="25">
        <v>8.470049357339525E-2</v>
      </c>
      <c r="J454" s="21">
        <v>0</v>
      </c>
      <c r="K454" s="21">
        <v>0.11875000000000001</v>
      </c>
      <c r="L454" s="21">
        <v>0.76450000000000007</v>
      </c>
      <c r="M454" s="17" t="s">
        <v>122</v>
      </c>
      <c r="N454" s="17" t="s">
        <v>116</v>
      </c>
      <c r="O454" s="21">
        <v>2</v>
      </c>
      <c r="P454" s="21">
        <v>0.76450000000000007</v>
      </c>
      <c r="Q454" s="21">
        <v>11.9</v>
      </c>
    </row>
    <row r="455" spans="1:17" ht="16.5" x14ac:dyDescent="0.25">
      <c r="A455" s="2"/>
      <c r="B455" s="4"/>
      <c r="C455" s="18"/>
      <c r="E455" s="20">
        <v>44571</v>
      </c>
      <c r="F455" s="17" t="s">
        <v>93</v>
      </c>
      <c r="G455" s="21">
        <v>10.141666666666667</v>
      </c>
      <c r="H455" s="21">
        <v>11.3</v>
      </c>
      <c r="I455" s="25">
        <v>0.10250737463126842</v>
      </c>
      <c r="J455" s="21">
        <v>0</v>
      </c>
      <c r="K455" s="21">
        <v>0.11875000000000001</v>
      </c>
      <c r="L455" s="21">
        <v>0</v>
      </c>
      <c r="M455" s="17" t="s">
        <v>113</v>
      </c>
      <c r="N455" s="17" t="s">
        <v>115</v>
      </c>
      <c r="O455" s="21">
        <v>0</v>
      </c>
      <c r="P455" s="21">
        <v>0</v>
      </c>
      <c r="Q455" s="21">
        <v>11.3</v>
      </c>
    </row>
    <row r="456" spans="1:17" ht="16.5" x14ac:dyDescent="0.25">
      <c r="A456" s="2"/>
      <c r="B456" s="4"/>
      <c r="C456" s="18"/>
      <c r="E456" s="20">
        <v>44571</v>
      </c>
      <c r="F456" s="17" t="s">
        <v>92</v>
      </c>
      <c r="G456" s="21">
        <v>5.9921875</v>
      </c>
      <c r="H456" s="21">
        <v>6.7</v>
      </c>
      <c r="I456" s="25">
        <v>0.10564365671641793</v>
      </c>
      <c r="J456" s="21">
        <v>0</v>
      </c>
      <c r="K456" s="21">
        <v>6.8750000000000006E-2</v>
      </c>
      <c r="L456" s="21">
        <v>0</v>
      </c>
      <c r="M456" s="17" t="s">
        <v>113</v>
      </c>
      <c r="N456" s="17" t="s">
        <v>115</v>
      </c>
      <c r="O456" s="21">
        <v>0</v>
      </c>
      <c r="P456" s="21">
        <v>0</v>
      </c>
      <c r="Q456" s="21">
        <v>6.7</v>
      </c>
    </row>
    <row r="457" spans="1:17" ht="16.5" x14ac:dyDescent="0.25">
      <c r="A457" s="2"/>
      <c r="B457" s="4"/>
      <c r="C457" s="18"/>
      <c r="E457" s="20">
        <v>44571</v>
      </c>
      <c r="F457" s="17" t="s">
        <v>92</v>
      </c>
      <c r="G457" s="21">
        <v>5.9921875</v>
      </c>
      <c r="H457" s="21">
        <v>7</v>
      </c>
      <c r="I457" s="25">
        <v>0.14397321428571427</v>
      </c>
      <c r="J457" s="21">
        <v>0</v>
      </c>
      <c r="K457" s="21">
        <v>6.8750000000000006E-2</v>
      </c>
      <c r="L457" s="21">
        <v>0</v>
      </c>
      <c r="M457" s="17" t="s">
        <v>122</v>
      </c>
      <c r="N457" s="17" t="s">
        <v>115</v>
      </c>
      <c r="O457" s="21">
        <v>0</v>
      </c>
      <c r="P457" s="21">
        <v>0</v>
      </c>
      <c r="Q457" s="21">
        <v>7</v>
      </c>
    </row>
    <row r="458" spans="1:17" ht="16.5" x14ac:dyDescent="0.25">
      <c r="A458" s="2"/>
      <c r="B458" s="4"/>
      <c r="C458" s="18"/>
      <c r="E458" s="20">
        <v>44571</v>
      </c>
      <c r="F458" s="17" t="s">
        <v>92</v>
      </c>
      <c r="G458" s="21">
        <v>5.9234375000000004</v>
      </c>
      <c r="H458" s="21">
        <v>9</v>
      </c>
      <c r="I458" s="25">
        <v>0.12716784244562027</v>
      </c>
      <c r="J458" s="21">
        <v>0</v>
      </c>
      <c r="K458" s="21">
        <v>6.8750000000000006E-2</v>
      </c>
      <c r="L458" s="21">
        <v>0.495</v>
      </c>
      <c r="M458" s="17" t="s">
        <v>122</v>
      </c>
      <c r="N458" s="17" t="s">
        <v>116</v>
      </c>
      <c r="O458" s="21">
        <v>1.5</v>
      </c>
      <c r="P458" s="21">
        <v>0.495</v>
      </c>
      <c r="Q458" s="21">
        <v>7.5</v>
      </c>
    </row>
    <row r="459" spans="1:17" ht="16.5" x14ac:dyDescent="0.25">
      <c r="A459" s="2"/>
      <c r="B459" s="4"/>
      <c r="C459" s="18"/>
      <c r="E459" s="20">
        <v>44571</v>
      </c>
      <c r="F459" s="17" t="s">
        <v>92</v>
      </c>
      <c r="G459" s="21">
        <v>5.9234375000000004</v>
      </c>
      <c r="H459" s="21">
        <v>10.3</v>
      </c>
      <c r="I459" s="25">
        <v>0.12182029075345341</v>
      </c>
      <c r="J459" s="21">
        <v>0</v>
      </c>
      <c r="K459" s="21">
        <v>6.8750000000000006E-2</v>
      </c>
      <c r="L459" s="21">
        <v>1.236</v>
      </c>
      <c r="M459" s="17" t="s">
        <v>122</v>
      </c>
      <c r="N459" s="17" t="s">
        <v>117</v>
      </c>
      <c r="O459" s="21">
        <v>1.5</v>
      </c>
      <c r="P459" s="21">
        <v>1.8467900000000004</v>
      </c>
      <c r="Q459" s="21">
        <v>8.8000000000000007</v>
      </c>
    </row>
    <row r="460" spans="1:17" ht="16.5" x14ac:dyDescent="0.25">
      <c r="A460" s="2"/>
      <c r="B460" s="4"/>
      <c r="C460" s="18"/>
      <c r="E460" s="20">
        <v>44571</v>
      </c>
      <c r="F460" s="17" t="s">
        <v>92</v>
      </c>
      <c r="G460" s="21">
        <v>5.9234375000000004</v>
      </c>
      <c r="H460" s="21">
        <v>10</v>
      </c>
      <c r="I460" s="25">
        <v>9.5474899476057057E-2</v>
      </c>
      <c r="J460" s="21">
        <v>0</v>
      </c>
      <c r="K460" s="21">
        <v>6.8750000000000006E-2</v>
      </c>
      <c r="L460" s="21">
        <v>1.2</v>
      </c>
      <c r="M460" s="17" t="s">
        <v>122</v>
      </c>
      <c r="N460" s="17" t="s">
        <v>117</v>
      </c>
      <c r="O460" s="21">
        <v>1.5</v>
      </c>
      <c r="P460" s="21">
        <v>1.7930000000000001</v>
      </c>
      <c r="Q460" s="21">
        <v>8.5</v>
      </c>
    </row>
    <row r="461" spans="1:17" ht="16.5" x14ac:dyDescent="0.25">
      <c r="A461" s="2"/>
      <c r="B461" s="4"/>
      <c r="C461" s="18"/>
      <c r="E461" s="20">
        <v>44571</v>
      </c>
      <c r="F461" s="17" t="s">
        <v>92</v>
      </c>
      <c r="G461" s="21">
        <v>5.9234375000000004</v>
      </c>
      <c r="H461" s="21">
        <v>8.1999999999999993</v>
      </c>
      <c r="I461" s="25">
        <v>9.8329573170731627E-2</v>
      </c>
      <c r="J461" s="21">
        <v>0</v>
      </c>
      <c r="K461" s="21">
        <v>6.8750000000000006E-2</v>
      </c>
      <c r="L461" s="21">
        <v>0.98399999999999987</v>
      </c>
      <c r="M461" s="17" t="s">
        <v>113</v>
      </c>
      <c r="N461" s="17" t="s">
        <v>117</v>
      </c>
      <c r="O461" s="21">
        <v>0</v>
      </c>
      <c r="P461" s="21">
        <v>1.4702599999999999</v>
      </c>
      <c r="Q461" s="21">
        <v>8.1999999999999993</v>
      </c>
    </row>
    <row r="462" spans="1:17" ht="16.5" x14ac:dyDescent="0.25">
      <c r="A462" s="2"/>
      <c r="B462" s="4"/>
      <c r="C462" s="18"/>
      <c r="E462" s="20">
        <v>44571</v>
      </c>
      <c r="F462" s="17" t="s">
        <v>92</v>
      </c>
      <c r="G462" s="21">
        <v>5.9234375000000004</v>
      </c>
      <c r="H462" s="21">
        <v>8.1999999999999993</v>
      </c>
      <c r="I462" s="25">
        <v>9.8329573170731627E-2</v>
      </c>
      <c r="J462" s="21">
        <v>0</v>
      </c>
      <c r="K462" s="21">
        <v>6.8750000000000006E-2</v>
      </c>
      <c r="L462" s="21">
        <v>0.98399999999999987</v>
      </c>
      <c r="M462" s="17" t="s">
        <v>113</v>
      </c>
      <c r="N462" s="17" t="s">
        <v>117</v>
      </c>
      <c r="O462" s="21">
        <v>0</v>
      </c>
      <c r="P462" s="21">
        <v>1.4702599999999999</v>
      </c>
      <c r="Q462" s="21">
        <v>8.1999999999999993</v>
      </c>
    </row>
    <row r="463" spans="1:17" ht="16.5" x14ac:dyDescent="0.25">
      <c r="A463" s="2"/>
      <c r="B463" s="4"/>
      <c r="C463" s="18"/>
      <c r="E463" s="20">
        <v>44462</v>
      </c>
      <c r="F463" s="17" t="s">
        <v>88</v>
      </c>
      <c r="G463" s="21">
        <v>6.5619477391304351</v>
      </c>
      <c r="H463" s="21">
        <v>10.4</v>
      </c>
      <c r="I463" s="25">
        <v>0.10969647110520765</v>
      </c>
      <c r="J463" s="21">
        <v>0</v>
      </c>
      <c r="K463" s="21">
        <v>0.47193750000000007</v>
      </c>
      <c r="L463" s="21">
        <v>0.72800000000000009</v>
      </c>
      <c r="M463" s="17" t="s">
        <v>122</v>
      </c>
      <c r="N463" s="17" t="s">
        <v>117</v>
      </c>
      <c r="O463" s="21">
        <v>1.5</v>
      </c>
      <c r="P463" s="21">
        <v>1.3447200000000001</v>
      </c>
      <c r="Q463" s="21">
        <v>8.9</v>
      </c>
    </row>
    <row r="464" spans="1:17" ht="16.5" x14ac:dyDescent="0.25">
      <c r="A464" s="2"/>
      <c r="B464" s="4"/>
      <c r="C464" s="18"/>
      <c r="E464" s="20">
        <v>44462</v>
      </c>
      <c r="F464" s="17" t="s">
        <v>87</v>
      </c>
      <c r="G464" s="21">
        <v>3.9390727391304341</v>
      </c>
      <c r="H464" s="21">
        <v>6.5</v>
      </c>
      <c r="I464" s="25">
        <v>0.12730292353094613</v>
      </c>
      <c r="J464" s="21">
        <v>0</v>
      </c>
      <c r="K464" s="21">
        <v>0.34809375000000004</v>
      </c>
      <c r="L464" s="21">
        <v>0.45500000000000007</v>
      </c>
      <c r="M464" s="17" t="s">
        <v>122</v>
      </c>
      <c r="N464" s="17" t="s">
        <v>117</v>
      </c>
      <c r="O464" s="21">
        <v>1</v>
      </c>
      <c r="P464" s="21">
        <v>0.84045000000000003</v>
      </c>
      <c r="Q464" s="21">
        <v>5.5</v>
      </c>
    </row>
    <row r="465" spans="1:17" ht="16.5" x14ac:dyDescent="0.25">
      <c r="A465" s="2"/>
      <c r="B465" s="4"/>
      <c r="C465" s="18"/>
      <c r="E465" s="20">
        <v>44462</v>
      </c>
      <c r="F465" s="17" t="s">
        <v>86</v>
      </c>
      <c r="G465" s="21">
        <v>7.1251977391304351</v>
      </c>
      <c r="H465" s="21">
        <v>11.4</v>
      </c>
      <c r="I465" s="25">
        <v>0.1310482451979115</v>
      </c>
      <c r="J465" s="21">
        <v>0</v>
      </c>
      <c r="K465" s="21">
        <v>0.69618750000000007</v>
      </c>
      <c r="L465" s="21">
        <v>0.79800000000000015</v>
      </c>
      <c r="M465" s="17" t="s">
        <v>113</v>
      </c>
      <c r="N465" s="17" t="s">
        <v>117</v>
      </c>
      <c r="O465" s="21">
        <v>1.5</v>
      </c>
      <c r="P465" s="21">
        <v>1.4740200000000001</v>
      </c>
      <c r="Q465" s="21">
        <v>9.9</v>
      </c>
    </row>
    <row r="466" spans="1:17" ht="16.5" x14ac:dyDescent="0.25">
      <c r="A466" s="2"/>
      <c r="B466" s="4"/>
      <c r="C466" s="18"/>
      <c r="E466" s="20">
        <v>44462</v>
      </c>
      <c r="F466" s="17" t="s">
        <v>87</v>
      </c>
      <c r="G466" s="21">
        <v>3.9390727391304341</v>
      </c>
      <c r="H466" s="21">
        <v>6.5</v>
      </c>
      <c r="I466" s="25">
        <v>0.12730292353094613</v>
      </c>
      <c r="J466" s="21">
        <v>0</v>
      </c>
      <c r="K466" s="21">
        <v>0.34809375000000004</v>
      </c>
      <c r="L466" s="21">
        <v>0.45500000000000007</v>
      </c>
      <c r="M466" s="17" t="s">
        <v>122</v>
      </c>
      <c r="N466" s="17" t="s">
        <v>117</v>
      </c>
      <c r="O466" s="21">
        <v>1</v>
      </c>
      <c r="P466" s="21">
        <v>0.84045000000000003</v>
      </c>
      <c r="Q466" s="21">
        <v>5.5</v>
      </c>
    </row>
    <row r="467" spans="1:17" ht="16.5" x14ac:dyDescent="0.25">
      <c r="A467" s="2"/>
      <c r="B467" s="4"/>
      <c r="C467" s="18"/>
      <c r="E467" s="20">
        <v>44462</v>
      </c>
      <c r="F467" s="17" t="s">
        <v>87</v>
      </c>
      <c r="G467" s="21">
        <v>3.9390727391304341</v>
      </c>
      <c r="H467" s="21">
        <v>6.5</v>
      </c>
      <c r="I467" s="25">
        <v>0.12730292353094613</v>
      </c>
      <c r="J467" s="21">
        <v>0</v>
      </c>
      <c r="K467" s="21">
        <v>0.34809375000000004</v>
      </c>
      <c r="L467" s="21">
        <v>0.45500000000000007</v>
      </c>
      <c r="M467" s="17" t="s">
        <v>113</v>
      </c>
      <c r="N467" s="17" t="s">
        <v>117</v>
      </c>
      <c r="O467" s="21">
        <v>1</v>
      </c>
      <c r="P467" s="21">
        <v>0.84045000000000003</v>
      </c>
      <c r="Q467" s="21">
        <v>5.5</v>
      </c>
    </row>
    <row r="468" spans="1:17" ht="16.5" x14ac:dyDescent="0.25">
      <c r="A468" s="2"/>
      <c r="B468" s="4"/>
      <c r="C468" s="18"/>
      <c r="E468" s="20">
        <v>44462</v>
      </c>
      <c r="F468" s="17" t="s">
        <v>87</v>
      </c>
      <c r="G468" s="21">
        <v>3.9390727391304341</v>
      </c>
      <c r="H468" s="21">
        <v>6.5</v>
      </c>
      <c r="I468" s="25">
        <v>0.12730292353094613</v>
      </c>
      <c r="J468" s="21">
        <v>0</v>
      </c>
      <c r="K468" s="21">
        <v>0.34809375000000004</v>
      </c>
      <c r="L468" s="21">
        <v>0.45500000000000007</v>
      </c>
      <c r="M468" s="17" t="s">
        <v>113</v>
      </c>
      <c r="N468" s="17" t="s">
        <v>117</v>
      </c>
      <c r="O468" s="21">
        <v>1</v>
      </c>
      <c r="P468" s="21">
        <v>0.84045000000000003</v>
      </c>
      <c r="Q468" s="21">
        <v>5.5</v>
      </c>
    </row>
    <row r="469" spans="1:17" ht="16.5" x14ac:dyDescent="0.25">
      <c r="A469" s="2"/>
      <c r="B469" s="4"/>
      <c r="C469" s="18"/>
      <c r="E469" s="20">
        <v>44462</v>
      </c>
      <c r="F469" s="17" t="s">
        <v>87</v>
      </c>
      <c r="G469" s="21">
        <v>3.9390727391304341</v>
      </c>
      <c r="H469" s="21">
        <v>6.5</v>
      </c>
      <c r="I469" s="25">
        <v>0.12730292353094613</v>
      </c>
      <c r="J469" s="21">
        <v>0</v>
      </c>
      <c r="K469" s="21">
        <v>0.34809375000000004</v>
      </c>
      <c r="L469" s="21">
        <v>0.45500000000000007</v>
      </c>
      <c r="M469" s="17" t="s">
        <v>113</v>
      </c>
      <c r="N469" s="17" t="s">
        <v>117</v>
      </c>
      <c r="O469" s="21">
        <v>1</v>
      </c>
      <c r="P469" s="21">
        <v>0.84045000000000003</v>
      </c>
      <c r="Q469" s="21">
        <v>5.5</v>
      </c>
    </row>
    <row r="470" spans="1:17" ht="16.5" x14ac:dyDescent="0.25">
      <c r="A470" s="2"/>
      <c r="B470" s="4"/>
      <c r="C470" s="18"/>
      <c r="E470" s="20">
        <v>44462</v>
      </c>
      <c r="F470" s="17" t="s">
        <v>87</v>
      </c>
      <c r="G470" s="21">
        <v>3.9390727391304341</v>
      </c>
      <c r="H470" s="21">
        <v>6.5</v>
      </c>
      <c r="I470" s="25">
        <v>0.12730292353094613</v>
      </c>
      <c r="J470" s="21">
        <v>0</v>
      </c>
      <c r="K470" s="21">
        <v>0.34809375000000004</v>
      </c>
      <c r="L470" s="21">
        <v>0.45500000000000007</v>
      </c>
      <c r="M470" s="17" t="s">
        <v>113</v>
      </c>
      <c r="N470" s="17" t="s">
        <v>117</v>
      </c>
      <c r="O470" s="21">
        <v>1</v>
      </c>
      <c r="P470" s="21">
        <v>0.84045000000000003</v>
      </c>
      <c r="Q470" s="21">
        <v>5.5</v>
      </c>
    </row>
    <row r="471" spans="1:17" ht="16.5" x14ac:dyDescent="0.25">
      <c r="A471" s="2"/>
      <c r="B471" s="4"/>
      <c r="C471" s="18"/>
      <c r="E471" s="20">
        <v>44462</v>
      </c>
      <c r="F471" s="17" t="s">
        <v>87</v>
      </c>
      <c r="G471" s="21">
        <v>3.9390727391304341</v>
      </c>
      <c r="H471" s="21">
        <v>6.5</v>
      </c>
      <c r="I471" s="25">
        <v>0.12730292353094613</v>
      </c>
      <c r="J471" s="21">
        <v>0</v>
      </c>
      <c r="K471" s="21">
        <v>0.34809375000000004</v>
      </c>
      <c r="L471" s="21">
        <v>0.45500000000000007</v>
      </c>
      <c r="M471" s="17" t="s">
        <v>113</v>
      </c>
      <c r="N471" s="17" t="s">
        <v>117</v>
      </c>
      <c r="O471" s="21">
        <v>1</v>
      </c>
      <c r="P471" s="21">
        <v>0.84045000000000003</v>
      </c>
      <c r="Q471" s="21">
        <v>5.5</v>
      </c>
    </row>
    <row r="472" spans="1:17" ht="16.5" x14ac:dyDescent="0.25">
      <c r="A472" s="2"/>
      <c r="B472" s="4"/>
      <c r="C472" s="18"/>
      <c r="E472" s="20">
        <v>44462</v>
      </c>
      <c r="F472" s="17" t="s">
        <v>87</v>
      </c>
      <c r="G472" s="21">
        <v>3.9390727391304341</v>
      </c>
      <c r="H472" s="21">
        <v>6.5</v>
      </c>
      <c r="I472" s="25">
        <v>0.12730292353094613</v>
      </c>
      <c r="J472" s="21">
        <v>0</v>
      </c>
      <c r="K472" s="21">
        <v>0.34809375000000004</v>
      </c>
      <c r="L472" s="21">
        <v>0.45500000000000007</v>
      </c>
      <c r="M472" s="17" t="s">
        <v>113</v>
      </c>
      <c r="N472" s="17" t="s">
        <v>117</v>
      </c>
      <c r="O472" s="21">
        <v>1</v>
      </c>
      <c r="P472" s="21">
        <v>0.84045000000000003</v>
      </c>
      <c r="Q472" s="21">
        <v>5.5</v>
      </c>
    </row>
    <row r="473" spans="1:17" ht="16.5" x14ac:dyDescent="0.25">
      <c r="A473" s="2"/>
      <c r="B473" s="4"/>
      <c r="C473" s="18"/>
      <c r="E473" s="20">
        <v>44462</v>
      </c>
      <c r="F473" s="17" t="s">
        <v>87</v>
      </c>
      <c r="G473" s="21">
        <v>3.9390727391304341</v>
      </c>
      <c r="H473" s="21">
        <v>6.5</v>
      </c>
      <c r="I473" s="25">
        <v>0.12730292353094613</v>
      </c>
      <c r="J473" s="21">
        <v>0</v>
      </c>
      <c r="K473" s="21">
        <v>0.34809375000000004</v>
      </c>
      <c r="L473" s="21">
        <v>0.45500000000000007</v>
      </c>
      <c r="M473" s="17" t="s">
        <v>113</v>
      </c>
      <c r="N473" s="17" t="s">
        <v>117</v>
      </c>
      <c r="O473" s="21">
        <v>1</v>
      </c>
      <c r="P473" s="21">
        <v>0.84045000000000003</v>
      </c>
      <c r="Q473" s="21">
        <v>5.5</v>
      </c>
    </row>
    <row r="474" spans="1:17" ht="16.5" x14ac:dyDescent="0.25">
      <c r="A474" s="2"/>
      <c r="B474" s="4"/>
      <c r="C474" s="18"/>
      <c r="E474" s="20">
        <v>44462</v>
      </c>
      <c r="F474" s="17" t="s">
        <v>87</v>
      </c>
      <c r="G474" s="21">
        <v>4.287166489130434</v>
      </c>
      <c r="H474" s="21">
        <v>4.9000000000000004</v>
      </c>
      <c r="I474" s="25">
        <v>0.12506806344276863</v>
      </c>
      <c r="J474" s="21">
        <v>0</v>
      </c>
      <c r="K474" s="21">
        <v>0.34809375000000004</v>
      </c>
      <c r="L474" s="21">
        <v>0</v>
      </c>
      <c r="M474" s="17" t="s">
        <v>113</v>
      </c>
      <c r="N474" s="17" t="s">
        <v>115</v>
      </c>
      <c r="O474" s="21">
        <v>0</v>
      </c>
      <c r="P474" s="21">
        <v>0</v>
      </c>
      <c r="Q474" s="21">
        <v>4.9000000000000004</v>
      </c>
    </row>
    <row r="475" spans="1:17" ht="16.5" x14ac:dyDescent="0.25">
      <c r="A475" s="2"/>
      <c r="B475" s="4"/>
      <c r="C475" s="18"/>
      <c r="E475" s="20">
        <v>44462</v>
      </c>
      <c r="F475" s="17" t="s">
        <v>88</v>
      </c>
      <c r="G475" s="21">
        <v>6.5619477391304351</v>
      </c>
      <c r="H475" s="21">
        <v>10.4</v>
      </c>
      <c r="I475" s="25">
        <v>0.10969647110520765</v>
      </c>
      <c r="J475" s="21">
        <v>0</v>
      </c>
      <c r="K475" s="21">
        <v>0.47193750000000007</v>
      </c>
      <c r="L475" s="21">
        <v>0.72800000000000009</v>
      </c>
      <c r="M475" s="17" t="s">
        <v>122</v>
      </c>
      <c r="N475" s="17" t="s">
        <v>117</v>
      </c>
      <c r="O475" s="21">
        <v>1.5</v>
      </c>
      <c r="P475" s="21">
        <v>1.3447200000000001</v>
      </c>
      <c r="Q475" s="21">
        <v>8.9</v>
      </c>
    </row>
    <row r="476" spans="1:17" ht="16.5" x14ac:dyDescent="0.25">
      <c r="A476" s="2"/>
      <c r="B476" s="4"/>
      <c r="C476" s="18"/>
      <c r="E476" s="20">
        <v>44462</v>
      </c>
      <c r="F476" s="17" t="s">
        <v>88</v>
      </c>
      <c r="G476" s="21">
        <v>7.0338852391304352</v>
      </c>
      <c r="H476" s="21">
        <v>7.9</v>
      </c>
      <c r="I476" s="25">
        <v>0.10963477985690698</v>
      </c>
      <c r="J476" s="21">
        <v>0</v>
      </c>
      <c r="K476" s="21">
        <v>0.47193750000000007</v>
      </c>
      <c r="L476" s="21">
        <v>0</v>
      </c>
      <c r="M476" s="17" t="s">
        <v>113</v>
      </c>
      <c r="N476" s="17" t="s">
        <v>115</v>
      </c>
      <c r="O476" s="21">
        <v>0</v>
      </c>
      <c r="P476" s="21">
        <v>0</v>
      </c>
      <c r="Q476" s="21">
        <v>7.9</v>
      </c>
    </row>
    <row r="477" spans="1:17" ht="16.5" x14ac:dyDescent="0.25">
      <c r="A477" s="2"/>
      <c r="B477" s="4"/>
      <c r="C477" s="18"/>
      <c r="E477" s="20">
        <v>44462</v>
      </c>
      <c r="F477" s="17" t="s">
        <v>86</v>
      </c>
      <c r="G477" s="21">
        <v>7.1251977391304351</v>
      </c>
      <c r="H477" s="21">
        <v>11.4</v>
      </c>
      <c r="I477" s="25">
        <v>0.1310482451979115</v>
      </c>
      <c r="J477" s="21">
        <v>0</v>
      </c>
      <c r="K477" s="21">
        <v>0.69618750000000007</v>
      </c>
      <c r="L477" s="21">
        <v>0.79800000000000015</v>
      </c>
      <c r="M477" s="17" t="s">
        <v>122</v>
      </c>
      <c r="N477" s="17" t="s">
        <v>117</v>
      </c>
      <c r="O477" s="21">
        <v>1.5</v>
      </c>
      <c r="P477" s="21">
        <v>1.4740200000000001</v>
      </c>
      <c r="Q477" s="21">
        <v>9.9</v>
      </c>
    </row>
    <row r="478" spans="1:17" ht="16.5" x14ac:dyDescent="0.25">
      <c r="A478" s="2"/>
      <c r="B478" s="4"/>
      <c r="C478" s="18"/>
      <c r="E478" s="20">
        <v>44462</v>
      </c>
      <c r="F478" s="17" t="s">
        <v>86</v>
      </c>
      <c r="G478" s="21">
        <v>7.8213852391304348</v>
      </c>
      <c r="H478" s="21">
        <v>8.9</v>
      </c>
      <c r="I478" s="25">
        <v>0.12119266976062533</v>
      </c>
      <c r="J478" s="21">
        <v>0</v>
      </c>
      <c r="K478" s="21">
        <v>0.69618750000000007</v>
      </c>
      <c r="L478" s="21">
        <v>0</v>
      </c>
      <c r="M478" s="17" t="s">
        <v>113</v>
      </c>
      <c r="N478" s="17" t="s">
        <v>115</v>
      </c>
      <c r="O478" s="21">
        <v>0</v>
      </c>
      <c r="P478" s="21">
        <v>0</v>
      </c>
      <c r="Q478" s="21">
        <v>8.9</v>
      </c>
    </row>
    <row r="479" spans="1:17" ht="16.5" x14ac:dyDescent="0.25">
      <c r="A479" s="2"/>
      <c r="B479" s="4"/>
      <c r="C479" s="18"/>
      <c r="E479" s="20">
        <v>44462</v>
      </c>
      <c r="F479" s="17" t="s">
        <v>88</v>
      </c>
      <c r="G479" s="21">
        <v>6.5619477391304351</v>
      </c>
      <c r="H479" s="21">
        <v>7.9</v>
      </c>
      <c r="I479" s="25">
        <v>0.16937370390753989</v>
      </c>
      <c r="J479" s="21">
        <v>0</v>
      </c>
      <c r="K479" s="21">
        <v>0.47193750000000007</v>
      </c>
      <c r="L479" s="21">
        <v>0</v>
      </c>
      <c r="M479" s="17" t="s">
        <v>113</v>
      </c>
      <c r="N479" s="17" t="s">
        <v>115</v>
      </c>
      <c r="O479" s="21">
        <v>0</v>
      </c>
      <c r="P479" s="21">
        <v>0</v>
      </c>
      <c r="Q479" s="21">
        <v>7.9</v>
      </c>
    </row>
    <row r="480" spans="1:17" ht="16.5" x14ac:dyDescent="0.25">
      <c r="A480" s="2"/>
      <c r="B480" s="4"/>
      <c r="C480" s="18"/>
      <c r="E480" s="20">
        <v>44462</v>
      </c>
      <c r="F480" s="17" t="s">
        <v>86</v>
      </c>
      <c r="G480" s="21">
        <v>6.8113227391304365</v>
      </c>
      <c r="H480" s="21">
        <v>8</v>
      </c>
      <c r="I480" s="25">
        <v>0.14858465760869544</v>
      </c>
      <c r="J480" s="21">
        <v>0</v>
      </c>
      <c r="K480" s="21">
        <v>0.67256250000000006</v>
      </c>
      <c r="L480" s="21">
        <v>0</v>
      </c>
      <c r="M480" s="17" t="s">
        <v>113</v>
      </c>
      <c r="N480" s="17" t="s">
        <v>115</v>
      </c>
      <c r="O480" s="21">
        <v>0</v>
      </c>
      <c r="P480" s="21">
        <v>0</v>
      </c>
      <c r="Q480" s="21">
        <v>8</v>
      </c>
    </row>
    <row r="481" spans="1:17" ht="16.5" x14ac:dyDescent="0.25">
      <c r="A481" s="2"/>
      <c r="B481" s="4"/>
      <c r="C481" s="18"/>
      <c r="E481" s="20">
        <v>44377</v>
      </c>
      <c r="F481" s="17" t="s">
        <v>88</v>
      </c>
      <c r="G481" s="21">
        <v>5.9051977391304344</v>
      </c>
      <c r="H481" s="21">
        <v>7.4</v>
      </c>
      <c r="I481" s="25">
        <v>0.20200030552291431</v>
      </c>
      <c r="J481" s="21">
        <v>0</v>
      </c>
      <c r="K481" s="21">
        <v>0.41410416666666677</v>
      </c>
      <c r="L481" s="21">
        <v>0</v>
      </c>
      <c r="M481" s="17" t="s">
        <v>113</v>
      </c>
      <c r="N481" s="17" t="s">
        <v>115</v>
      </c>
      <c r="O481" s="21">
        <v>0</v>
      </c>
      <c r="P481" s="21">
        <v>0</v>
      </c>
      <c r="Q481" s="21">
        <v>7.4</v>
      </c>
    </row>
    <row r="482" spans="1:17" ht="16.5" x14ac:dyDescent="0.25">
      <c r="A482" s="2"/>
      <c r="B482" s="4"/>
      <c r="C482" s="18"/>
      <c r="E482" s="20">
        <v>44377</v>
      </c>
      <c r="F482" s="17" t="s">
        <v>88</v>
      </c>
      <c r="G482" s="21">
        <v>5.9051977391304344</v>
      </c>
      <c r="H482" s="21">
        <v>9.9</v>
      </c>
      <c r="I482" s="25">
        <v>0.14092136025113494</v>
      </c>
      <c r="J482" s="21">
        <v>0</v>
      </c>
      <c r="K482" s="21">
        <v>0.41410416666666677</v>
      </c>
      <c r="L482" s="21">
        <v>0.69300000000000006</v>
      </c>
      <c r="M482" s="17" t="s">
        <v>122</v>
      </c>
      <c r="N482" s="17" t="s">
        <v>117</v>
      </c>
      <c r="O482" s="21">
        <v>1.5</v>
      </c>
      <c r="P482" s="21">
        <v>1.28007</v>
      </c>
      <c r="Q482" s="21">
        <v>8.4</v>
      </c>
    </row>
    <row r="483" spans="1:17" ht="16.5" x14ac:dyDescent="0.25">
      <c r="A483" s="2"/>
      <c r="B483" s="4"/>
      <c r="C483" s="18"/>
      <c r="E483" s="20">
        <v>44377</v>
      </c>
      <c r="F483" s="17" t="s">
        <v>88</v>
      </c>
      <c r="G483" s="21">
        <v>5.9051977391304344</v>
      </c>
      <c r="H483" s="21">
        <v>9.9</v>
      </c>
      <c r="I483" s="25">
        <v>0.25200022837066322</v>
      </c>
      <c r="J483" s="21">
        <v>0</v>
      </c>
      <c r="K483" s="21">
        <v>0.41410416666666677</v>
      </c>
      <c r="L483" s="21">
        <v>0</v>
      </c>
      <c r="M483" s="17" t="s">
        <v>122</v>
      </c>
      <c r="N483" s="17" t="s">
        <v>115</v>
      </c>
      <c r="O483" s="21">
        <v>1.5</v>
      </c>
      <c r="P483" s="21">
        <v>0</v>
      </c>
      <c r="Q483" s="21">
        <v>8.4</v>
      </c>
    </row>
    <row r="484" spans="1:17" ht="16.5" x14ac:dyDescent="0.25">
      <c r="A484" s="2"/>
      <c r="B484" s="4"/>
      <c r="C484" s="18"/>
      <c r="E484" s="20">
        <v>44377</v>
      </c>
      <c r="F484" s="17" t="s">
        <v>88</v>
      </c>
      <c r="G484" s="21">
        <v>5.9051977391304344</v>
      </c>
      <c r="H484" s="21">
        <v>9.9</v>
      </c>
      <c r="I484" s="25">
        <v>0.25200022837066322</v>
      </c>
      <c r="J484" s="21">
        <v>0</v>
      </c>
      <c r="K484" s="21">
        <v>0.41410416666666677</v>
      </c>
      <c r="L484" s="21">
        <v>0</v>
      </c>
      <c r="M484" s="17" t="s">
        <v>113</v>
      </c>
      <c r="N484" s="17" t="s">
        <v>115</v>
      </c>
      <c r="O484" s="21">
        <v>1.5</v>
      </c>
      <c r="P484" s="21">
        <v>0</v>
      </c>
      <c r="Q484" s="21">
        <v>8.4</v>
      </c>
    </row>
    <row r="485" spans="1:17" ht="16.5" x14ac:dyDescent="0.25">
      <c r="A485" s="2"/>
      <c r="B485" s="4"/>
      <c r="C485" s="18"/>
      <c r="E485" s="20">
        <v>44377</v>
      </c>
      <c r="F485" s="17" t="s">
        <v>88</v>
      </c>
      <c r="G485" s="21">
        <v>5.9051977391304344</v>
      </c>
      <c r="H485" s="21">
        <v>9.5</v>
      </c>
      <c r="I485" s="25">
        <v>0.10474962805118264</v>
      </c>
      <c r="J485" s="21">
        <v>0</v>
      </c>
      <c r="K485" s="21">
        <v>0.41410416666666677</v>
      </c>
      <c r="L485" s="21">
        <v>0.66500000000000004</v>
      </c>
      <c r="M485" s="17" t="s">
        <v>122</v>
      </c>
      <c r="N485" s="17" t="s">
        <v>117</v>
      </c>
      <c r="O485" s="21">
        <v>1.5</v>
      </c>
      <c r="P485" s="21">
        <v>1.2283500000000001</v>
      </c>
      <c r="Q485" s="21">
        <v>8</v>
      </c>
    </row>
    <row r="486" spans="1:17" ht="16.5" x14ac:dyDescent="0.25">
      <c r="A486" s="2"/>
      <c r="B486" s="4"/>
      <c r="C486" s="18"/>
      <c r="E486" s="20">
        <v>44377</v>
      </c>
      <c r="F486" s="17" t="s">
        <v>88</v>
      </c>
      <c r="G486" s="21">
        <v>5.9051977391304344</v>
      </c>
      <c r="H486" s="21">
        <v>9.5</v>
      </c>
      <c r="I486" s="25">
        <v>0.10474962805118264</v>
      </c>
      <c r="J486" s="21">
        <v>0</v>
      </c>
      <c r="K486" s="21">
        <v>0.41410416666666677</v>
      </c>
      <c r="L486" s="21">
        <v>0.66500000000000004</v>
      </c>
      <c r="M486" s="17" t="s">
        <v>113</v>
      </c>
      <c r="N486" s="17" t="s">
        <v>117</v>
      </c>
      <c r="O486" s="21">
        <v>1.5</v>
      </c>
      <c r="P486" s="21">
        <v>1.2283500000000001</v>
      </c>
      <c r="Q486" s="21">
        <v>8</v>
      </c>
    </row>
    <row r="487" spans="1:17" ht="16.5" x14ac:dyDescent="0.25">
      <c r="A487" s="2"/>
      <c r="B487" s="4"/>
      <c r="C487" s="18"/>
      <c r="E487" s="20">
        <v>44377</v>
      </c>
      <c r="F487" s="17" t="s">
        <v>88</v>
      </c>
      <c r="G487" s="21">
        <v>5.9051977391304344</v>
      </c>
      <c r="H487" s="21">
        <v>7.3</v>
      </c>
      <c r="I487" s="25">
        <v>0.19106880285884459</v>
      </c>
      <c r="J487" s="21">
        <v>0</v>
      </c>
      <c r="K487" s="21">
        <v>0.41410416666666677</v>
      </c>
      <c r="L487" s="21">
        <v>0</v>
      </c>
      <c r="M487" s="17" t="s">
        <v>113</v>
      </c>
      <c r="N487" s="17" t="s">
        <v>115</v>
      </c>
      <c r="O487" s="21">
        <v>0</v>
      </c>
      <c r="P487" s="21">
        <v>0</v>
      </c>
      <c r="Q487" s="21">
        <v>7.3</v>
      </c>
    </row>
    <row r="488" spans="1:17" ht="16.5" x14ac:dyDescent="0.25">
      <c r="A488" s="2"/>
      <c r="B488" s="4"/>
      <c r="C488" s="18"/>
      <c r="E488" s="20">
        <v>44377</v>
      </c>
      <c r="F488" s="17" t="s">
        <v>86</v>
      </c>
      <c r="G488" s="21">
        <v>6.5170727391304348</v>
      </c>
      <c r="H488" s="21">
        <v>10.9</v>
      </c>
      <c r="I488" s="25">
        <v>0.15526443037707346</v>
      </c>
      <c r="J488" s="21">
        <v>0</v>
      </c>
      <c r="K488" s="21">
        <v>0.64597916666666677</v>
      </c>
      <c r="L488" s="21">
        <v>0.76300000000000012</v>
      </c>
      <c r="M488" s="17" t="s">
        <v>122</v>
      </c>
      <c r="N488" s="17" t="s">
        <v>117</v>
      </c>
      <c r="O488" s="21">
        <v>1.5</v>
      </c>
      <c r="P488" s="21">
        <v>1.40937</v>
      </c>
      <c r="Q488" s="21">
        <v>9.4</v>
      </c>
    </row>
    <row r="489" spans="1:17" ht="16.5" x14ac:dyDescent="0.25">
      <c r="A489" s="2"/>
      <c r="B489" s="4"/>
      <c r="C489" s="18"/>
      <c r="E489" s="20">
        <v>44377</v>
      </c>
      <c r="F489" s="17" t="s">
        <v>86</v>
      </c>
      <c r="G489" s="21">
        <v>6.5170727391304348</v>
      </c>
      <c r="H489" s="21">
        <v>10.9</v>
      </c>
      <c r="I489" s="25">
        <v>0.15526443037707346</v>
      </c>
      <c r="J489" s="21">
        <v>0</v>
      </c>
      <c r="K489" s="21">
        <v>0.64597916666666677</v>
      </c>
      <c r="L489" s="21">
        <v>0.76300000000000012</v>
      </c>
      <c r="M489" s="17" t="s">
        <v>113</v>
      </c>
      <c r="N489" s="17" t="s">
        <v>117</v>
      </c>
      <c r="O489" s="21">
        <v>1.5</v>
      </c>
      <c r="P489" s="21">
        <v>1.40937</v>
      </c>
      <c r="Q489" s="21">
        <v>9.4</v>
      </c>
    </row>
    <row r="490" spans="1:17" ht="16.5" x14ac:dyDescent="0.25">
      <c r="A490" s="2"/>
      <c r="B490" s="4"/>
      <c r="C490" s="18"/>
      <c r="E490" s="20">
        <v>44377</v>
      </c>
      <c r="F490" s="17" t="s">
        <v>86</v>
      </c>
      <c r="G490" s="21">
        <v>6.5170727391304348</v>
      </c>
      <c r="H490" s="21">
        <v>8.5</v>
      </c>
      <c r="I490" s="25">
        <v>0.23328556010230178</v>
      </c>
      <c r="J490" s="21">
        <v>0</v>
      </c>
      <c r="K490" s="21">
        <v>0.64597916666666677</v>
      </c>
      <c r="L490" s="21">
        <v>0</v>
      </c>
      <c r="M490" s="17" t="s">
        <v>113</v>
      </c>
      <c r="N490" s="17" t="s">
        <v>115</v>
      </c>
      <c r="O490" s="21">
        <v>0</v>
      </c>
      <c r="P490" s="21">
        <v>0</v>
      </c>
      <c r="Q490" s="21">
        <v>8.5</v>
      </c>
    </row>
    <row r="491" spans="1:17" ht="16.5" x14ac:dyDescent="0.25">
      <c r="A491" s="2"/>
      <c r="B491" s="4"/>
      <c r="C491" s="18"/>
      <c r="E491" s="20">
        <v>44377</v>
      </c>
      <c r="F491" s="17" t="s">
        <v>98</v>
      </c>
      <c r="G491" s="21">
        <v>5.9320000000000004</v>
      </c>
      <c r="H491" s="21">
        <v>9.5</v>
      </c>
      <c r="I491" s="25">
        <v>0.11090019431422461</v>
      </c>
      <c r="J491" s="21">
        <v>0</v>
      </c>
      <c r="K491" s="21">
        <v>0.76800000000000002</v>
      </c>
      <c r="L491" s="21">
        <v>1.1399999999999999</v>
      </c>
      <c r="M491" s="17" t="s">
        <v>122</v>
      </c>
      <c r="N491" s="17" t="s">
        <v>117</v>
      </c>
      <c r="O491" s="21">
        <v>1</v>
      </c>
      <c r="P491" s="21">
        <v>1.7033500000000001</v>
      </c>
      <c r="Q491" s="21">
        <v>8.5</v>
      </c>
    </row>
    <row r="492" spans="1:17" ht="16.5" x14ac:dyDescent="0.25">
      <c r="A492" s="2"/>
      <c r="B492" s="4"/>
      <c r="C492" s="18"/>
      <c r="E492" s="20">
        <v>44377</v>
      </c>
      <c r="F492" s="17" t="s">
        <v>98</v>
      </c>
      <c r="G492" s="21">
        <v>5.9320000000000004</v>
      </c>
      <c r="H492" s="21">
        <v>9</v>
      </c>
      <c r="I492" s="25">
        <v>6.1505760665014945E-2</v>
      </c>
      <c r="J492" s="21">
        <v>0</v>
      </c>
      <c r="K492" s="21">
        <v>0.76800000000000002</v>
      </c>
      <c r="L492" s="21">
        <v>1.08</v>
      </c>
      <c r="M492" s="17" t="s">
        <v>122</v>
      </c>
      <c r="N492" s="17" t="s">
        <v>117</v>
      </c>
      <c r="O492" s="21">
        <v>1</v>
      </c>
      <c r="P492" s="21">
        <v>1.6137000000000001</v>
      </c>
      <c r="Q492" s="21">
        <v>8</v>
      </c>
    </row>
    <row r="493" spans="1:17" ht="16.5" x14ac:dyDescent="0.25">
      <c r="A493" s="2"/>
      <c r="B493" s="4"/>
      <c r="C493" s="18"/>
      <c r="E493" s="20">
        <v>44377</v>
      </c>
      <c r="F493" s="17" t="s">
        <v>98</v>
      </c>
      <c r="G493" s="21">
        <v>5.9320000000000004</v>
      </c>
      <c r="H493" s="21">
        <v>7.4</v>
      </c>
      <c r="I493" s="25">
        <v>9.027027027027025E-2</v>
      </c>
      <c r="J493" s="21">
        <v>0</v>
      </c>
      <c r="K493" s="21">
        <v>0.76800000000000002</v>
      </c>
      <c r="L493" s="21">
        <v>0</v>
      </c>
      <c r="M493" s="17" t="s">
        <v>113</v>
      </c>
      <c r="N493" s="17" t="s">
        <v>115</v>
      </c>
      <c r="O493" s="21">
        <v>0.8</v>
      </c>
      <c r="P493" s="21">
        <v>0</v>
      </c>
      <c r="Q493" s="21">
        <v>6.6</v>
      </c>
    </row>
    <row r="494" spans="1:17" ht="16.5" x14ac:dyDescent="0.25">
      <c r="A494" s="2"/>
      <c r="B494" s="4"/>
      <c r="C494" s="18"/>
      <c r="E494" s="20">
        <v>44377</v>
      </c>
      <c r="F494" s="17" t="s">
        <v>97</v>
      </c>
      <c r="G494" s="21">
        <v>7.7800000000000011</v>
      </c>
      <c r="H494" s="21">
        <v>9.5</v>
      </c>
      <c r="I494" s="25">
        <v>7.5789473684210407E-2</v>
      </c>
      <c r="J494" s="21">
        <v>0</v>
      </c>
      <c r="K494" s="21">
        <v>1.02</v>
      </c>
      <c r="L494" s="21">
        <v>0</v>
      </c>
      <c r="M494" s="17" t="s">
        <v>113</v>
      </c>
      <c r="N494" s="17" t="s">
        <v>115</v>
      </c>
      <c r="O494" s="21">
        <v>1</v>
      </c>
      <c r="P494" s="21">
        <v>0</v>
      </c>
      <c r="Q494" s="21">
        <v>8.5</v>
      </c>
    </row>
    <row r="495" spans="1:17" ht="16.5" x14ac:dyDescent="0.25">
      <c r="A495" s="2"/>
      <c r="B495" s="4"/>
      <c r="C495" s="18"/>
      <c r="E495" s="20">
        <v>44377</v>
      </c>
      <c r="F495" s="17" t="s">
        <v>97</v>
      </c>
      <c r="G495" s="21">
        <v>7.7800000000000011</v>
      </c>
      <c r="H495" s="21">
        <v>11.9</v>
      </c>
      <c r="I495" s="25">
        <v>0.10099290112048219</v>
      </c>
      <c r="J495" s="21">
        <v>0</v>
      </c>
      <c r="K495" s="21">
        <v>1.02</v>
      </c>
      <c r="L495" s="21">
        <v>1.4279999999999999</v>
      </c>
      <c r="M495" s="17" t="s">
        <v>122</v>
      </c>
      <c r="N495" s="17" t="s">
        <v>117</v>
      </c>
      <c r="O495" s="21">
        <v>1</v>
      </c>
      <c r="P495" s="21">
        <v>2.1336700000000004</v>
      </c>
      <c r="Q495" s="21">
        <v>10.9</v>
      </c>
    </row>
    <row r="496" spans="1:17" ht="16.5" x14ac:dyDescent="0.25">
      <c r="A496" s="2"/>
      <c r="B496" s="4"/>
      <c r="C496" s="18"/>
      <c r="E496" s="20">
        <v>44371</v>
      </c>
      <c r="F496" s="17" t="s">
        <v>102</v>
      </c>
      <c r="G496" s="21">
        <v>15.172000000000001</v>
      </c>
      <c r="H496" s="21">
        <v>20.7</v>
      </c>
      <c r="I496" s="25">
        <v>0.10272649747634884</v>
      </c>
      <c r="J496" s="21">
        <v>0</v>
      </c>
      <c r="K496" s="21">
        <v>2.0279999999999996</v>
      </c>
      <c r="L496" s="21">
        <v>1.4490000000000001</v>
      </c>
      <c r="M496" s="17" t="s">
        <v>122</v>
      </c>
      <c r="N496" s="17" t="s">
        <v>117</v>
      </c>
      <c r="O496" s="21">
        <v>1</v>
      </c>
      <c r="P496" s="21">
        <v>2.6765099999999999</v>
      </c>
      <c r="Q496" s="21">
        <v>19.7</v>
      </c>
    </row>
    <row r="497" spans="1:17" ht="16.5" x14ac:dyDescent="0.25">
      <c r="A497" s="2"/>
      <c r="B497" s="4"/>
      <c r="C497" s="18"/>
      <c r="E497" s="20">
        <v>44371</v>
      </c>
      <c r="F497" s="17" t="s">
        <v>102</v>
      </c>
      <c r="G497" s="21">
        <v>15.172000000000001</v>
      </c>
      <c r="H497" s="21">
        <v>20.7</v>
      </c>
      <c r="I497" s="25">
        <v>0.10272649747634884</v>
      </c>
      <c r="J497" s="21">
        <v>0</v>
      </c>
      <c r="K497" s="21">
        <v>2.0279999999999996</v>
      </c>
      <c r="L497" s="21">
        <v>1.4490000000000001</v>
      </c>
      <c r="M497" s="17" t="s">
        <v>113</v>
      </c>
      <c r="N497" s="17" t="s">
        <v>117</v>
      </c>
      <c r="O497" s="21">
        <v>1</v>
      </c>
      <c r="P497" s="21">
        <v>2.6765099999999999</v>
      </c>
      <c r="Q497" s="21">
        <v>19.7</v>
      </c>
    </row>
    <row r="498" spans="1:17" ht="16.5" x14ac:dyDescent="0.25">
      <c r="A498" s="2"/>
      <c r="B498" s="4"/>
      <c r="C498" s="18"/>
      <c r="E498" s="20">
        <v>44371</v>
      </c>
      <c r="F498" s="17" t="s">
        <v>99</v>
      </c>
      <c r="G498" s="21">
        <v>10.6875</v>
      </c>
      <c r="H498" s="21">
        <v>15.9</v>
      </c>
      <c r="I498" s="25">
        <v>0.10434642002953452</v>
      </c>
      <c r="J498" s="21">
        <v>0</v>
      </c>
      <c r="K498" s="21">
        <v>0.125</v>
      </c>
      <c r="L498" s="21">
        <v>1.9079999999999999</v>
      </c>
      <c r="M498" s="17" t="s">
        <v>122</v>
      </c>
      <c r="N498" s="17" t="s">
        <v>117</v>
      </c>
      <c r="O498" s="21">
        <v>1</v>
      </c>
      <c r="P498" s="21">
        <v>2.8508700000000005</v>
      </c>
      <c r="Q498" s="21">
        <v>14.9</v>
      </c>
    </row>
    <row r="499" spans="1:17" ht="16.5" x14ac:dyDescent="0.25">
      <c r="A499" s="2"/>
      <c r="B499" s="4"/>
      <c r="C499" s="18"/>
      <c r="E499" s="20">
        <v>44371</v>
      </c>
      <c r="F499" s="17" t="s">
        <v>99</v>
      </c>
      <c r="G499" s="21">
        <v>10.8125</v>
      </c>
      <c r="H499" s="21">
        <v>13.9</v>
      </c>
      <c r="I499" s="25">
        <v>0.10071942446043168</v>
      </c>
      <c r="J499" s="21">
        <v>0</v>
      </c>
      <c r="K499" s="21">
        <v>0.125</v>
      </c>
      <c r="L499" s="21">
        <v>0.76450000000000007</v>
      </c>
      <c r="M499" s="17" t="s">
        <v>122</v>
      </c>
      <c r="N499" s="17" t="s">
        <v>116</v>
      </c>
      <c r="O499" s="21">
        <v>1</v>
      </c>
      <c r="P499" s="21">
        <v>0.76450000000000007</v>
      </c>
      <c r="Q499" s="21">
        <v>12.9</v>
      </c>
    </row>
    <row r="500" spans="1:17" ht="16.5" x14ac:dyDescent="0.25">
      <c r="A500" s="2"/>
      <c r="B500" s="4"/>
      <c r="C500" s="18"/>
      <c r="E500" s="20">
        <v>44371</v>
      </c>
      <c r="F500" s="17" t="s">
        <v>100</v>
      </c>
      <c r="G500" s="21">
        <v>15.625</v>
      </c>
      <c r="H500" s="21">
        <v>22.7</v>
      </c>
      <c r="I500" s="25">
        <v>0.10761684583215465</v>
      </c>
      <c r="J500" s="21">
        <v>0</v>
      </c>
      <c r="K500" s="21">
        <v>0.1875</v>
      </c>
      <c r="L500" s="21">
        <v>2.7239999999999998</v>
      </c>
      <c r="M500" s="17" t="s">
        <v>122</v>
      </c>
      <c r="N500" s="17" t="s">
        <v>117</v>
      </c>
      <c r="O500" s="21">
        <v>1</v>
      </c>
      <c r="P500" s="21">
        <v>4.0701100000000006</v>
      </c>
      <c r="Q500" s="21">
        <v>21.7</v>
      </c>
    </row>
    <row r="501" spans="1:17" ht="16.5" x14ac:dyDescent="0.25">
      <c r="A501" s="2"/>
      <c r="B501" s="4"/>
      <c r="C501" s="18"/>
      <c r="E501" s="20">
        <v>44371</v>
      </c>
      <c r="F501" s="17" t="s">
        <v>100</v>
      </c>
      <c r="G501" s="21">
        <v>15.8125</v>
      </c>
      <c r="H501" s="21">
        <v>19.7</v>
      </c>
      <c r="I501" s="25">
        <v>9.6903284720543534E-2</v>
      </c>
      <c r="J501" s="21">
        <v>0</v>
      </c>
      <c r="K501" s="21">
        <v>0.1875</v>
      </c>
      <c r="L501" s="21">
        <v>1.0834999999999999</v>
      </c>
      <c r="M501" s="17" t="s">
        <v>122</v>
      </c>
      <c r="N501" s="17" t="s">
        <v>116</v>
      </c>
      <c r="O501" s="21">
        <v>1</v>
      </c>
      <c r="P501" s="21">
        <v>1.0834999999999999</v>
      </c>
      <c r="Q501" s="21">
        <v>18.7</v>
      </c>
    </row>
    <row r="502" spans="1:17" ht="16.5" x14ac:dyDescent="0.25">
      <c r="A502" s="2"/>
      <c r="B502" s="4"/>
      <c r="C502" s="18"/>
      <c r="E502" s="20">
        <v>44371</v>
      </c>
      <c r="F502" s="17" t="s">
        <v>100</v>
      </c>
      <c r="G502" s="21">
        <v>15.8125</v>
      </c>
      <c r="H502" s="21">
        <v>18.7</v>
      </c>
      <c r="I502" s="25">
        <v>9.9411764705882255E-2</v>
      </c>
      <c r="J502" s="21">
        <v>0</v>
      </c>
      <c r="K502" s="21">
        <v>0.1875</v>
      </c>
      <c r="L502" s="21">
        <v>1.0285</v>
      </c>
      <c r="M502" s="17" t="s">
        <v>113</v>
      </c>
      <c r="N502" s="17" t="s">
        <v>116</v>
      </c>
      <c r="O502" s="21">
        <v>0</v>
      </c>
      <c r="P502" s="21">
        <v>1.0285</v>
      </c>
      <c r="Q502" s="21">
        <v>18.7</v>
      </c>
    </row>
    <row r="503" spans="1:17" ht="16.5" x14ac:dyDescent="0.25">
      <c r="A503" s="2"/>
      <c r="B503" s="4"/>
      <c r="C503" s="18"/>
      <c r="E503" s="20">
        <v>44371</v>
      </c>
      <c r="F503" s="17" t="s">
        <v>100</v>
      </c>
      <c r="G503" s="21">
        <v>15.625</v>
      </c>
      <c r="H503" s="21">
        <v>21.7</v>
      </c>
      <c r="I503" s="25">
        <v>0.10065391705069129</v>
      </c>
      <c r="J503" s="21">
        <v>0</v>
      </c>
      <c r="K503" s="21">
        <v>0.1875</v>
      </c>
      <c r="L503" s="21">
        <v>2.6039999999999996</v>
      </c>
      <c r="M503" s="17" t="s">
        <v>113</v>
      </c>
      <c r="N503" s="17" t="s">
        <v>117</v>
      </c>
      <c r="O503" s="21">
        <v>0</v>
      </c>
      <c r="P503" s="21">
        <v>3.8908100000000001</v>
      </c>
      <c r="Q503" s="21">
        <v>21.7</v>
      </c>
    </row>
    <row r="504" spans="1:17" ht="16.5" x14ac:dyDescent="0.25">
      <c r="A504" s="2"/>
      <c r="B504" s="4"/>
      <c r="C504" s="18"/>
      <c r="E504" s="20">
        <v>44371</v>
      </c>
      <c r="F504" s="17" t="s">
        <v>100</v>
      </c>
      <c r="G504" s="21">
        <v>15.625</v>
      </c>
      <c r="H504" s="21">
        <v>17.399999999999999</v>
      </c>
      <c r="I504" s="25">
        <v>0.10201149425287349</v>
      </c>
      <c r="J504" s="21">
        <v>0</v>
      </c>
      <c r="K504" s="21">
        <v>0.1875</v>
      </c>
      <c r="L504" s="21">
        <v>0</v>
      </c>
      <c r="M504" s="17" t="s">
        <v>113</v>
      </c>
      <c r="N504" s="17" t="s">
        <v>115</v>
      </c>
      <c r="O504" s="21">
        <v>0</v>
      </c>
      <c r="P504" s="21">
        <v>0</v>
      </c>
      <c r="Q504" s="21">
        <v>17.399999999999999</v>
      </c>
    </row>
    <row r="505" spans="1:17" ht="16.5" x14ac:dyDescent="0.25">
      <c r="A505" s="2"/>
      <c r="B505" s="4"/>
      <c r="C505" s="18"/>
      <c r="E505" s="20">
        <v>44335</v>
      </c>
      <c r="F505" s="17" t="s">
        <v>103</v>
      </c>
      <c r="G505" s="21">
        <v>7.6920000000000011</v>
      </c>
      <c r="H505" s="21">
        <v>11</v>
      </c>
      <c r="I505" s="25">
        <v>9.2475228917172081E-2</v>
      </c>
      <c r="J505" s="21">
        <v>0</v>
      </c>
      <c r="K505" s="21">
        <v>1.008</v>
      </c>
      <c r="L505" s="21">
        <v>0.77</v>
      </c>
      <c r="M505" s="17" t="s">
        <v>122</v>
      </c>
      <c r="N505" s="17" t="s">
        <v>117</v>
      </c>
      <c r="O505" s="21">
        <v>1</v>
      </c>
      <c r="P505" s="21">
        <v>1.4222999999999999</v>
      </c>
      <c r="Q505" s="21">
        <v>10</v>
      </c>
    </row>
    <row r="506" spans="1:17" ht="16.5" x14ac:dyDescent="0.25">
      <c r="A506" s="2"/>
      <c r="B506" s="4"/>
      <c r="C506" s="18"/>
      <c r="E506" s="20">
        <v>44335</v>
      </c>
      <c r="F506" s="17" t="s">
        <v>102</v>
      </c>
      <c r="G506" s="21">
        <v>13.192</v>
      </c>
      <c r="H506" s="21">
        <v>18.100000000000001</v>
      </c>
      <c r="I506" s="25">
        <v>9.9473529585327694E-2</v>
      </c>
      <c r="J506" s="21">
        <v>0</v>
      </c>
      <c r="K506" s="21">
        <v>1.758</v>
      </c>
      <c r="L506" s="21">
        <v>1.2670000000000001</v>
      </c>
      <c r="M506" s="17" t="s">
        <v>122</v>
      </c>
      <c r="N506" s="17" t="s">
        <v>117</v>
      </c>
      <c r="O506" s="21">
        <v>1</v>
      </c>
      <c r="P506" s="21">
        <v>2.3403300000000002</v>
      </c>
      <c r="Q506" s="21">
        <v>17.100000000000001</v>
      </c>
    </row>
    <row r="507" spans="1:17" ht="16.5" x14ac:dyDescent="0.25">
      <c r="A507" s="2"/>
      <c r="B507" s="4"/>
      <c r="C507" s="18"/>
      <c r="E507" s="20">
        <v>44335</v>
      </c>
      <c r="F507" s="17" t="s">
        <v>101</v>
      </c>
      <c r="G507" s="21">
        <v>8.4400000000000013</v>
      </c>
      <c r="H507" s="21">
        <v>12</v>
      </c>
      <c r="I507" s="25">
        <v>9.6512384671337076E-2</v>
      </c>
      <c r="J507" s="21">
        <v>0</v>
      </c>
      <c r="K507" s="21">
        <v>1.1099999999999999</v>
      </c>
      <c r="L507" s="21">
        <v>0.84000000000000008</v>
      </c>
      <c r="M507" s="17" t="s">
        <v>122</v>
      </c>
      <c r="N507" s="17" t="s">
        <v>117</v>
      </c>
      <c r="O507" s="21">
        <v>1</v>
      </c>
      <c r="P507" s="21">
        <v>1.5516000000000001</v>
      </c>
      <c r="Q507" s="21">
        <v>11</v>
      </c>
    </row>
    <row r="508" spans="1:17" ht="16.5" x14ac:dyDescent="0.25">
      <c r="A508" s="2"/>
      <c r="B508" s="4"/>
      <c r="C508" s="18"/>
      <c r="E508" s="20">
        <v>44335</v>
      </c>
      <c r="F508" s="17" t="s">
        <v>101</v>
      </c>
      <c r="G508" s="21">
        <v>8.4400000000000013</v>
      </c>
      <c r="H508" s="21">
        <v>12</v>
      </c>
      <c r="I508" s="25">
        <v>9.6512384671337076E-2</v>
      </c>
      <c r="J508" s="21">
        <v>0</v>
      </c>
      <c r="K508" s="21">
        <v>1.1099999999999999</v>
      </c>
      <c r="L508" s="21">
        <v>0.84000000000000008</v>
      </c>
      <c r="M508" s="17" t="s">
        <v>113</v>
      </c>
      <c r="N508" s="17" t="s">
        <v>117</v>
      </c>
      <c r="O508" s="21">
        <v>1</v>
      </c>
      <c r="P508" s="21">
        <v>1.5516000000000001</v>
      </c>
      <c r="Q508" s="21">
        <v>11</v>
      </c>
    </row>
    <row r="509" spans="1:17" ht="16.5" x14ac:dyDescent="0.25">
      <c r="A509" s="2"/>
      <c r="B509" s="4"/>
      <c r="C509" s="18"/>
      <c r="E509" s="20">
        <v>44335</v>
      </c>
      <c r="F509" s="17" t="s">
        <v>101</v>
      </c>
      <c r="G509" s="21">
        <v>8.4400000000000013</v>
      </c>
      <c r="H509" s="21">
        <v>12</v>
      </c>
      <c r="I509" s="25">
        <v>9.6512384671337076E-2</v>
      </c>
      <c r="J509" s="21">
        <v>0</v>
      </c>
      <c r="K509" s="21">
        <v>1.1099999999999999</v>
      </c>
      <c r="L509" s="21">
        <v>0.84000000000000008</v>
      </c>
      <c r="M509" s="17" t="s">
        <v>113</v>
      </c>
      <c r="N509" s="17" t="s">
        <v>117</v>
      </c>
      <c r="O509" s="21">
        <v>1</v>
      </c>
      <c r="P509" s="21">
        <v>1.5516000000000001</v>
      </c>
      <c r="Q509" s="21">
        <v>11</v>
      </c>
    </row>
    <row r="510" spans="1:17" ht="16.5" x14ac:dyDescent="0.25">
      <c r="A510" s="2"/>
      <c r="B510" s="4"/>
      <c r="C510" s="18"/>
      <c r="E510" s="20">
        <v>44322</v>
      </c>
      <c r="F510" s="17" t="s">
        <v>86</v>
      </c>
      <c r="G510" s="21">
        <v>6.9966039891304348</v>
      </c>
      <c r="H510" s="21">
        <v>8.1999999999999993</v>
      </c>
      <c r="I510" s="25">
        <v>0.14675561108165422</v>
      </c>
      <c r="J510" s="21">
        <v>0</v>
      </c>
      <c r="K510" s="21">
        <v>0.6820729166666667</v>
      </c>
      <c r="L510" s="21">
        <v>0</v>
      </c>
      <c r="M510" s="17" t="s">
        <v>113</v>
      </c>
      <c r="N510" s="17" t="s">
        <v>115</v>
      </c>
      <c r="O510" s="21">
        <v>0</v>
      </c>
      <c r="P510" s="21">
        <v>0</v>
      </c>
      <c r="Q510" s="21">
        <v>8.1999999999999993</v>
      </c>
    </row>
    <row r="511" spans="1:17" ht="16.5" x14ac:dyDescent="0.25">
      <c r="A511" s="2"/>
      <c r="B511" s="4"/>
      <c r="C511" s="18"/>
      <c r="E511" s="20">
        <v>44322</v>
      </c>
      <c r="F511" s="17" t="s">
        <v>86</v>
      </c>
      <c r="G511" s="21">
        <v>6.9966039891304348</v>
      </c>
      <c r="H511" s="21">
        <v>10.6</v>
      </c>
      <c r="I511" s="25">
        <v>7.9400006811865154E-2</v>
      </c>
      <c r="J511" s="21">
        <v>0</v>
      </c>
      <c r="K511" s="21">
        <v>0.6820729166666667</v>
      </c>
      <c r="L511" s="21">
        <v>0.74199999999999999</v>
      </c>
      <c r="M511" s="17" t="s">
        <v>122</v>
      </c>
      <c r="N511" s="17" t="s">
        <v>117</v>
      </c>
      <c r="O511" s="21">
        <v>1.5</v>
      </c>
      <c r="P511" s="21">
        <v>1.3705799999999999</v>
      </c>
      <c r="Q511" s="21">
        <v>9.1</v>
      </c>
    </row>
    <row r="512" spans="1:17" ht="16.5" x14ac:dyDescent="0.25">
      <c r="A512" s="2"/>
      <c r="B512" s="4"/>
      <c r="C512" s="18"/>
      <c r="E512" s="20">
        <v>44322</v>
      </c>
      <c r="F512" s="17" t="s">
        <v>86</v>
      </c>
      <c r="G512" s="21">
        <v>6.9966039891304348</v>
      </c>
      <c r="H512" s="21">
        <v>10.6</v>
      </c>
      <c r="I512" s="25">
        <v>7.9400006811865154E-2</v>
      </c>
      <c r="J512" s="21">
        <v>0</v>
      </c>
      <c r="K512" s="21">
        <v>0.6820729166666667</v>
      </c>
      <c r="L512" s="21">
        <v>0.74199999999999999</v>
      </c>
      <c r="M512" s="17" t="s">
        <v>113</v>
      </c>
      <c r="N512" s="17" t="s">
        <v>117</v>
      </c>
      <c r="O512" s="21">
        <v>1.5</v>
      </c>
      <c r="P512" s="21">
        <v>1.3705799999999999</v>
      </c>
      <c r="Q512" s="21">
        <v>9.1</v>
      </c>
    </row>
    <row r="513" spans="1:17" ht="16.5" x14ac:dyDescent="0.25">
      <c r="A513" s="2"/>
      <c r="B513" s="4"/>
      <c r="C513" s="18"/>
      <c r="E513" s="20">
        <v>44279</v>
      </c>
      <c r="F513" s="17" t="s">
        <v>88</v>
      </c>
      <c r="G513" s="21">
        <v>4.5352810724637687</v>
      </c>
      <c r="H513" s="21">
        <v>8.9</v>
      </c>
      <c r="I513" s="25">
        <v>0.22117667530015653</v>
      </c>
      <c r="J513" s="21">
        <v>0</v>
      </c>
      <c r="K513" s="21">
        <v>0.30922916666666667</v>
      </c>
      <c r="L513" s="21">
        <v>0.62300000000000011</v>
      </c>
      <c r="M513" s="17" t="s">
        <v>113</v>
      </c>
      <c r="N513" s="17" t="s">
        <v>117</v>
      </c>
      <c r="O513" s="21">
        <v>1.5</v>
      </c>
      <c r="P513" s="21">
        <v>1.1507700000000001</v>
      </c>
      <c r="Q513" s="21">
        <v>7.4</v>
      </c>
    </row>
    <row r="514" spans="1:17" ht="16.5" x14ac:dyDescent="0.25">
      <c r="A514" s="2"/>
      <c r="B514" s="4"/>
      <c r="C514" s="18"/>
      <c r="E514" s="20">
        <v>44279</v>
      </c>
      <c r="F514" s="17" t="s">
        <v>88</v>
      </c>
      <c r="G514" s="21">
        <v>4.5352810724637687</v>
      </c>
      <c r="H514" s="21">
        <v>7</v>
      </c>
      <c r="I514" s="25">
        <v>0.35210270393374732</v>
      </c>
      <c r="J514" s="21">
        <v>0</v>
      </c>
      <c r="K514" s="21">
        <v>0.30922916666666667</v>
      </c>
      <c r="L514" s="21">
        <v>0</v>
      </c>
      <c r="M514" s="17" t="s">
        <v>113</v>
      </c>
      <c r="N514" s="17" t="s">
        <v>115</v>
      </c>
      <c r="O514" s="21">
        <v>0</v>
      </c>
      <c r="P514" s="21">
        <v>0</v>
      </c>
      <c r="Q514" s="21">
        <v>7</v>
      </c>
    </row>
    <row r="515" spans="1:17" ht="16.5" x14ac:dyDescent="0.25">
      <c r="A515" s="2"/>
      <c r="B515" s="4"/>
      <c r="C515" s="18"/>
      <c r="E515" s="20">
        <v>44279</v>
      </c>
      <c r="F515" s="17" t="s">
        <v>87</v>
      </c>
      <c r="G515" s="21">
        <v>3.4473133641304354</v>
      </c>
      <c r="H515" s="21">
        <v>5.9</v>
      </c>
      <c r="I515" s="25">
        <v>0.13428054884138899</v>
      </c>
      <c r="J515" s="21">
        <v>0</v>
      </c>
      <c r="K515" s="21">
        <v>0.28818645833333334</v>
      </c>
      <c r="L515" s="21">
        <v>0.41300000000000009</v>
      </c>
      <c r="M515" s="17" t="s">
        <v>113</v>
      </c>
      <c r="N515" s="17" t="s">
        <v>117</v>
      </c>
      <c r="O515" s="21">
        <v>1</v>
      </c>
      <c r="P515" s="21">
        <v>0.76287000000000005</v>
      </c>
      <c r="Q515" s="21">
        <v>4.9000000000000004</v>
      </c>
    </row>
    <row r="516" spans="1:17" ht="16.5" x14ac:dyDescent="0.25">
      <c r="A516" s="2"/>
      <c r="B516" s="4"/>
      <c r="C516" s="18"/>
      <c r="E516" s="20">
        <v>44279</v>
      </c>
      <c r="F516" s="17" t="s">
        <v>87</v>
      </c>
      <c r="G516" s="21">
        <v>3.4473133641304354</v>
      </c>
      <c r="H516" s="21">
        <v>4.5</v>
      </c>
      <c r="I516" s="25">
        <v>0.2339303635265699</v>
      </c>
      <c r="J516" s="21">
        <v>0</v>
      </c>
      <c r="K516" s="21">
        <v>0.28818645833333334</v>
      </c>
      <c r="L516" s="21">
        <v>0</v>
      </c>
      <c r="M516" s="17" t="s">
        <v>113</v>
      </c>
      <c r="N516" s="17" t="s">
        <v>115</v>
      </c>
      <c r="O516" s="21">
        <v>0</v>
      </c>
      <c r="P516" s="21">
        <v>0</v>
      </c>
      <c r="Q516" s="21">
        <v>4.5</v>
      </c>
    </row>
    <row r="517" spans="1:17" ht="16.5" x14ac:dyDescent="0.25">
      <c r="A517" s="2"/>
      <c r="B517" s="4"/>
      <c r="C517" s="18"/>
      <c r="E517" s="20">
        <v>44279</v>
      </c>
      <c r="F517" s="17" t="s">
        <v>87</v>
      </c>
      <c r="G517" s="21">
        <v>3.4473133641304354</v>
      </c>
      <c r="H517" s="21">
        <v>3.9</v>
      </c>
      <c r="I517" s="25">
        <v>0.11607349637681141</v>
      </c>
      <c r="J517" s="21">
        <v>0</v>
      </c>
      <c r="K517" s="21">
        <v>0.28818645833333334</v>
      </c>
      <c r="L517" s="21">
        <v>0</v>
      </c>
      <c r="M517" s="17" t="s">
        <v>113</v>
      </c>
      <c r="N517" s="17" t="s">
        <v>115</v>
      </c>
      <c r="O517" s="21">
        <v>0</v>
      </c>
      <c r="P517" s="21">
        <v>0</v>
      </c>
      <c r="Q517" s="21">
        <v>3.9</v>
      </c>
    </row>
    <row r="518" spans="1:17" ht="16.5" x14ac:dyDescent="0.25">
      <c r="A518" s="2"/>
      <c r="B518" s="4"/>
      <c r="C518" s="18"/>
      <c r="E518" s="20">
        <v>44279</v>
      </c>
      <c r="F518" s="17" t="s">
        <v>87</v>
      </c>
      <c r="G518" s="21">
        <v>3.4473133641304354</v>
      </c>
      <c r="H518" s="21">
        <v>4.5</v>
      </c>
      <c r="I518" s="25">
        <v>0.10463036352656986</v>
      </c>
      <c r="J518" s="21">
        <v>0</v>
      </c>
      <c r="K518" s="21">
        <v>0.28818645833333334</v>
      </c>
      <c r="L518" s="21">
        <v>0.31500000000000006</v>
      </c>
      <c r="M518" s="17" t="s">
        <v>113</v>
      </c>
      <c r="N518" s="17" t="s">
        <v>117</v>
      </c>
      <c r="O518" s="21">
        <v>0</v>
      </c>
      <c r="P518" s="21">
        <v>0.58184999999999998</v>
      </c>
      <c r="Q518" s="21">
        <v>4.5</v>
      </c>
    </row>
    <row r="519" spans="1:17" ht="16.5" x14ac:dyDescent="0.25">
      <c r="A519" s="2"/>
      <c r="B519" s="4"/>
      <c r="C519" s="18"/>
      <c r="E519" s="20">
        <v>44279</v>
      </c>
      <c r="F519" s="17" t="s">
        <v>86</v>
      </c>
      <c r="G519" s="21">
        <v>6.4301914891304346</v>
      </c>
      <c r="H519" s="21">
        <v>10.199999999999999</v>
      </c>
      <c r="I519" s="25">
        <v>0.1070750501477923</v>
      </c>
      <c r="J519" s="21">
        <v>0</v>
      </c>
      <c r="K519" s="21">
        <v>0.61036041666666674</v>
      </c>
      <c r="L519" s="21">
        <v>0.71399999999999997</v>
      </c>
      <c r="M519" s="17" t="s">
        <v>122</v>
      </c>
      <c r="N519" s="17" t="s">
        <v>117</v>
      </c>
      <c r="O519" s="21">
        <v>1.5</v>
      </c>
      <c r="P519" s="21">
        <v>1.3188599999999999</v>
      </c>
      <c r="Q519" s="21">
        <v>8.6999999999999993</v>
      </c>
    </row>
    <row r="520" spans="1:17" ht="16.5" x14ac:dyDescent="0.25">
      <c r="A520" s="2"/>
      <c r="B520" s="4"/>
      <c r="C520" s="18"/>
      <c r="E520" s="20">
        <v>44279</v>
      </c>
      <c r="F520" s="17" t="s">
        <v>86</v>
      </c>
      <c r="G520" s="21">
        <v>6.4301914891304346</v>
      </c>
      <c r="H520" s="21">
        <v>10.199999999999999</v>
      </c>
      <c r="I520" s="25">
        <v>0.1070750501477923</v>
      </c>
      <c r="J520" s="21">
        <v>0</v>
      </c>
      <c r="K520" s="21">
        <v>0.61036041666666674</v>
      </c>
      <c r="L520" s="21">
        <v>0.71399999999999997</v>
      </c>
      <c r="M520" s="17" t="s">
        <v>113</v>
      </c>
      <c r="N520" s="17" t="s">
        <v>117</v>
      </c>
      <c r="O520" s="21">
        <v>1.5</v>
      </c>
      <c r="P520" s="21">
        <v>1.3188599999999999</v>
      </c>
      <c r="Q520" s="21">
        <v>8.6999999999999993</v>
      </c>
    </row>
    <row r="521" spans="1:17" ht="16.5" x14ac:dyDescent="0.25">
      <c r="A521" s="2"/>
      <c r="B521" s="4"/>
      <c r="C521" s="18"/>
      <c r="E521" s="20">
        <v>44279</v>
      </c>
      <c r="F521" s="17" t="s">
        <v>86</v>
      </c>
      <c r="G521" s="21">
        <v>6.4301914891304346</v>
      </c>
      <c r="H521" s="21">
        <v>8</v>
      </c>
      <c r="I521" s="25">
        <v>0.19622606385869568</v>
      </c>
      <c r="J521" s="21">
        <v>0</v>
      </c>
      <c r="K521" s="21">
        <v>0.61036041666666674</v>
      </c>
      <c r="L521" s="21">
        <v>0</v>
      </c>
      <c r="M521" s="17" t="s">
        <v>113</v>
      </c>
      <c r="N521" s="17" t="s">
        <v>115</v>
      </c>
      <c r="O521" s="21">
        <v>0</v>
      </c>
      <c r="P521" s="21">
        <v>0</v>
      </c>
      <c r="Q521" s="21">
        <v>8</v>
      </c>
    </row>
    <row r="522" spans="1:17" ht="16.5" x14ac:dyDescent="0.25">
      <c r="A522" s="2"/>
      <c r="B522" s="4"/>
      <c r="C522" s="18"/>
      <c r="E522" s="20">
        <v>44271</v>
      </c>
      <c r="F522" s="17" t="s">
        <v>134</v>
      </c>
      <c r="G522" s="21">
        <v>75.099999999999994</v>
      </c>
      <c r="H522" s="21">
        <v>105</v>
      </c>
      <c r="I522" s="25">
        <v>0.11005932937804153</v>
      </c>
      <c r="J522" s="21">
        <v>0</v>
      </c>
      <c r="K522" s="21">
        <v>10.199999999999999</v>
      </c>
      <c r="L522" s="21">
        <v>12.6</v>
      </c>
      <c r="M522" s="17" t="s">
        <v>122</v>
      </c>
      <c r="N522" s="17" t="s">
        <v>117</v>
      </c>
      <c r="O522" s="21">
        <v>5</v>
      </c>
      <c r="P522" s="21">
        <v>14.994000000000002</v>
      </c>
      <c r="Q522" s="21">
        <v>100</v>
      </c>
    </row>
    <row r="523" spans="1:17" ht="16.5" x14ac:dyDescent="0.25">
      <c r="A523" s="2"/>
      <c r="B523" s="4"/>
      <c r="C523" s="18"/>
      <c r="E523" s="20">
        <v>44271</v>
      </c>
      <c r="F523" s="17" t="s">
        <v>134</v>
      </c>
      <c r="G523" s="21">
        <v>75.099999999999994</v>
      </c>
      <c r="H523" s="21">
        <v>84</v>
      </c>
      <c r="I523" s="25">
        <v>0.10595238095238102</v>
      </c>
      <c r="J523" s="21">
        <v>0</v>
      </c>
      <c r="K523" s="21">
        <v>10.199999999999999</v>
      </c>
      <c r="L523" s="21">
        <v>0</v>
      </c>
      <c r="M523" s="17" t="s">
        <v>113</v>
      </c>
      <c r="N523" s="17" t="s">
        <v>115</v>
      </c>
      <c r="O523" s="21">
        <v>0</v>
      </c>
      <c r="P523" s="21">
        <v>0</v>
      </c>
      <c r="Q523" s="21">
        <v>84</v>
      </c>
    </row>
    <row r="524" spans="1:17" ht="16.5" x14ac:dyDescent="0.25">
      <c r="A524" s="2"/>
      <c r="B524" s="4"/>
      <c r="C524" s="18"/>
      <c r="E524" s="20">
        <v>44271</v>
      </c>
      <c r="F524" s="17" t="s">
        <v>127</v>
      </c>
      <c r="G524" s="21">
        <v>11.186666666666667</v>
      </c>
      <c r="H524" s="21">
        <v>15.5</v>
      </c>
      <c r="I524" s="25">
        <v>0.13386812311543494</v>
      </c>
      <c r="J524" s="21">
        <v>0</v>
      </c>
      <c r="K524" s="21">
        <v>0</v>
      </c>
      <c r="L524" s="21">
        <v>0.85250000000000004</v>
      </c>
      <c r="M524" s="17" t="s">
        <v>122</v>
      </c>
      <c r="N524" s="17" t="s">
        <v>116</v>
      </c>
      <c r="O524" s="21">
        <v>1.5</v>
      </c>
      <c r="P524" s="21">
        <v>0.85250000000000004</v>
      </c>
      <c r="Q524" s="21">
        <v>14</v>
      </c>
    </row>
    <row r="525" spans="1:17" ht="16.5" x14ac:dyDescent="0.25">
      <c r="A525" s="2"/>
      <c r="B525" s="4"/>
      <c r="C525" s="18"/>
      <c r="E525" s="20">
        <v>44271</v>
      </c>
      <c r="F525" s="17" t="s">
        <v>127</v>
      </c>
      <c r="G525" s="21">
        <v>11.186666666666667</v>
      </c>
      <c r="H525" s="21">
        <v>16.5</v>
      </c>
      <c r="I525" s="25">
        <v>0.13837394005382794</v>
      </c>
      <c r="J525" s="21">
        <v>0</v>
      </c>
      <c r="K525" s="21">
        <v>0</v>
      </c>
      <c r="L525" s="21">
        <v>1.98</v>
      </c>
      <c r="M525" s="17" t="s">
        <v>122</v>
      </c>
      <c r="N525" s="17" t="s">
        <v>117</v>
      </c>
      <c r="O525" s="21">
        <v>1</v>
      </c>
      <c r="P525" s="21">
        <v>2.3562000000000003</v>
      </c>
      <c r="Q525" s="21">
        <v>15.5</v>
      </c>
    </row>
    <row r="526" spans="1:17" ht="16.5" x14ac:dyDescent="0.25">
      <c r="A526" s="2"/>
      <c r="B526" s="4"/>
      <c r="C526" s="18"/>
      <c r="E526" s="20">
        <v>44271</v>
      </c>
      <c r="F526" s="17" t="s">
        <v>127</v>
      </c>
      <c r="G526" s="21">
        <v>11.186666666666667</v>
      </c>
      <c r="H526" s="21">
        <v>12.5</v>
      </c>
      <c r="I526" s="25">
        <v>0.1050666666666666</v>
      </c>
      <c r="J526" s="21">
        <v>0</v>
      </c>
      <c r="K526" s="21">
        <v>0</v>
      </c>
      <c r="L526" s="21">
        <v>0</v>
      </c>
      <c r="M526" s="17" t="s">
        <v>113</v>
      </c>
      <c r="N526" s="17" t="s">
        <v>115</v>
      </c>
      <c r="O526" s="21">
        <v>0</v>
      </c>
      <c r="P526" s="21">
        <v>0</v>
      </c>
      <c r="Q526" s="21">
        <v>12.5</v>
      </c>
    </row>
    <row r="527" spans="1:17" ht="16.5" x14ac:dyDescent="0.25">
      <c r="A527" s="2"/>
      <c r="B527" s="4"/>
      <c r="C527" s="18"/>
      <c r="E527" s="20">
        <v>44271</v>
      </c>
      <c r="F527" s="17" t="s">
        <v>127</v>
      </c>
      <c r="G527" s="21">
        <v>11.186666666666667</v>
      </c>
      <c r="H527" s="21">
        <v>17</v>
      </c>
      <c r="I527" s="25">
        <v>0.1637158829934213</v>
      </c>
      <c r="J527" s="21">
        <v>0</v>
      </c>
      <c r="K527" s="21">
        <v>0</v>
      </c>
      <c r="L527" s="21">
        <v>2.04</v>
      </c>
      <c r="M527" s="17" t="s">
        <v>122</v>
      </c>
      <c r="N527" s="17" t="s">
        <v>117</v>
      </c>
      <c r="O527" s="21">
        <v>1</v>
      </c>
      <c r="P527" s="21">
        <v>2.4276</v>
      </c>
      <c r="Q527" s="21">
        <v>16</v>
      </c>
    </row>
    <row r="528" spans="1:17" ht="16.5" x14ac:dyDescent="0.25">
      <c r="A528" s="2"/>
      <c r="B528" s="4"/>
      <c r="C528" s="18"/>
      <c r="E528" s="20">
        <v>44271</v>
      </c>
      <c r="F528" s="17" t="s">
        <v>102</v>
      </c>
      <c r="G528" s="21">
        <v>11.828000000000001</v>
      </c>
      <c r="H528" s="21">
        <v>17.899999999999999</v>
      </c>
      <c r="I528" s="25">
        <v>0.17692885644569017</v>
      </c>
      <c r="J528" s="21">
        <v>0</v>
      </c>
      <c r="K528" s="21">
        <v>1.5719999999999998</v>
      </c>
      <c r="L528" s="21">
        <v>1.2530000000000001</v>
      </c>
      <c r="M528" s="17" t="s">
        <v>122</v>
      </c>
      <c r="N528" s="17" t="s">
        <v>117</v>
      </c>
      <c r="O528" s="21">
        <v>1</v>
      </c>
      <c r="P528" s="21">
        <v>2.3144699999999996</v>
      </c>
      <c r="Q528" s="21">
        <v>16.899999999999999</v>
      </c>
    </row>
    <row r="529" spans="1:17" ht="16.5" x14ac:dyDescent="0.25">
      <c r="A529" s="2"/>
      <c r="B529" s="4"/>
      <c r="C529" s="18"/>
      <c r="E529" s="20">
        <v>44271</v>
      </c>
      <c r="F529" s="17" t="s">
        <v>103</v>
      </c>
      <c r="G529" s="21">
        <v>7.032</v>
      </c>
      <c r="H529" s="21">
        <v>10.9</v>
      </c>
      <c r="I529" s="25">
        <v>0.15369158844038799</v>
      </c>
      <c r="J529" s="21">
        <v>0</v>
      </c>
      <c r="K529" s="21">
        <v>0.91800000000000004</v>
      </c>
      <c r="L529" s="21">
        <v>0.76300000000000012</v>
      </c>
      <c r="M529" s="17" t="s">
        <v>122</v>
      </c>
      <c r="N529" s="17" t="s">
        <v>117</v>
      </c>
      <c r="O529" s="21">
        <v>1</v>
      </c>
      <c r="P529" s="21">
        <v>1.40937</v>
      </c>
      <c r="Q529" s="21">
        <v>9.9</v>
      </c>
    </row>
    <row r="530" spans="1:17" ht="16.5" x14ac:dyDescent="0.25">
      <c r="A530" s="2"/>
      <c r="B530" s="4"/>
      <c r="C530" s="18"/>
      <c r="E530" s="20">
        <v>44271</v>
      </c>
      <c r="F530" s="17" t="s">
        <v>101</v>
      </c>
      <c r="G530" s="21">
        <v>7.032</v>
      </c>
      <c r="H530" s="21">
        <v>10.9</v>
      </c>
      <c r="I530" s="25">
        <v>0.15369158844038799</v>
      </c>
      <c r="J530" s="21">
        <v>0</v>
      </c>
      <c r="K530" s="21">
        <v>0.91800000000000004</v>
      </c>
      <c r="L530" s="21">
        <v>0.76300000000000012</v>
      </c>
      <c r="M530" s="17" t="s">
        <v>122</v>
      </c>
      <c r="N530" s="17" t="s">
        <v>117</v>
      </c>
      <c r="O530" s="21">
        <v>1</v>
      </c>
      <c r="P530" s="21">
        <v>1.40937</v>
      </c>
      <c r="Q530" s="21">
        <v>9.9</v>
      </c>
    </row>
    <row r="531" spans="1:17" ht="16.5" x14ac:dyDescent="0.25">
      <c r="A531" s="2"/>
      <c r="B531" s="4"/>
      <c r="C531" s="18"/>
      <c r="E531" s="20">
        <v>44271</v>
      </c>
      <c r="F531" s="17" t="s">
        <v>100</v>
      </c>
      <c r="G531" s="21">
        <v>14.608333333333333</v>
      </c>
      <c r="H531" s="21">
        <v>19.5</v>
      </c>
      <c r="I531" s="25">
        <v>5.5944529320915405E-2</v>
      </c>
      <c r="J531" s="21">
        <v>0</v>
      </c>
      <c r="K531" s="21">
        <v>0.17500000000000002</v>
      </c>
      <c r="L531" s="21">
        <v>2.34</v>
      </c>
      <c r="M531" s="17" t="s">
        <v>122</v>
      </c>
      <c r="N531" s="17" t="s">
        <v>117</v>
      </c>
      <c r="O531" s="21">
        <v>0.5</v>
      </c>
      <c r="P531" s="21">
        <v>3.4963500000000005</v>
      </c>
      <c r="Q531" s="21">
        <v>19</v>
      </c>
    </row>
    <row r="532" spans="1:17" ht="16.5" x14ac:dyDescent="0.25">
      <c r="A532" s="2"/>
      <c r="B532" s="4"/>
      <c r="C532" s="18"/>
      <c r="E532" s="20">
        <v>44271</v>
      </c>
      <c r="F532" s="17" t="s">
        <v>100</v>
      </c>
      <c r="G532" s="21">
        <v>14.608333333333333</v>
      </c>
      <c r="H532" s="21">
        <v>16.5</v>
      </c>
      <c r="I532" s="25">
        <v>0.11464646464646469</v>
      </c>
      <c r="J532" s="21">
        <v>0</v>
      </c>
      <c r="K532" s="21">
        <v>0.17500000000000002</v>
      </c>
      <c r="L532" s="21">
        <v>0</v>
      </c>
      <c r="M532" s="17" t="s">
        <v>113</v>
      </c>
      <c r="N532" s="17" t="s">
        <v>115</v>
      </c>
      <c r="O532" s="21">
        <v>0</v>
      </c>
      <c r="P532" s="21">
        <v>0</v>
      </c>
      <c r="Q532" s="21">
        <v>16.5</v>
      </c>
    </row>
    <row r="533" spans="1:17" ht="16.5" x14ac:dyDescent="0.25">
      <c r="A533" s="2"/>
      <c r="B533" s="4"/>
      <c r="C533" s="18"/>
      <c r="E533" s="20">
        <v>44271</v>
      </c>
      <c r="F533" s="17" t="s">
        <v>99</v>
      </c>
      <c r="G533" s="21">
        <v>9.6708333333333325</v>
      </c>
      <c r="H533" s="21">
        <v>10.7</v>
      </c>
      <c r="I533" s="25">
        <v>9.618380062305297E-2</v>
      </c>
      <c r="J533" s="21">
        <v>0</v>
      </c>
      <c r="K533" s="21">
        <v>0.1125</v>
      </c>
      <c r="L533" s="21">
        <v>0</v>
      </c>
      <c r="M533" s="17" t="s">
        <v>113</v>
      </c>
      <c r="N533" s="17" t="s">
        <v>115</v>
      </c>
      <c r="O533" s="21">
        <v>0</v>
      </c>
      <c r="P533" s="21">
        <v>0</v>
      </c>
      <c r="Q533" s="21">
        <v>10.7</v>
      </c>
    </row>
    <row r="534" spans="1:17" ht="16.5" x14ac:dyDescent="0.25">
      <c r="A534" s="2"/>
      <c r="B534" s="4"/>
      <c r="C534" s="18"/>
      <c r="E534" s="20">
        <v>44271</v>
      </c>
      <c r="F534" s="17" t="s">
        <v>99</v>
      </c>
      <c r="G534" s="21">
        <v>9.6708333333333325</v>
      </c>
      <c r="H534" s="21">
        <v>13</v>
      </c>
      <c r="I534" s="25">
        <v>4.6701846141349104E-2</v>
      </c>
      <c r="J534" s="21">
        <v>0</v>
      </c>
      <c r="K534" s="21">
        <v>0.1125</v>
      </c>
      <c r="L534" s="21">
        <v>1.56</v>
      </c>
      <c r="M534" s="17" t="s">
        <v>122</v>
      </c>
      <c r="N534" s="17" t="s">
        <v>117</v>
      </c>
      <c r="O534" s="21">
        <v>0.5</v>
      </c>
      <c r="P534" s="21">
        <v>2.3309000000000002</v>
      </c>
      <c r="Q534" s="21">
        <v>12.5</v>
      </c>
    </row>
    <row r="535" spans="1:17" ht="16.5" x14ac:dyDescent="0.25">
      <c r="A535" s="2"/>
      <c r="B535" s="4"/>
      <c r="C535" s="18"/>
      <c r="E535" s="20">
        <v>44271</v>
      </c>
      <c r="F535" s="17" t="s">
        <v>136</v>
      </c>
      <c r="G535" s="21">
        <v>9.4866666666666681</v>
      </c>
      <c r="H535" s="21">
        <v>15</v>
      </c>
      <c r="I535" s="25">
        <v>0.18442474205423334</v>
      </c>
      <c r="J535" s="21">
        <v>0</v>
      </c>
      <c r="K535" s="21">
        <v>1.2</v>
      </c>
      <c r="L535" s="21">
        <v>1.7999999999999998</v>
      </c>
      <c r="M535" s="17" t="s">
        <v>122</v>
      </c>
      <c r="N535" s="17" t="s">
        <v>117</v>
      </c>
      <c r="O535" s="21">
        <v>1</v>
      </c>
      <c r="P535" s="21">
        <v>2.1420000000000003</v>
      </c>
      <c r="Q535" s="21">
        <v>14</v>
      </c>
    </row>
    <row r="536" spans="1:17" ht="16.5" x14ac:dyDescent="0.25">
      <c r="A536" s="2"/>
      <c r="B536" s="4"/>
      <c r="C536" s="18"/>
      <c r="E536" s="20">
        <v>44271</v>
      </c>
      <c r="F536" s="17" t="s">
        <v>136</v>
      </c>
      <c r="G536" s="21">
        <v>9.4866666666666681</v>
      </c>
      <c r="H536" s="21">
        <v>12</v>
      </c>
      <c r="I536" s="25">
        <v>0.20944444444444432</v>
      </c>
      <c r="J536" s="21">
        <v>0</v>
      </c>
      <c r="K536" s="21">
        <v>1.2</v>
      </c>
      <c r="L536" s="21">
        <v>0</v>
      </c>
      <c r="M536" s="17" t="s">
        <v>113</v>
      </c>
      <c r="N536" s="17" t="s">
        <v>115</v>
      </c>
      <c r="O536" s="21">
        <v>0</v>
      </c>
      <c r="P536" s="21">
        <v>0</v>
      </c>
      <c r="Q536" s="21">
        <v>12</v>
      </c>
    </row>
    <row r="537" spans="1:17" ht="16.5" x14ac:dyDescent="0.25">
      <c r="A537" s="2"/>
      <c r="B537" s="4"/>
      <c r="C537" s="18"/>
      <c r="E537" s="20">
        <v>44271</v>
      </c>
      <c r="F537" s="17" t="s">
        <v>137</v>
      </c>
      <c r="G537" s="21">
        <v>4.6466666666666665</v>
      </c>
      <c r="H537" s="21">
        <v>5.9</v>
      </c>
      <c r="I537" s="25">
        <v>0.21242937853107352</v>
      </c>
      <c r="J537" s="21">
        <v>0</v>
      </c>
      <c r="K537" s="21">
        <v>0.54</v>
      </c>
      <c r="L537" s="21">
        <v>0</v>
      </c>
      <c r="M537" s="17" t="s">
        <v>113</v>
      </c>
      <c r="N537" s="17" t="s">
        <v>115</v>
      </c>
      <c r="O537" s="21">
        <v>0</v>
      </c>
      <c r="P537" s="21">
        <v>0</v>
      </c>
      <c r="Q537" s="21">
        <v>5.9</v>
      </c>
    </row>
    <row r="538" spans="1:17" ht="16.5" x14ac:dyDescent="0.25">
      <c r="A538" s="2"/>
      <c r="B538" s="4"/>
      <c r="C538" s="18"/>
      <c r="E538" s="20">
        <v>44271</v>
      </c>
      <c r="F538" s="17" t="s">
        <v>137</v>
      </c>
      <c r="G538" s="21">
        <v>4.6466666666666665</v>
      </c>
      <c r="H538" s="21">
        <v>7.5</v>
      </c>
      <c r="I538" s="25">
        <v>0.12168818375071298</v>
      </c>
      <c r="J538" s="21">
        <v>0</v>
      </c>
      <c r="K538" s="21">
        <v>0.54</v>
      </c>
      <c r="L538" s="21">
        <v>0.89999999999999991</v>
      </c>
      <c r="M538" s="17" t="s">
        <v>122</v>
      </c>
      <c r="N538" s="17" t="s">
        <v>117</v>
      </c>
      <c r="O538" s="21">
        <v>1</v>
      </c>
      <c r="P538" s="21">
        <v>1.0710000000000002</v>
      </c>
      <c r="Q538" s="21">
        <v>6.5</v>
      </c>
    </row>
    <row r="539" spans="1:17" ht="16.5" x14ac:dyDescent="0.25">
      <c r="A539" s="2"/>
      <c r="B539" s="4"/>
      <c r="C539" s="18"/>
      <c r="E539" s="20">
        <v>44271</v>
      </c>
      <c r="F539" s="17" t="s">
        <v>97</v>
      </c>
      <c r="G539" s="21">
        <v>6.1959999999999997</v>
      </c>
      <c r="H539" s="21">
        <v>7.5</v>
      </c>
      <c r="I539" s="25">
        <v>0.1738666666666667</v>
      </c>
      <c r="J539" s="21">
        <v>0</v>
      </c>
      <c r="K539" s="21">
        <v>0.80399999999999994</v>
      </c>
      <c r="L539" s="21">
        <v>0</v>
      </c>
      <c r="M539" s="17" t="s">
        <v>113</v>
      </c>
      <c r="N539" s="17" t="s">
        <v>115</v>
      </c>
      <c r="O539" s="21">
        <v>0</v>
      </c>
      <c r="P539" s="21">
        <v>0</v>
      </c>
      <c r="Q539" s="21">
        <v>7.5</v>
      </c>
    </row>
    <row r="540" spans="1:17" ht="16.5" x14ac:dyDescent="0.25">
      <c r="A540" s="2"/>
      <c r="B540" s="4"/>
      <c r="C540" s="18"/>
      <c r="E540" s="20">
        <v>44271</v>
      </c>
      <c r="F540" s="17" t="s">
        <v>97</v>
      </c>
      <c r="G540" s="21">
        <v>6.1959999999999997</v>
      </c>
      <c r="H540" s="21">
        <v>9.9</v>
      </c>
      <c r="I540" s="25">
        <v>0.11433083115793011</v>
      </c>
      <c r="J540" s="21">
        <v>0</v>
      </c>
      <c r="K540" s="21">
        <v>0.80399999999999994</v>
      </c>
      <c r="L540" s="21">
        <v>1.1879999999999999</v>
      </c>
      <c r="M540" s="17" t="s">
        <v>122</v>
      </c>
      <c r="N540" s="17" t="s">
        <v>117</v>
      </c>
      <c r="O540" s="21">
        <v>1</v>
      </c>
      <c r="P540" s="21">
        <v>1.7750700000000001</v>
      </c>
      <c r="Q540" s="21">
        <v>8.9</v>
      </c>
    </row>
    <row r="541" spans="1:17" ht="16.5" x14ac:dyDescent="0.25">
      <c r="A541" s="2"/>
      <c r="B541" s="4"/>
      <c r="C541" s="18"/>
      <c r="E541" s="20">
        <v>44270</v>
      </c>
      <c r="F541" s="17" t="s">
        <v>98</v>
      </c>
      <c r="G541" s="21">
        <v>4.524</v>
      </c>
      <c r="H541" s="21">
        <v>8</v>
      </c>
      <c r="I541" s="25">
        <v>0.12818325819422444</v>
      </c>
      <c r="J541" s="21">
        <v>0</v>
      </c>
      <c r="K541" s="21">
        <v>0.57599999999999996</v>
      </c>
      <c r="L541" s="21">
        <v>0.96</v>
      </c>
      <c r="M541" s="17" t="s">
        <v>122</v>
      </c>
      <c r="N541" s="17" t="s">
        <v>117</v>
      </c>
      <c r="O541" s="21">
        <v>1.2</v>
      </c>
      <c r="P541" s="21">
        <v>1.4344000000000001</v>
      </c>
      <c r="Q541" s="21">
        <v>6.7958539882830111</v>
      </c>
    </row>
    <row r="542" spans="1:17" ht="16.5" x14ac:dyDescent="0.25">
      <c r="A542" s="2"/>
      <c r="B542" s="4"/>
      <c r="C542" s="18"/>
      <c r="E542" s="20">
        <v>44270</v>
      </c>
      <c r="F542" s="17" t="s">
        <v>98</v>
      </c>
      <c r="G542" s="21">
        <v>4.524</v>
      </c>
      <c r="H542" s="21">
        <v>5.5</v>
      </c>
      <c r="I542" s="25">
        <v>0.17745454545454545</v>
      </c>
      <c r="J542" s="21">
        <v>0</v>
      </c>
      <c r="K542" s="21">
        <v>0.57599999999999996</v>
      </c>
      <c r="L542" s="21">
        <v>0</v>
      </c>
      <c r="M542" s="17" t="s">
        <v>113</v>
      </c>
      <c r="N542" s="17" t="s">
        <v>115</v>
      </c>
      <c r="O542" s="21">
        <v>0</v>
      </c>
      <c r="P542" s="21">
        <v>0</v>
      </c>
      <c r="Q542" s="21">
        <v>5.5373317013463899</v>
      </c>
    </row>
    <row r="543" spans="1:17" ht="16.5" x14ac:dyDescent="0.25">
      <c r="A543" s="2"/>
      <c r="B543" s="4"/>
      <c r="C543" s="18"/>
      <c r="E543" s="20">
        <v>44270</v>
      </c>
      <c r="F543" s="17" t="s">
        <v>96</v>
      </c>
      <c r="G543" s="21">
        <v>9.9434666666666676</v>
      </c>
      <c r="H543" s="21">
        <v>11.495337186897881</v>
      </c>
      <c r="I543" s="25">
        <v>0.13499999999999998</v>
      </c>
      <c r="J543" s="21">
        <v>0</v>
      </c>
      <c r="K543" s="21">
        <v>0.2432</v>
      </c>
      <c r="L543" s="21">
        <v>0</v>
      </c>
      <c r="M543" s="17" t="s">
        <v>113</v>
      </c>
      <c r="N543" s="17" t="s">
        <v>115</v>
      </c>
      <c r="O543" s="21">
        <v>0</v>
      </c>
      <c r="P543" s="21">
        <v>0</v>
      </c>
      <c r="Q543" s="21">
        <v>11.495337186897881</v>
      </c>
    </row>
    <row r="544" spans="1:17" ht="16.5" x14ac:dyDescent="0.25">
      <c r="A544" s="2"/>
      <c r="B544" s="4"/>
      <c r="C544" s="18"/>
      <c r="E544" s="20">
        <v>44270</v>
      </c>
      <c r="F544" s="17" t="s">
        <v>96</v>
      </c>
      <c r="G544" s="21">
        <v>9.9434666666666676</v>
      </c>
      <c r="H544" s="21">
        <v>15.501190997034662</v>
      </c>
      <c r="I544" s="25">
        <v>0.17641640062098565</v>
      </c>
      <c r="J544" s="21">
        <v>0</v>
      </c>
      <c r="K544" s="21">
        <v>0.2432</v>
      </c>
      <c r="L544" s="21">
        <v>1.8601429196441595</v>
      </c>
      <c r="M544" s="17" t="s">
        <v>122</v>
      </c>
      <c r="N544" s="17" t="s">
        <v>117</v>
      </c>
      <c r="O544" s="21">
        <v>1</v>
      </c>
      <c r="P544" s="21">
        <v>2.2135700743765501</v>
      </c>
      <c r="Q544" s="21">
        <v>14.501190997034662</v>
      </c>
    </row>
    <row r="545" spans="1:17" ht="16.5" x14ac:dyDescent="0.25">
      <c r="A545" s="2"/>
      <c r="B545" s="4"/>
      <c r="C545" s="18"/>
      <c r="E545" s="20">
        <v>44270</v>
      </c>
      <c r="F545" s="17" t="s">
        <v>96</v>
      </c>
      <c r="G545" s="21">
        <v>10.186666666666667</v>
      </c>
      <c r="H545" s="21">
        <v>14.501489044884069</v>
      </c>
      <c r="I545" s="25">
        <v>0.14720184973883377</v>
      </c>
      <c r="J545" s="21">
        <v>0</v>
      </c>
      <c r="K545" s="21">
        <v>0.2432</v>
      </c>
      <c r="L545" s="21">
        <v>0.79758189746862385</v>
      </c>
      <c r="M545" s="17" t="s">
        <v>122</v>
      </c>
      <c r="N545" s="17" t="s">
        <v>116</v>
      </c>
      <c r="O545" s="21">
        <v>1.5</v>
      </c>
      <c r="P545" s="21">
        <v>0.79758189746862385</v>
      </c>
      <c r="Q545" s="21">
        <v>13.001489044884069</v>
      </c>
    </row>
    <row r="546" spans="1:17" ht="16.5" x14ac:dyDescent="0.25">
      <c r="A546" s="2"/>
      <c r="B546" s="4"/>
      <c r="C546" s="18"/>
      <c r="E546" s="20">
        <v>44270</v>
      </c>
      <c r="F546" s="17" t="s">
        <v>95</v>
      </c>
      <c r="G546" s="21">
        <v>5.2433333333333332</v>
      </c>
      <c r="H546" s="21">
        <v>7.2007454739084134</v>
      </c>
      <c r="I546" s="25">
        <v>0.1559760815103565</v>
      </c>
      <c r="J546" s="21">
        <v>0</v>
      </c>
      <c r="K546" s="21">
        <v>0.1216</v>
      </c>
      <c r="L546" s="21">
        <v>0.39604100106496276</v>
      </c>
      <c r="M546" s="17" t="s">
        <v>122</v>
      </c>
      <c r="N546" s="17" t="s">
        <v>116</v>
      </c>
      <c r="O546" s="21">
        <v>0.5</v>
      </c>
      <c r="P546" s="21">
        <v>0.39604100106496276</v>
      </c>
      <c r="Q546" s="21">
        <v>6.7007454739084134</v>
      </c>
    </row>
    <row r="547" spans="1:17" ht="16.5" x14ac:dyDescent="0.25">
      <c r="A547" s="2"/>
      <c r="B547" s="4"/>
      <c r="C547" s="18"/>
      <c r="E547" s="20">
        <v>44270</v>
      </c>
      <c r="F547" s="17" t="s">
        <v>95</v>
      </c>
      <c r="G547" s="21">
        <v>5.1217333333333332</v>
      </c>
      <c r="H547" s="21">
        <v>7.7525252525252526</v>
      </c>
      <c r="I547" s="25">
        <v>0.15404962144760387</v>
      </c>
      <c r="J547" s="21">
        <v>0</v>
      </c>
      <c r="K547" s="21">
        <v>0.1216</v>
      </c>
      <c r="L547" s="21">
        <v>0.9303030303030303</v>
      </c>
      <c r="M547" s="17" t="s">
        <v>122</v>
      </c>
      <c r="N547" s="17" t="s">
        <v>117</v>
      </c>
      <c r="O547" s="21">
        <v>0.5</v>
      </c>
      <c r="P547" s="21">
        <v>1.1070606060606061</v>
      </c>
      <c r="Q547" s="21">
        <v>7.2525252525252526</v>
      </c>
    </row>
    <row r="548" spans="1:17" ht="16.5" x14ac:dyDescent="0.25">
      <c r="A548" s="2"/>
      <c r="B548" s="4"/>
      <c r="C548" s="18"/>
      <c r="E548" s="20">
        <v>44270</v>
      </c>
      <c r="F548" s="17" t="s">
        <v>95</v>
      </c>
      <c r="G548" s="21">
        <v>5.2433333333333332</v>
      </c>
      <c r="H548" s="21">
        <v>7.7457749610851669</v>
      </c>
      <c r="I548" s="25">
        <v>0.18121147240295157</v>
      </c>
      <c r="J548" s="21">
        <v>0</v>
      </c>
      <c r="K548" s="21">
        <v>0.1216</v>
      </c>
      <c r="L548" s="21">
        <v>0.4260176228596842</v>
      </c>
      <c r="M548" s="17" t="s">
        <v>122</v>
      </c>
      <c r="N548" s="17" t="s">
        <v>116</v>
      </c>
      <c r="O548" s="21">
        <v>0.75</v>
      </c>
      <c r="P548" s="21">
        <v>0.4260176228596842</v>
      </c>
      <c r="Q548" s="21">
        <v>6.9957749610851669</v>
      </c>
    </row>
    <row r="549" spans="1:17" ht="16.5" x14ac:dyDescent="0.25">
      <c r="A549" s="2"/>
      <c r="B549" s="4"/>
      <c r="C549" s="18"/>
      <c r="E549" s="20">
        <v>44270</v>
      </c>
      <c r="F549" s="17" t="s">
        <v>95</v>
      </c>
      <c r="G549" s="21">
        <v>5.1217333333333332</v>
      </c>
      <c r="H549" s="21">
        <v>6.0043767096522078</v>
      </c>
      <c r="I549" s="25">
        <v>0.14699999999999999</v>
      </c>
      <c r="J549" s="21">
        <v>0</v>
      </c>
      <c r="K549" s="21">
        <v>0.1216</v>
      </c>
      <c r="L549" s="21">
        <v>0</v>
      </c>
      <c r="M549" s="17" t="s">
        <v>113</v>
      </c>
      <c r="N549" s="17" t="s">
        <v>115</v>
      </c>
      <c r="O549" s="21">
        <v>0</v>
      </c>
      <c r="P549" s="21">
        <v>0</v>
      </c>
      <c r="Q549" s="21">
        <v>6.0043767096522078</v>
      </c>
    </row>
    <row r="550" spans="1:17" ht="16.5" x14ac:dyDescent="0.25">
      <c r="A550" s="2"/>
      <c r="B550" s="4"/>
      <c r="C550" s="18"/>
      <c r="E550" s="20">
        <v>44270</v>
      </c>
      <c r="F550" s="17" t="s">
        <v>94</v>
      </c>
      <c r="G550" s="21">
        <v>2.7352266666666663</v>
      </c>
      <c r="H550" s="21">
        <v>4.5035519125683052</v>
      </c>
      <c r="I550" s="25">
        <v>0.16195492526427982</v>
      </c>
      <c r="J550" s="21">
        <v>0</v>
      </c>
      <c r="K550" s="21">
        <v>6.1440000000000002E-2</v>
      </c>
      <c r="L550" s="21">
        <v>0.54042622950819663</v>
      </c>
      <c r="M550" s="17" t="s">
        <v>122</v>
      </c>
      <c r="N550" s="17" t="s">
        <v>117</v>
      </c>
      <c r="O550" s="21">
        <v>0.5</v>
      </c>
      <c r="P550" s="21">
        <v>0.64310721311475405</v>
      </c>
      <c r="Q550" s="21">
        <v>4.0035519125683052</v>
      </c>
    </row>
    <row r="551" spans="1:17" ht="16.5" x14ac:dyDescent="0.25">
      <c r="A551" s="2"/>
      <c r="B551" s="4"/>
      <c r="C551" s="18"/>
      <c r="E551" s="20">
        <v>44270</v>
      </c>
      <c r="F551" s="17" t="s">
        <v>94</v>
      </c>
      <c r="G551" s="21">
        <v>2.7352266666666663</v>
      </c>
      <c r="H551" s="21">
        <v>4.5035519125683052</v>
      </c>
      <c r="I551" s="25">
        <v>0.16195492526427982</v>
      </c>
      <c r="J551" s="21">
        <v>0</v>
      </c>
      <c r="K551" s="21">
        <v>6.1440000000000002E-2</v>
      </c>
      <c r="L551" s="21">
        <v>0.54042622950819663</v>
      </c>
      <c r="M551" s="17" t="s">
        <v>122</v>
      </c>
      <c r="N551" s="17" t="s">
        <v>117</v>
      </c>
      <c r="O551" s="21">
        <v>0.5</v>
      </c>
      <c r="P551" s="21">
        <v>0.64310721311475405</v>
      </c>
      <c r="Q551" s="21">
        <v>4.0035519125683052</v>
      </c>
    </row>
    <row r="552" spans="1:17" ht="16.5" x14ac:dyDescent="0.25">
      <c r="A552" s="2"/>
      <c r="B552" s="4"/>
      <c r="C552" s="18"/>
      <c r="E552" s="20">
        <v>44270</v>
      </c>
      <c r="F552" s="17" t="s">
        <v>94</v>
      </c>
      <c r="G552" s="21">
        <v>2.7966666666666664</v>
      </c>
      <c r="H552" s="21">
        <v>3.9958333333333327</v>
      </c>
      <c r="I552" s="25">
        <v>0.12695654092942923</v>
      </c>
      <c r="J552" s="21">
        <v>0</v>
      </c>
      <c r="K552" s="21">
        <v>6.1440000000000002E-2</v>
      </c>
      <c r="L552" s="21">
        <v>0.2197708333333333</v>
      </c>
      <c r="M552" s="17" t="s">
        <v>122</v>
      </c>
      <c r="N552" s="17" t="s">
        <v>116</v>
      </c>
      <c r="O552" s="21">
        <v>0.5</v>
      </c>
      <c r="P552" s="21">
        <v>0.2197708333333333</v>
      </c>
      <c r="Q552" s="21">
        <v>3.4958333333333327</v>
      </c>
    </row>
    <row r="553" spans="1:17" ht="16.5" x14ac:dyDescent="0.25">
      <c r="A553" s="2"/>
      <c r="B553" s="4"/>
      <c r="C553" s="18"/>
      <c r="E553" s="20">
        <v>44270</v>
      </c>
      <c r="F553" s="17" t="s">
        <v>94</v>
      </c>
      <c r="G553" s="21">
        <v>2.7352266666666663</v>
      </c>
      <c r="H553" s="21">
        <v>3.1990955165692005</v>
      </c>
      <c r="I553" s="25">
        <v>0.14500000000000007</v>
      </c>
      <c r="J553" s="21">
        <v>0</v>
      </c>
      <c r="K553" s="21">
        <v>6.1440000000000002E-2</v>
      </c>
      <c r="L553" s="21">
        <v>0</v>
      </c>
      <c r="M553" s="17" t="s">
        <v>113</v>
      </c>
      <c r="N553" s="17" t="s">
        <v>115</v>
      </c>
      <c r="O553" s="21">
        <v>0</v>
      </c>
      <c r="P553" s="21">
        <v>0</v>
      </c>
      <c r="Q553" s="21">
        <v>3.1990955165692005</v>
      </c>
    </row>
    <row r="554" spans="1:17" ht="16.5" x14ac:dyDescent="0.25">
      <c r="A554" s="2"/>
      <c r="B554" s="4"/>
      <c r="C554" s="18"/>
      <c r="E554" s="20">
        <v>44270</v>
      </c>
      <c r="F554" s="17" t="s">
        <v>91</v>
      </c>
      <c r="G554" s="21">
        <v>23.737500000000001</v>
      </c>
      <c r="H554" s="21">
        <v>29.998104385188931</v>
      </c>
      <c r="I554" s="25">
        <v>0.20870000000000002</v>
      </c>
      <c r="J554" s="21">
        <v>0</v>
      </c>
      <c r="K554" s="21">
        <v>0.28750000000000003</v>
      </c>
      <c r="L554" s="21">
        <v>0</v>
      </c>
      <c r="M554" s="17" t="s">
        <v>113</v>
      </c>
      <c r="N554" s="17" t="s">
        <v>115</v>
      </c>
      <c r="O554" s="21">
        <v>0</v>
      </c>
      <c r="P554" s="21">
        <v>0</v>
      </c>
      <c r="Q554" s="21">
        <v>29.998104385188931</v>
      </c>
    </row>
    <row r="555" spans="1:17" ht="16.5" x14ac:dyDescent="0.25">
      <c r="A555" s="2"/>
      <c r="B555" s="4"/>
      <c r="C555" s="18"/>
      <c r="E555" s="20">
        <v>44270</v>
      </c>
      <c r="F555" s="17" t="s">
        <v>91</v>
      </c>
      <c r="G555" s="21">
        <v>23.737500000000001</v>
      </c>
      <c r="H555" s="21">
        <v>37.998138069321115</v>
      </c>
      <c r="I555" s="25">
        <v>0.1105519949755283</v>
      </c>
      <c r="J555" s="21">
        <v>0</v>
      </c>
      <c r="K555" s="21">
        <v>0.28750000000000003</v>
      </c>
      <c r="L555" s="21">
        <v>4.5597765683185338</v>
      </c>
      <c r="M555" s="17" t="s">
        <v>122</v>
      </c>
      <c r="N555" s="17" t="s">
        <v>117</v>
      </c>
      <c r="O555" s="21">
        <v>4</v>
      </c>
      <c r="P555" s="21">
        <v>6.8130661558292767</v>
      </c>
      <c r="Q555" s="21">
        <v>33.998138069321115</v>
      </c>
    </row>
    <row r="556" spans="1:17" ht="16.5" x14ac:dyDescent="0.25">
      <c r="A556" s="2"/>
      <c r="B556" s="4"/>
      <c r="C556" s="18"/>
      <c r="E556" s="20">
        <v>44270</v>
      </c>
      <c r="F556" s="17" t="s">
        <v>91</v>
      </c>
      <c r="G556" s="21">
        <v>23.737500000000001</v>
      </c>
      <c r="H556" s="21">
        <v>36.996246872393662</v>
      </c>
      <c r="I556" s="25">
        <v>8.646495367557254E-2</v>
      </c>
      <c r="J556" s="21">
        <v>0</v>
      </c>
      <c r="K556" s="21">
        <v>0.28750000000000003</v>
      </c>
      <c r="L556" s="21">
        <v>4.4395496246872392</v>
      </c>
      <c r="M556" s="17" t="s">
        <v>122</v>
      </c>
      <c r="N556" s="17" t="s">
        <v>117</v>
      </c>
      <c r="O556" s="21">
        <v>4</v>
      </c>
      <c r="P556" s="21">
        <v>6.633427064220184</v>
      </c>
      <c r="Q556" s="21">
        <v>32.996246872393662</v>
      </c>
    </row>
    <row r="557" spans="1:17" ht="16.5" x14ac:dyDescent="0.25">
      <c r="A557" s="2"/>
      <c r="B557" s="4"/>
      <c r="C557" s="18"/>
      <c r="E557" s="20">
        <v>44270</v>
      </c>
      <c r="F557" s="17" t="s">
        <v>91</v>
      </c>
      <c r="G557" s="21">
        <v>23.737500000000001</v>
      </c>
      <c r="H557" s="21">
        <v>37.000834144306964</v>
      </c>
      <c r="I557" s="25">
        <v>0.25035473817101073</v>
      </c>
      <c r="J557" s="21">
        <v>0</v>
      </c>
      <c r="K557" s="21">
        <v>0.28750000000000003</v>
      </c>
      <c r="L557" s="21">
        <v>0</v>
      </c>
      <c r="M557" s="17" t="s">
        <v>113</v>
      </c>
      <c r="N557" s="17" t="s">
        <v>115</v>
      </c>
      <c r="O557" s="21">
        <v>4</v>
      </c>
      <c r="P557" s="21">
        <v>0</v>
      </c>
      <c r="Q557" s="21">
        <v>33.000834144306964</v>
      </c>
    </row>
    <row r="558" spans="1:17" ht="16.5" x14ac:dyDescent="0.25">
      <c r="A558" s="2"/>
      <c r="B558" s="4"/>
      <c r="C558" s="18"/>
      <c r="E558" s="20">
        <v>44270</v>
      </c>
      <c r="F558" s="17" t="s">
        <v>91</v>
      </c>
      <c r="G558" s="21">
        <v>23.737500000000001</v>
      </c>
      <c r="H558" s="21">
        <v>29.998104385188931</v>
      </c>
      <c r="I558" s="25">
        <v>0.20870000000000002</v>
      </c>
      <c r="J558" s="21">
        <v>0</v>
      </c>
      <c r="K558" s="21">
        <v>0.28750000000000003</v>
      </c>
      <c r="L558" s="21">
        <v>0</v>
      </c>
      <c r="M558" s="17" t="s">
        <v>113</v>
      </c>
      <c r="N558" s="17" t="s">
        <v>115</v>
      </c>
      <c r="O558" s="21">
        <v>0</v>
      </c>
      <c r="P558" s="21">
        <v>0</v>
      </c>
      <c r="Q558" s="21">
        <v>29.998104385188931</v>
      </c>
    </row>
    <row r="559" spans="1:17" ht="16.5" x14ac:dyDescent="0.25">
      <c r="A559" s="2"/>
      <c r="B559" s="4"/>
      <c r="C559" s="18"/>
      <c r="E559" s="20">
        <v>44270</v>
      </c>
      <c r="F559" s="17" t="s">
        <v>90</v>
      </c>
      <c r="G559" s="21">
        <v>25.928194444444447</v>
      </c>
      <c r="H559" s="21">
        <v>41.803627300121818</v>
      </c>
      <c r="I559" s="25">
        <v>0.11600836526347293</v>
      </c>
      <c r="J559" s="21">
        <v>0</v>
      </c>
      <c r="K559" s="21">
        <v>0.31625000000000003</v>
      </c>
      <c r="L559" s="21">
        <v>5.0164352760146178</v>
      </c>
      <c r="M559" s="17" t="s">
        <v>122</v>
      </c>
      <c r="N559" s="17" t="s">
        <v>117</v>
      </c>
      <c r="O559" s="21">
        <v>4.4000000000000004</v>
      </c>
      <c r="P559" s="21">
        <v>7.4953903749118425</v>
      </c>
      <c r="Q559" s="21">
        <v>37.403627300121819</v>
      </c>
    </row>
    <row r="560" spans="1:17" ht="16.5" x14ac:dyDescent="0.25">
      <c r="A560" s="2"/>
      <c r="B560" s="4"/>
      <c r="C560" s="18"/>
      <c r="E560" s="20">
        <v>44270</v>
      </c>
      <c r="F560" s="17" t="s">
        <v>90</v>
      </c>
      <c r="G560" s="21">
        <v>25.928194444444447</v>
      </c>
      <c r="H560" s="21">
        <v>41.799442921883674</v>
      </c>
      <c r="I560" s="25">
        <v>0.20039999999999986</v>
      </c>
      <c r="J560" s="21">
        <v>0</v>
      </c>
      <c r="K560" s="21">
        <v>0.31625000000000003</v>
      </c>
      <c r="L560" s="21">
        <v>5.0159331506260409</v>
      </c>
      <c r="M560" s="17" t="s">
        <v>122</v>
      </c>
      <c r="N560" s="17" t="s">
        <v>117</v>
      </c>
      <c r="O560" s="21">
        <v>0</v>
      </c>
      <c r="P560" s="21">
        <v>7.494640115893743</v>
      </c>
      <c r="Q560" s="21">
        <v>41.799442921883674</v>
      </c>
    </row>
    <row r="561" spans="1:17" ht="16.5" x14ac:dyDescent="0.25">
      <c r="A561" s="2"/>
      <c r="B561" s="4"/>
      <c r="C561" s="18"/>
      <c r="E561" s="20">
        <v>44270</v>
      </c>
      <c r="F561" s="17" t="s">
        <v>90</v>
      </c>
      <c r="G561" s="21">
        <v>25.928194444444447</v>
      </c>
      <c r="H561" s="21">
        <v>33.000120204205736</v>
      </c>
      <c r="I561" s="25">
        <v>0.21429999999999999</v>
      </c>
      <c r="J561" s="21">
        <v>0</v>
      </c>
      <c r="K561" s="21">
        <v>0.31625000000000003</v>
      </c>
      <c r="L561" s="21">
        <v>0</v>
      </c>
      <c r="M561" s="17" t="s">
        <v>113</v>
      </c>
      <c r="N561" s="17" t="s">
        <v>115</v>
      </c>
      <c r="O561" s="21">
        <v>0</v>
      </c>
      <c r="P561" s="21">
        <v>0</v>
      </c>
      <c r="Q561" s="21">
        <v>33.000120204205736</v>
      </c>
    </row>
    <row r="562" spans="1:17" ht="16.5" x14ac:dyDescent="0.25">
      <c r="A562" s="2"/>
      <c r="B562" s="4"/>
      <c r="C562" s="18"/>
      <c r="E562" s="20">
        <v>44270</v>
      </c>
      <c r="F562" s="17" t="s">
        <v>89</v>
      </c>
      <c r="G562" s="21">
        <v>12.042916666666667</v>
      </c>
      <c r="H562" s="21">
        <v>14.997405562474057</v>
      </c>
      <c r="I562" s="25">
        <v>0.19700000000000009</v>
      </c>
      <c r="J562" s="21">
        <v>0</v>
      </c>
      <c r="K562" s="21">
        <v>0.14375000000000002</v>
      </c>
      <c r="L562" s="21">
        <v>0</v>
      </c>
      <c r="M562" s="17" t="s">
        <v>113</v>
      </c>
      <c r="N562" s="17" t="s">
        <v>115</v>
      </c>
      <c r="O562" s="21">
        <v>0</v>
      </c>
      <c r="P562" s="21">
        <v>0</v>
      </c>
      <c r="Q562" s="21">
        <v>14.997405562474057</v>
      </c>
    </row>
    <row r="563" spans="1:17" ht="16.5" x14ac:dyDescent="0.25">
      <c r="A563" s="2"/>
      <c r="B563" s="4"/>
      <c r="C563" s="18"/>
      <c r="E563" s="20">
        <v>44270</v>
      </c>
      <c r="F563" s="17" t="s">
        <v>89</v>
      </c>
      <c r="G563" s="21">
        <v>12.042916666666667</v>
      </c>
      <c r="H563" s="21">
        <v>19.004965640591173</v>
      </c>
      <c r="I563" s="25">
        <v>9.9661552315382707E-2</v>
      </c>
      <c r="J563" s="21">
        <v>0</v>
      </c>
      <c r="K563" s="21">
        <v>0.14375000000000002</v>
      </c>
      <c r="L563" s="21">
        <v>2.2805958768709407</v>
      </c>
      <c r="M563" s="17" t="s">
        <v>122</v>
      </c>
      <c r="N563" s="17" t="s">
        <v>117</v>
      </c>
      <c r="O563" s="21">
        <v>2</v>
      </c>
      <c r="P563" s="21">
        <v>3.4075903393579976</v>
      </c>
      <c r="Q563" s="21">
        <v>17.004965640591173</v>
      </c>
    </row>
    <row r="564" spans="1:17" ht="16.5" x14ac:dyDescent="0.25">
      <c r="A564" s="2"/>
      <c r="B564" s="4"/>
      <c r="C564" s="18"/>
      <c r="E564" s="20">
        <v>44270</v>
      </c>
      <c r="F564" s="17" t="s">
        <v>89</v>
      </c>
      <c r="G564" s="21">
        <v>12.042916666666667</v>
      </c>
      <c r="H564" s="21">
        <v>18.003875968992251</v>
      </c>
      <c r="I564" s="25">
        <v>0.22000592034445651</v>
      </c>
      <c r="J564" s="21">
        <v>0</v>
      </c>
      <c r="K564" s="21">
        <v>0.14375000000000002</v>
      </c>
      <c r="L564" s="21">
        <v>0</v>
      </c>
      <c r="M564" s="17" t="s">
        <v>113</v>
      </c>
      <c r="N564" s="17" t="s">
        <v>115</v>
      </c>
      <c r="O564" s="21">
        <v>2</v>
      </c>
      <c r="P564" s="21">
        <v>0</v>
      </c>
      <c r="Q564" s="21">
        <v>16.003875968992251</v>
      </c>
    </row>
    <row r="565" spans="1:17" ht="16.5" x14ac:dyDescent="0.25">
      <c r="A565" s="2"/>
      <c r="B565" s="4"/>
      <c r="C565" s="18"/>
      <c r="E565" s="20">
        <v>44270</v>
      </c>
      <c r="F565" s="17" t="s">
        <v>92</v>
      </c>
      <c r="G565" s="21">
        <v>4.7275</v>
      </c>
      <c r="H565" s="21">
        <v>9.5032165227695948</v>
      </c>
      <c r="I565" s="25">
        <v>0.20152986239711754</v>
      </c>
      <c r="J565" s="21">
        <v>0</v>
      </c>
      <c r="K565" s="21">
        <v>5.3749999999999999E-2</v>
      </c>
      <c r="L565" s="21">
        <v>1.1403859827323513</v>
      </c>
      <c r="M565" s="17" t="s">
        <v>122</v>
      </c>
      <c r="N565" s="17" t="s">
        <v>117</v>
      </c>
      <c r="O565" s="21">
        <v>1.5</v>
      </c>
      <c r="P565" s="21">
        <v>1.7039267225325885</v>
      </c>
      <c r="Q565" s="21">
        <v>8.0032165227695948</v>
      </c>
    </row>
    <row r="566" spans="1:17" ht="16.5" x14ac:dyDescent="0.25">
      <c r="A566" s="2"/>
      <c r="B566" s="4"/>
      <c r="C566" s="18"/>
      <c r="E566" s="20">
        <v>44270</v>
      </c>
      <c r="F566" s="17" t="s">
        <v>92</v>
      </c>
      <c r="G566" s="21">
        <v>4.78125</v>
      </c>
      <c r="H566" s="21">
        <v>8.5006798096532954</v>
      </c>
      <c r="I566" s="25">
        <v>0.15584093430068854</v>
      </c>
      <c r="J566" s="21">
        <v>0</v>
      </c>
      <c r="K566" s="21">
        <v>5.3749999999999999E-2</v>
      </c>
      <c r="L566" s="21">
        <v>0.46753738953093127</v>
      </c>
      <c r="M566" s="17" t="s">
        <v>122</v>
      </c>
      <c r="N566" s="17" t="s">
        <v>116</v>
      </c>
      <c r="O566" s="21">
        <v>2</v>
      </c>
      <c r="P566" s="21">
        <v>0.46753738953093127</v>
      </c>
      <c r="Q566" s="21">
        <v>6.5006798096532963</v>
      </c>
    </row>
    <row r="567" spans="1:17" ht="16.5" x14ac:dyDescent="0.25">
      <c r="A567" s="2"/>
      <c r="B567" s="4"/>
      <c r="C567" s="18"/>
      <c r="E567" s="20">
        <v>44270</v>
      </c>
      <c r="F567" s="17" t="s">
        <v>93</v>
      </c>
      <c r="G567" s="21">
        <v>8.9222222222222243</v>
      </c>
      <c r="H567" s="21">
        <v>14.904232451263807</v>
      </c>
      <c r="I567" s="25">
        <v>0.15352177893642929</v>
      </c>
      <c r="J567" s="21">
        <v>0</v>
      </c>
      <c r="K567" s="21">
        <v>0.10375000000000001</v>
      </c>
      <c r="L567" s="21">
        <v>0.8197327848195094</v>
      </c>
      <c r="M567" s="17" t="s">
        <v>122</v>
      </c>
      <c r="N567" s="17" t="s">
        <v>116</v>
      </c>
      <c r="O567" s="21">
        <v>3</v>
      </c>
      <c r="P567" s="21">
        <v>0.8197327848195094</v>
      </c>
      <c r="Q567" s="21">
        <v>11.904232451263807</v>
      </c>
    </row>
    <row r="568" spans="1:17" ht="16.5" x14ac:dyDescent="0.25">
      <c r="A568" s="2"/>
      <c r="B568" s="4"/>
      <c r="C568" s="18"/>
      <c r="E568" s="20">
        <v>44270</v>
      </c>
      <c r="F568" s="17" t="s">
        <v>93</v>
      </c>
      <c r="G568" s="21">
        <v>8.9222222222222243</v>
      </c>
      <c r="H568" s="21">
        <v>15.000298886647242</v>
      </c>
      <c r="I568" s="25">
        <v>0.15894288060525505</v>
      </c>
      <c r="J568" s="21">
        <v>0</v>
      </c>
      <c r="K568" s="21">
        <v>0.10375000000000001</v>
      </c>
      <c r="L568" s="21">
        <v>0.82501643876559827</v>
      </c>
      <c r="M568" s="17" t="s">
        <v>122</v>
      </c>
      <c r="N568" s="17" t="s">
        <v>116</v>
      </c>
      <c r="O568" s="21">
        <v>3</v>
      </c>
      <c r="P568" s="21">
        <v>0.82501643876559827</v>
      </c>
      <c r="Q568" s="21">
        <v>12.000298886647242</v>
      </c>
    </row>
    <row r="569" spans="1:17" ht="16.5" x14ac:dyDescent="0.25">
      <c r="A569" s="2"/>
      <c r="B569" s="4"/>
      <c r="C569" s="18"/>
      <c r="E569" s="20">
        <v>44270</v>
      </c>
      <c r="F569" s="17" t="s">
        <v>93</v>
      </c>
      <c r="G569" s="21">
        <v>8.8184722222222245</v>
      </c>
      <c r="H569" s="21">
        <v>16.296107982199977</v>
      </c>
      <c r="I569" s="25">
        <v>0.15370946800056129</v>
      </c>
      <c r="J569" s="21">
        <v>0</v>
      </c>
      <c r="K569" s="21">
        <v>0.10375000000000001</v>
      </c>
      <c r="L569" s="21">
        <v>1.9555329578639973</v>
      </c>
      <c r="M569" s="17" t="s">
        <v>122</v>
      </c>
      <c r="N569" s="17" t="s">
        <v>117</v>
      </c>
      <c r="O569" s="21">
        <v>2.5</v>
      </c>
      <c r="P569" s="21">
        <v>2.9218921612084561</v>
      </c>
      <c r="Q569" s="21">
        <v>13.796107982199976</v>
      </c>
    </row>
    <row r="570" spans="1:17" ht="16.5" x14ac:dyDescent="0.25">
      <c r="A570" s="2"/>
      <c r="B570" s="4"/>
      <c r="C570" s="18"/>
      <c r="E570" s="20">
        <v>44270</v>
      </c>
      <c r="F570" s="17" t="s">
        <v>93</v>
      </c>
      <c r="G570" s="21">
        <v>8.8184722222222245</v>
      </c>
      <c r="H570" s="21">
        <v>9.7983024691358054</v>
      </c>
      <c r="I570" s="25">
        <v>0.10000000000000003</v>
      </c>
      <c r="J570" s="21">
        <v>0</v>
      </c>
      <c r="K570" s="21">
        <v>0.10375000000000001</v>
      </c>
      <c r="L570" s="21">
        <v>0</v>
      </c>
      <c r="M570" s="17" t="s">
        <v>113</v>
      </c>
      <c r="N570" s="17" t="s">
        <v>115</v>
      </c>
      <c r="O570" s="21">
        <v>0</v>
      </c>
      <c r="P570" s="21">
        <v>0</v>
      </c>
      <c r="Q570" s="21">
        <v>9.7983024691358054</v>
      </c>
    </row>
    <row r="571" spans="1:17" ht="16.5" x14ac:dyDescent="0.25">
      <c r="A571" s="2"/>
      <c r="B571" s="4"/>
      <c r="C571" s="18"/>
      <c r="E571" s="20">
        <v>44270</v>
      </c>
      <c r="F571" s="17" t="s">
        <v>92</v>
      </c>
      <c r="G571" s="21">
        <v>4.7275</v>
      </c>
      <c r="H571" s="21">
        <v>5.8006134969325158</v>
      </c>
      <c r="I571" s="25">
        <v>0.18500000000000005</v>
      </c>
      <c r="J571" s="21">
        <v>0</v>
      </c>
      <c r="K571" s="21">
        <v>5.3749999999999999E-2</v>
      </c>
      <c r="L571" s="21">
        <v>0</v>
      </c>
      <c r="M571" s="17" t="s">
        <v>113</v>
      </c>
      <c r="N571" s="17" t="s">
        <v>115</v>
      </c>
      <c r="O571" s="21">
        <v>0</v>
      </c>
      <c r="P571" s="21">
        <v>0</v>
      </c>
      <c r="Q571" s="21">
        <v>5.8006134969325158</v>
      </c>
    </row>
    <row r="572" spans="1:17" ht="16.5" x14ac:dyDescent="0.25">
      <c r="A572" s="2"/>
      <c r="B572" s="4"/>
      <c r="C572" s="18"/>
      <c r="E572" s="20">
        <v>44270</v>
      </c>
      <c r="F572" s="17" t="s">
        <v>88</v>
      </c>
      <c r="G572" s="21">
        <v>4.5352810724637687</v>
      </c>
      <c r="H572" s="21">
        <v>6.903015330995081</v>
      </c>
      <c r="I572" s="25">
        <v>0.34299999999999992</v>
      </c>
      <c r="J572" s="21">
        <v>0</v>
      </c>
      <c r="K572" s="21">
        <v>0.30922916666666667</v>
      </c>
      <c r="L572" s="21">
        <v>0</v>
      </c>
      <c r="M572" s="17" t="s">
        <v>113</v>
      </c>
      <c r="N572" s="17" t="s">
        <v>115</v>
      </c>
      <c r="O572" s="21">
        <v>0</v>
      </c>
      <c r="P572" s="21">
        <v>0</v>
      </c>
      <c r="Q572" s="21">
        <v>6.903015330995081</v>
      </c>
    </row>
    <row r="573" spans="1:17" ht="16.5" x14ac:dyDescent="0.25">
      <c r="A573" s="2"/>
      <c r="B573" s="4"/>
      <c r="C573" s="18"/>
      <c r="E573" s="20">
        <v>44270</v>
      </c>
      <c r="F573" s="17" t="s">
        <v>86</v>
      </c>
      <c r="G573" s="21">
        <v>6.1416789891304369</v>
      </c>
      <c r="H573" s="21">
        <v>7.8952037397228905</v>
      </c>
      <c r="I573" s="25">
        <v>0.22209999999999996</v>
      </c>
      <c r="J573" s="21">
        <v>0</v>
      </c>
      <c r="K573" s="21">
        <v>0.57637291666666668</v>
      </c>
      <c r="L573" s="21">
        <v>0</v>
      </c>
      <c r="M573" s="17" t="s">
        <v>113</v>
      </c>
      <c r="N573" s="17" t="s">
        <v>115</v>
      </c>
      <c r="O573" s="21">
        <v>0</v>
      </c>
      <c r="P573" s="21">
        <v>0</v>
      </c>
      <c r="Q573" s="21">
        <v>7.8952037397228905</v>
      </c>
    </row>
    <row r="574" spans="1:17" ht="16.5" x14ac:dyDescent="0.25">
      <c r="A574" s="2"/>
      <c r="B574" s="4"/>
      <c r="C574" s="18"/>
      <c r="E574" s="20">
        <v>44270</v>
      </c>
      <c r="F574" s="17" t="s">
        <v>88</v>
      </c>
      <c r="G574" s="21">
        <v>4.5352810724637687</v>
      </c>
      <c r="H574" s="21">
        <v>8.9038917487069273</v>
      </c>
      <c r="I574" s="25">
        <v>0.26021368925477723</v>
      </c>
      <c r="J574" s="21">
        <v>0</v>
      </c>
      <c r="K574" s="21">
        <v>0.30922916666666667</v>
      </c>
      <c r="L574" s="21">
        <v>0.62327242240948499</v>
      </c>
      <c r="M574" s="17" t="s">
        <v>122</v>
      </c>
      <c r="N574" s="17" t="s">
        <v>117</v>
      </c>
      <c r="O574" s="21">
        <v>1.2</v>
      </c>
      <c r="P574" s="21">
        <v>1.1512732031078057</v>
      </c>
      <c r="Q574" s="21">
        <v>7.7038917487069281</v>
      </c>
    </row>
    <row r="575" spans="1:17" ht="16.5" x14ac:dyDescent="0.25">
      <c r="A575" s="2"/>
      <c r="B575" s="4"/>
      <c r="C575" s="18"/>
      <c r="E575" s="20">
        <v>44270</v>
      </c>
      <c r="F575" s="17" t="s">
        <v>86</v>
      </c>
      <c r="G575" s="21">
        <v>6.1416789891304369</v>
      </c>
      <c r="H575" s="21">
        <v>9.9993825106838941</v>
      </c>
      <c r="I575" s="25">
        <v>0.13378377070078798</v>
      </c>
      <c r="J575" s="21">
        <v>0</v>
      </c>
      <c r="K575" s="21">
        <v>0.57637291666666668</v>
      </c>
      <c r="L575" s="21">
        <v>0.69995677574787263</v>
      </c>
      <c r="M575" s="17" t="s">
        <v>122</v>
      </c>
      <c r="N575" s="17" t="s">
        <v>117</v>
      </c>
      <c r="O575" s="21">
        <v>1.4</v>
      </c>
      <c r="P575" s="21">
        <v>1.2929201586314274</v>
      </c>
      <c r="Q575" s="21">
        <v>8.5993825106838937</v>
      </c>
    </row>
    <row r="576" spans="1:17" ht="16.5" x14ac:dyDescent="0.25">
      <c r="A576" s="2"/>
      <c r="B576" s="4"/>
      <c r="C576" s="18"/>
      <c r="E576" s="20">
        <v>44265</v>
      </c>
      <c r="F576" s="17" t="s">
        <v>86</v>
      </c>
      <c r="G576" s="21">
        <v>6.1416789891304351</v>
      </c>
      <c r="H576" s="21">
        <v>10.202750450237115</v>
      </c>
      <c r="I576" s="25">
        <v>0.15104976290743341</v>
      </c>
      <c r="J576" s="21">
        <v>0</v>
      </c>
      <c r="K576" s="21">
        <v>0.57637291666666668</v>
      </c>
      <c r="L576" s="21">
        <v>0.71419253151659812</v>
      </c>
      <c r="M576" s="17" t="s">
        <v>122</v>
      </c>
      <c r="N576" s="17" t="s">
        <v>117</v>
      </c>
      <c r="O576" s="21">
        <v>1.4</v>
      </c>
      <c r="P576" s="21">
        <v>1.319215633215659</v>
      </c>
      <c r="Q576" s="21">
        <v>8.8027504502371148</v>
      </c>
    </row>
    <row r="577" spans="1:17" ht="16.5" x14ac:dyDescent="0.25">
      <c r="A577" s="2"/>
      <c r="B577" s="4"/>
      <c r="C577" s="18"/>
      <c r="E577" s="20"/>
      <c r="F577" s="17"/>
      <c r="G577" s="21"/>
      <c r="H577" s="21"/>
      <c r="I577" s="25"/>
      <c r="J577" s="21"/>
      <c r="K577" s="21"/>
      <c r="L577" s="21"/>
      <c r="M577" s="17"/>
      <c r="N577" s="17"/>
      <c r="O577" s="21"/>
      <c r="P577" s="21"/>
      <c r="Q577" s="21"/>
    </row>
    <row r="578" spans="1:17" ht="16.5" x14ac:dyDescent="0.25">
      <c r="A578" s="2"/>
      <c r="B578" s="4"/>
      <c r="C578" s="18"/>
      <c r="E578" s="20"/>
      <c r="F578" s="17"/>
      <c r="G578" s="21"/>
      <c r="H578" s="21"/>
      <c r="I578" s="25"/>
      <c r="J578" s="21"/>
      <c r="K578" s="21"/>
      <c r="L578" s="21"/>
      <c r="M578" s="17"/>
      <c r="N578" s="17"/>
      <c r="O578" s="21"/>
      <c r="P578" s="21"/>
      <c r="Q578" s="21"/>
    </row>
    <row r="579" spans="1:17" ht="16.5" x14ac:dyDescent="0.25">
      <c r="A579" s="2"/>
      <c r="B579" s="4"/>
      <c r="C579" s="18"/>
      <c r="E579" s="20"/>
      <c r="F579" s="17"/>
      <c r="G579" s="21"/>
      <c r="H579" s="21"/>
      <c r="I579" s="25"/>
      <c r="J579" s="21"/>
      <c r="K579" s="21"/>
      <c r="L579" s="21"/>
      <c r="M579" s="17"/>
      <c r="N579" s="17"/>
      <c r="O579" s="21"/>
      <c r="P579" s="21"/>
      <c r="Q579" s="21"/>
    </row>
    <row r="580" spans="1:17" ht="16.5" x14ac:dyDescent="0.25">
      <c r="A580" s="2"/>
      <c r="B580" s="4"/>
      <c r="C580" s="18"/>
      <c r="E580" s="20"/>
      <c r="F580" s="17"/>
      <c r="G580" s="21"/>
      <c r="H580" s="21"/>
      <c r="I580" s="25"/>
      <c r="J580" s="21"/>
      <c r="K580" s="21"/>
      <c r="L580" s="21"/>
      <c r="M580" s="17"/>
      <c r="N580" s="17"/>
      <c r="O580" s="21"/>
      <c r="P580" s="21"/>
      <c r="Q580" s="21"/>
    </row>
    <row r="581" spans="1:17" ht="16.5" x14ac:dyDescent="0.25">
      <c r="A581" s="2"/>
      <c r="B581" s="4"/>
      <c r="C581" s="18"/>
      <c r="E581" s="20"/>
      <c r="F581" s="17"/>
      <c r="G581" s="21"/>
      <c r="H581" s="21"/>
      <c r="I581" s="25"/>
      <c r="J581" s="21"/>
      <c r="K581" s="21"/>
      <c r="L581" s="21"/>
      <c r="M581" s="17"/>
      <c r="N581" s="17"/>
      <c r="O581" s="21"/>
      <c r="P581" s="21"/>
    </row>
    <row r="582" spans="1:17" ht="16.5" x14ac:dyDescent="0.25">
      <c r="A582" s="2"/>
      <c r="B582" s="4"/>
      <c r="C582" s="18"/>
      <c r="E582" s="20"/>
      <c r="F582" s="17"/>
      <c r="G582" s="21"/>
      <c r="H582" s="21"/>
      <c r="I582" s="25"/>
      <c r="J582" s="21"/>
      <c r="K582" s="21"/>
      <c r="L582" s="21"/>
      <c r="M582" s="17"/>
      <c r="N582" s="17"/>
      <c r="O582" s="21"/>
      <c r="P582" s="21"/>
    </row>
    <row r="583" spans="1:17" ht="16.5" x14ac:dyDescent="0.25">
      <c r="A583" s="2"/>
      <c r="B583" s="4"/>
      <c r="C583" s="18"/>
      <c r="E583" s="20"/>
      <c r="F583" s="17"/>
      <c r="G583" s="21"/>
      <c r="H583" s="21"/>
      <c r="I583" s="25"/>
      <c r="J583" s="21"/>
      <c r="K583" s="21"/>
      <c r="L583" s="21"/>
      <c r="M583" s="17"/>
      <c r="N583" s="17"/>
      <c r="O583" s="21"/>
      <c r="P583" s="21"/>
    </row>
    <row r="584" spans="1:17" ht="16.5" x14ac:dyDescent="0.25">
      <c r="A584" s="2"/>
      <c r="B584" s="4"/>
      <c r="C584" s="18"/>
      <c r="E584" s="20"/>
      <c r="F584" s="17"/>
      <c r="G584" s="21"/>
      <c r="H584" s="21"/>
      <c r="I584" s="25"/>
      <c r="J584" s="21"/>
      <c r="K584" s="21"/>
      <c r="L584" s="21"/>
      <c r="M584" s="17"/>
      <c r="N584" s="17"/>
      <c r="O584" s="21"/>
      <c r="P584" s="21"/>
    </row>
    <row r="585" spans="1:17" ht="16.5" x14ac:dyDescent="0.25">
      <c r="A585" s="2"/>
      <c r="B585" s="4"/>
      <c r="C585" s="18"/>
      <c r="E585" s="20"/>
      <c r="F585" s="17"/>
      <c r="G585" s="21"/>
      <c r="H585" s="21"/>
      <c r="I585" s="25"/>
      <c r="J585" s="21"/>
      <c r="K585" s="21"/>
      <c r="L585" s="21"/>
      <c r="M585" s="17"/>
      <c r="N585" s="17"/>
      <c r="O585" s="21"/>
      <c r="P585" s="21"/>
    </row>
    <row r="586" spans="1:17" ht="16.5" x14ac:dyDescent="0.25">
      <c r="A586" s="2"/>
      <c r="B586" s="4"/>
      <c r="C586" s="18"/>
      <c r="E586" s="20"/>
      <c r="F586" s="17"/>
      <c r="G586" s="21"/>
      <c r="H586" s="21"/>
      <c r="I586" s="25"/>
      <c r="J586" s="21"/>
      <c r="K586" s="21"/>
      <c r="L586" s="21"/>
      <c r="M586" s="17"/>
      <c r="N586" s="17"/>
      <c r="O586" s="21"/>
      <c r="P586" s="21"/>
    </row>
    <row r="587" spans="1:17" ht="16.5" x14ac:dyDescent="0.25">
      <c r="A587" s="2"/>
      <c r="B587" s="4"/>
      <c r="C587" s="18"/>
      <c r="E587" s="20"/>
      <c r="F587" s="17"/>
      <c r="G587" s="21"/>
      <c r="H587" s="21"/>
      <c r="I587" s="25"/>
      <c r="J587" s="21"/>
      <c r="K587" s="21"/>
      <c r="L587" s="21"/>
      <c r="M587" s="17"/>
      <c r="N587" s="17"/>
      <c r="O587" s="21"/>
      <c r="P587" s="21"/>
    </row>
    <row r="588" spans="1:17" ht="16.5" x14ac:dyDescent="0.25">
      <c r="A588" s="2"/>
      <c r="B588" s="4"/>
      <c r="C588" s="18"/>
      <c r="E588" s="20"/>
      <c r="F588" s="17"/>
      <c r="G588" s="21"/>
      <c r="H588" s="21"/>
      <c r="I588" s="25"/>
      <c r="J588" s="21"/>
      <c r="K588" s="21"/>
      <c r="L588" s="21"/>
      <c r="M588" s="17"/>
      <c r="N588" s="17"/>
      <c r="O588" s="21"/>
      <c r="P588" s="21"/>
    </row>
    <row r="589" spans="1:17" ht="16.5" x14ac:dyDescent="0.25">
      <c r="A589" s="2"/>
      <c r="B589" s="4"/>
      <c r="C589" s="18"/>
      <c r="E589" s="20"/>
      <c r="F589" s="17"/>
      <c r="G589" s="21"/>
      <c r="H589" s="21"/>
      <c r="I589" s="25"/>
      <c r="J589" s="21"/>
      <c r="K589" s="21"/>
      <c r="L589" s="21"/>
      <c r="M589" s="17"/>
      <c r="N589" s="17"/>
      <c r="O589" s="21"/>
      <c r="P589" s="21"/>
    </row>
    <row r="590" spans="1:17" ht="16.5" x14ac:dyDescent="0.25">
      <c r="A590" s="2"/>
      <c r="B590" s="4"/>
      <c r="C590" s="18"/>
      <c r="E590" s="20"/>
      <c r="F590" s="17"/>
      <c r="G590" s="21"/>
      <c r="H590" s="21"/>
      <c r="I590" s="25"/>
      <c r="J590" s="21"/>
      <c r="K590" s="21"/>
      <c r="L590" s="21"/>
      <c r="M590" s="17"/>
      <c r="N590" s="17"/>
      <c r="O590" s="21"/>
      <c r="P590" s="21"/>
    </row>
    <row r="591" spans="1:17" ht="16.5" x14ac:dyDescent="0.25">
      <c r="A591" s="2"/>
      <c r="B591" s="4"/>
      <c r="C591" s="18"/>
      <c r="E591" s="20"/>
      <c r="F591" s="17"/>
      <c r="G591" s="21"/>
      <c r="H591" s="21"/>
      <c r="I591" s="25"/>
      <c r="J591" s="21"/>
      <c r="K591" s="21"/>
      <c r="L591" s="21"/>
      <c r="M591" s="17"/>
      <c r="N591" s="17"/>
      <c r="O591" s="21"/>
      <c r="P591" s="21"/>
    </row>
    <row r="592" spans="1:17" ht="16.5" x14ac:dyDescent="0.25">
      <c r="A592" s="2"/>
      <c r="B592" s="4"/>
      <c r="C592" s="18"/>
      <c r="E592" s="20"/>
      <c r="F592" s="17"/>
      <c r="G592" s="21"/>
      <c r="H592" s="21"/>
      <c r="I592" s="25"/>
      <c r="J592" s="21"/>
      <c r="K592" s="21"/>
      <c r="L592" s="21"/>
      <c r="M592" s="17"/>
      <c r="N592" s="17"/>
      <c r="O592" s="21"/>
      <c r="P592" s="21"/>
    </row>
    <row r="593" spans="1:16" ht="16.5" x14ac:dyDescent="0.25">
      <c r="A593" s="2"/>
      <c r="B593" s="4"/>
      <c r="C593" s="18"/>
      <c r="E593" s="20"/>
      <c r="F593" s="17"/>
      <c r="G593" s="21"/>
      <c r="H593" s="21"/>
      <c r="I593" s="25"/>
      <c r="J593" s="21"/>
      <c r="K593" s="21"/>
      <c r="L593" s="21"/>
      <c r="M593" s="17"/>
      <c r="N593" s="17"/>
      <c r="O593" s="21"/>
      <c r="P593" s="21"/>
    </row>
    <row r="594" spans="1:16" ht="16.5" x14ac:dyDescent="0.25">
      <c r="A594" s="2"/>
      <c r="B594" s="4"/>
      <c r="C594" s="18"/>
      <c r="E594" s="20"/>
      <c r="F594" s="17"/>
      <c r="G594" s="21"/>
      <c r="H594" s="21"/>
      <c r="I594" s="25"/>
      <c r="J594" s="21"/>
      <c r="K594" s="21"/>
      <c r="L594" s="21"/>
      <c r="M594" s="17"/>
      <c r="N594" s="17"/>
      <c r="O594" s="21"/>
      <c r="P594" s="21"/>
    </row>
    <row r="595" spans="1:16" ht="16.5" x14ac:dyDescent="0.25">
      <c r="A595" s="2"/>
      <c r="B595" s="4"/>
      <c r="C595" s="18"/>
      <c r="E595" s="20"/>
      <c r="F595" s="17"/>
      <c r="G595" s="21"/>
      <c r="H595" s="21"/>
      <c r="I595" s="25"/>
      <c r="J595" s="21"/>
      <c r="K595" s="21"/>
      <c r="L595" s="21"/>
      <c r="M595" s="17"/>
      <c r="N595" s="17"/>
      <c r="O595" s="21"/>
      <c r="P595" s="21"/>
    </row>
    <row r="596" spans="1:16" ht="16.5" x14ac:dyDescent="0.25">
      <c r="A596" s="2"/>
      <c r="B596" s="4"/>
      <c r="C596" s="18"/>
      <c r="E596" s="20"/>
      <c r="F596" s="17"/>
      <c r="G596" s="21"/>
      <c r="H596" s="21"/>
      <c r="I596" s="25"/>
      <c r="J596" s="21"/>
      <c r="K596" s="21"/>
      <c r="L596" s="21"/>
      <c r="M596" s="17"/>
      <c r="N596" s="17"/>
      <c r="O596" s="21"/>
      <c r="P596" s="21"/>
    </row>
    <row r="597" spans="1:16" ht="16.5" x14ac:dyDescent="0.25">
      <c r="A597" s="2"/>
      <c r="B597" s="4"/>
      <c r="C597" s="18"/>
      <c r="E597" s="20"/>
      <c r="F597" s="17"/>
      <c r="G597" s="21"/>
      <c r="H597" s="21"/>
      <c r="I597" s="25"/>
      <c r="J597" s="21"/>
      <c r="K597" s="21"/>
      <c r="L597" s="21"/>
      <c r="M597" s="17"/>
      <c r="N597" s="17"/>
      <c r="O597" s="21"/>
      <c r="P597" s="21"/>
    </row>
    <row r="598" spans="1:16" ht="16.5" x14ac:dyDescent="0.25">
      <c r="A598" s="2"/>
      <c r="B598" s="4"/>
      <c r="C598" s="18"/>
      <c r="E598" s="20"/>
      <c r="F598" s="17"/>
      <c r="G598" s="21"/>
      <c r="H598" s="21"/>
      <c r="I598" s="25"/>
      <c r="J598" s="21"/>
      <c r="K598" s="21"/>
      <c r="L598" s="21"/>
      <c r="M598" s="17"/>
      <c r="N598" s="17"/>
      <c r="O598" s="21"/>
      <c r="P598" s="21"/>
    </row>
    <row r="599" spans="1:16" ht="16.5" x14ac:dyDescent="0.25">
      <c r="A599" s="2"/>
      <c r="B599" s="4"/>
      <c r="C599" s="18"/>
      <c r="E599" s="20"/>
      <c r="F599" s="17"/>
      <c r="G599" s="21"/>
      <c r="H599" s="21"/>
      <c r="I599" s="25"/>
      <c r="J599" s="21"/>
      <c r="K599" s="21"/>
      <c r="L599" s="21"/>
      <c r="M599" s="17"/>
      <c r="N599" s="17"/>
      <c r="O599" s="21"/>
      <c r="P599" s="21"/>
    </row>
    <row r="600" spans="1:16" ht="16.5" x14ac:dyDescent="0.25">
      <c r="A600" s="2"/>
      <c r="B600" s="4"/>
      <c r="C600" s="18"/>
      <c r="E600" s="20"/>
      <c r="F600" s="17"/>
      <c r="G600" s="21"/>
      <c r="H600" s="21"/>
      <c r="I600" s="25"/>
      <c r="J600" s="21"/>
      <c r="K600" s="21"/>
      <c r="L600" s="21"/>
      <c r="M600" s="17"/>
      <c r="N600" s="17"/>
      <c r="O600" s="21"/>
      <c r="P600" s="21"/>
    </row>
    <row r="601" spans="1:16" ht="16.5" x14ac:dyDescent="0.25">
      <c r="A601" s="2"/>
      <c r="B601" s="4"/>
      <c r="C601" s="18"/>
      <c r="E601" s="20"/>
      <c r="F601" s="17"/>
      <c r="G601" s="21"/>
      <c r="H601" s="21"/>
      <c r="I601" s="25"/>
      <c r="J601" s="21"/>
      <c r="K601" s="21"/>
      <c r="L601" s="21"/>
      <c r="M601" s="17"/>
      <c r="N601" s="17"/>
      <c r="O601" s="21"/>
      <c r="P601" s="21"/>
    </row>
    <row r="602" spans="1:16" ht="16.5" x14ac:dyDescent="0.25">
      <c r="A602" s="2"/>
      <c r="B602" s="4"/>
      <c r="C602" s="18"/>
      <c r="E602" s="20"/>
      <c r="F602" s="17"/>
      <c r="G602" s="21"/>
      <c r="H602" s="21"/>
      <c r="I602" s="25"/>
      <c r="J602" s="21"/>
      <c r="K602" s="21"/>
      <c r="L602" s="21"/>
      <c r="M602" s="17"/>
      <c r="N602" s="17"/>
      <c r="O602" s="21"/>
      <c r="P602" s="21"/>
    </row>
    <row r="603" spans="1:16" ht="16.5" x14ac:dyDescent="0.25">
      <c r="A603" s="2"/>
      <c r="B603" s="4"/>
      <c r="C603" s="18"/>
      <c r="E603" s="20"/>
      <c r="F603" s="17"/>
      <c r="G603" s="21"/>
      <c r="H603" s="21"/>
      <c r="I603" s="25"/>
      <c r="J603" s="21"/>
      <c r="K603" s="21"/>
      <c r="L603" s="21"/>
      <c r="M603" s="17"/>
      <c r="N603" s="17"/>
      <c r="O603" s="21"/>
      <c r="P603" s="21"/>
    </row>
    <row r="604" spans="1:16" ht="16.5" x14ac:dyDescent="0.25">
      <c r="A604" s="2"/>
      <c r="B604" s="4"/>
      <c r="C604" s="18"/>
      <c r="E604" s="20"/>
      <c r="F604" s="17"/>
      <c r="G604" s="21"/>
      <c r="H604" s="21"/>
      <c r="I604" s="25"/>
      <c r="J604" s="21"/>
      <c r="K604" s="21"/>
      <c r="L604" s="21"/>
      <c r="M604" s="17"/>
      <c r="N604" s="17"/>
      <c r="O604" s="21"/>
      <c r="P604" s="21"/>
    </row>
    <row r="605" spans="1:16" ht="16.5" x14ac:dyDescent="0.25">
      <c r="A605" s="2"/>
      <c r="B605" s="4"/>
      <c r="C605" s="18"/>
      <c r="E605" s="20"/>
      <c r="F605" s="17"/>
      <c r="G605" s="21"/>
      <c r="H605" s="21"/>
      <c r="I605" s="25"/>
      <c r="J605" s="21"/>
      <c r="K605" s="21"/>
      <c r="L605" s="21"/>
      <c r="M605" s="17"/>
      <c r="N605" s="17"/>
      <c r="O605" s="21"/>
      <c r="P605" s="21"/>
    </row>
    <row r="606" spans="1:16" ht="16.5" x14ac:dyDescent="0.25">
      <c r="A606" s="2"/>
      <c r="B606" s="4"/>
      <c r="C606" s="18"/>
      <c r="E606" s="20"/>
      <c r="F606" s="17"/>
      <c r="G606" s="21"/>
      <c r="H606" s="21"/>
      <c r="I606" s="25"/>
      <c r="J606" s="21"/>
      <c r="K606" s="21"/>
      <c r="L606" s="21"/>
      <c r="M606" s="17"/>
      <c r="N606" s="17"/>
      <c r="O606" s="21"/>
      <c r="P606" s="21"/>
    </row>
    <row r="607" spans="1:16" ht="16.5" x14ac:dyDescent="0.25">
      <c r="A607" s="2"/>
      <c r="B607" s="4"/>
      <c r="C607" s="18"/>
      <c r="E607" s="20"/>
      <c r="F607" s="17"/>
      <c r="G607" s="21"/>
      <c r="H607" s="21"/>
      <c r="I607" s="25"/>
      <c r="J607" s="21"/>
      <c r="K607" s="21"/>
      <c r="L607" s="21"/>
      <c r="M607" s="17"/>
      <c r="N607" s="17"/>
      <c r="O607" s="21"/>
      <c r="P607" s="21"/>
    </row>
    <row r="608" spans="1:16" ht="16.5" x14ac:dyDescent="0.25">
      <c r="A608" s="2"/>
      <c r="B608" s="4"/>
      <c r="C608" s="18"/>
      <c r="E608" s="20"/>
      <c r="F608" s="17"/>
      <c r="G608" s="21"/>
      <c r="H608" s="21"/>
      <c r="I608" s="25"/>
      <c r="J608" s="21"/>
      <c r="K608" s="21"/>
      <c r="L608" s="21"/>
      <c r="M608" s="17"/>
      <c r="N608" s="17"/>
      <c r="O608" s="21"/>
      <c r="P608" s="21"/>
    </row>
    <row r="609" spans="1:16" ht="16.5" x14ac:dyDescent="0.25">
      <c r="A609" s="2"/>
      <c r="B609" s="4"/>
      <c r="C609" s="18"/>
      <c r="E609" s="20"/>
      <c r="F609" s="17"/>
      <c r="G609" s="21"/>
      <c r="H609" s="21"/>
      <c r="I609" s="25"/>
      <c r="J609" s="21"/>
      <c r="K609" s="21"/>
      <c r="L609" s="21"/>
      <c r="M609" s="17"/>
      <c r="N609" s="17"/>
      <c r="O609" s="21"/>
      <c r="P609" s="21"/>
    </row>
    <row r="610" spans="1:16" ht="16.5" x14ac:dyDescent="0.25">
      <c r="A610" s="2"/>
      <c r="B610" s="4"/>
      <c r="C610" s="18"/>
      <c r="E610" s="20"/>
      <c r="F610" s="17"/>
      <c r="G610" s="21"/>
      <c r="H610" s="21"/>
      <c r="I610" s="25"/>
      <c r="J610" s="21"/>
      <c r="K610" s="21"/>
      <c r="L610" s="21"/>
      <c r="M610" s="17"/>
      <c r="N610" s="17"/>
      <c r="O610" s="21"/>
      <c r="P610" s="21"/>
    </row>
    <row r="611" spans="1:16" ht="16.5" x14ac:dyDescent="0.25">
      <c r="A611" s="2"/>
      <c r="B611" s="4"/>
      <c r="C611" s="18"/>
      <c r="E611" s="20"/>
      <c r="F611" s="17"/>
      <c r="G611" s="21"/>
      <c r="H611" s="21"/>
      <c r="I611" s="25"/>
      <c r="J611" s="21"/>
      <c r="K611" s="21"/>
      <c r="L611" s="21"/>
      <c r="M611" s="17"/>
      <c r="N611" s="17"/>
      <c r="O611" s="21"/>
      <c r="P611" s="21"/>
    </row>
    <row r="612" spans="1:16" ht="16.5" x14ac:dyDescent="0.25">
      <c r="A612" s="2"/>
      <c r="B612" s="4"/>
      <c r="C612" s="18"/>
      <c r="E612" s="20"/>
      <c r="F612" s="17"/>
      <c r="G612" s="21"/>
      <c r="H612" s="21"/>
      <c r="I612" s="25"/>
      <c r="J612" s="21"/>
      <c r="K612" s="21"/>
      <c r="L612" s="21"/>
      <c r="M612" s="17"/>
      <c r="N612" s="17"/>
      <c r="O612" s="21"/>
      <c r="P612" s="21"/>
    </row>
    <row r="613" spans="1:16" ht="16.5" x14ac:dyDescent="0.25">
      <c r="A613" s="2"/>
      <c r="B613" s="4"/>
      <c r="C613" s="18"/>
      <c r="E613" s="20"/>
      <c r="F613" s="17"/>
      <c r="G613" s="21"/>
      <c r="H613" s="21"/>
      <c r="I613" s="25"/>
      <c r="J613" s="21"/>
      <c r="K613" s="21"/>
      <c r="L613" s="21"/>
      <c r="M613" s="17"/>
      <c r="N613" s="17"/>
      <c r="O613" s="21"/>
      <c r="P613" s="21"/>
    </row>
    <row r="614" spans="1:16" ht="16.5" x14ac:dyDescent="0.25">
      <c r="A614" s="2"/>
      <c r="B614" s="4"/>
      <c r="C614" s="18"/>
      <c r="E614" s="20"/>
      <c r="F614" s="17"/>
      <c r="G614" s="21"/>
      <c r="H614" s="21"/>
      <c r="I614" s="25"/>
      <c r="J614" s="21"/>
      <c r="K614" s="21"/>
      <c r="L614" s="21"/>
      <c r="M614" s="17"/>
      <c r="N614" s="17"/>
      <c r="O614" s="21"/>
      <c r="P614" s="21"/>
    </row>
    <row r="615" spans="1:16" ht="16.5" x14ac:dyDescent="0.25">
      <c r="A615" s="2"/>
      <c r="B615" s="4"/>
      <c r="C615" s="18"/>
      <c r="E615" s="20"/>
      <c r="F615" s="17"/>
      <c r="G615" s="21"/>
      <c r="H615" s="21"/>
      <c r="I615" s="25"/>
      <c r="J615" s="21"/>
      <c r="K615" s="21"/>
      <c r="L615" s="21"/>
      <c r="M615" s="17"/>
      <c r="N615" s="17"/>
      <c r="O615" s="21"/>
      <c r="P615" s="21"/>
    </row>
    <row r="616" spans="1:16" ht="16.5" x14ac:dyDescent="0.25">
      <c r="A616" s="2"/>
      <c r="B616" s="4"/>
      <c r="C616" s="18"/>
      <c r="E616" s="20"/>
      <c r="F616" s="17"/>
      <c r="G616" s="21"/>
      <c r="H616" s="21"/>
      <c r="I616" s="25"/>
      <c r="J616" s="21"/>
      <c r="K616" s="21"/>
      <c r="L616" s="21"/>
      <c r="M616" s="17"/>
      <c r="N616" s="17"/>
      <c r="O616" s="21"/>
      <c r="P616" s="21"/>
    </row>
    <row r="617" spans="1:16" ht="16.5" x14ac:dyDescent="0.25">
      <c r="A617" s="2"/>
      <c r="B617" s="4"/>
      <c r="C617" s="18"/>
      <c r="E617" s="20"/>
      <c r="F617" s="17"/>
      <c r="G617" s="21"/>
      <c r="H617" s="21"/>
      <c r="I617" s="25"/>
      <c r="J617" s="21"/>
      <c r="K617" s="21"/>
      <c r="L617" s="21"/>
      <c r="M617" s="17"/>
      <c r="N617" s="17"/>
      <c r="O617" s="21"/>
      <c r="P617" s="21"/>
    </row>
    <row r="618" spans="1:16" ht="16.5" x14ac:dyDescent="0.25">
      <c r="A618" s="2"/>
      <c r="B618" s="4"/>
      <c r="C618" s="18"/>
      <c r="E618" s="20"/>
      <c r="F618" s="17"/>
      <c r="G618" s="21"/>
      <c r="H618" s="21"/>
      <c r="I618" s="25"/>
      <c r="J618" s="21"/>
      <c r="K618" s="21"/>
      <c r="L618" s="21"/>
      <c r="M618" s="17"/>
      <c r="N618" s="17"/>
      <c r="O618" s="21"/>
      <c r="P618" s="21"/>
    </row>
    <row r="619" spans="1:16" ht="16.5" x14ac:dyDescent="0.25">
      <c r="A619" s="2"/>
      <c r="B619" s="4"/>
      <c r="C619" s="18"/>
      <c r="E619" s="20"/>
      <c r="F619" s="17"/>
      <c r="G619" s="21"/>
      <c r="H619" s="21"/>
      <c r="I619" s="25"/>
      <c r="J619" s="21"/>
      <c r="K619" s="21"/>
      <c r="L619" s="21"/>
      <c r="M619" s="17"/>
      <c r="N619" s="17"/>
      <c r="O619" s="21"/>
      <c r="P619" s="21"/>
    </row>
    <row r="620" spans="1:16" ht="16.5" x14ac:dyDescent="0.25">
      <c r="A620" s="2"/>
      <c r="B620" s="4"/>
      <c r="C620" s="18"/>
      <c r="E620" s="20"/>
      <c r="F620" s="17"/>
      <c r="G620" s="21"/>
      <c r="H620" s="21"/>
      <c r="I620" s="25"/>
      <c r="J620" s="21"/>
      <c r="K620" s="21"/>
      <c r="L620" s="21"/>
      <c r="M620" s="17"/>
      <c r="N620" s="17"/>
      <c r="O620" s="21"/>
      <c r="P620" s="21"/>
    </row>
    <row r="621" spans="1:16" ht="16.5" x14ac:dyDescent="0.25">
      <c r="A621" s="2"/>
      <c r="B621" s="4"/>
      <c r="C621" s="18"/>
      <c r="E621" s="20"/>
      <c r="F621" s="17"/>
      <c r="G621" s="21"/>
      <c r="H621" s="21"/>
      <c r="I621" s="25"/>
      <c r="J621" s="21"/>
      <c r="K621" s="21"/>
      <c r="L621" s="21"/>
      <c r="M621" s="17"/>
      <c r="N621" s="17"/>
      <c r="O621" s="21"/>
      <c r="P621" s="21"/>
    </row>
    <row r="622" spans="1:16" ht="16.5" x14ac:dyDescent="0.25">
      <c r="A622" s="2"/>
      <c r="B622" s="4"/>
      <c r="C622" s="18"/>
      <c r="E622" s="20"/>
      <c r="F622" s="17"/>
      <c r="G622" s="21"/>
      <c r="H622" s="21"/>
      <c r="I622" s="25"/>
      <c r="J622" s="21"/>
      <c r="K622" s="21"/>
      <c r="L622" s="21"/>
      <c r="M622" s="17"/>
      <c r="N622" s="17"/>
      <c r="O622" s="21"/>
      <c r="P622" s="21"/>
    </row>
    <row r="623" spans="1:16" ht="16.5" x14ac:dyDescent="0.25">
      <c r="A623" s="2"/>
      <c r="B623" s="4"/>
      <c r="C623" s="18"/>
      <c r="E623" s="20"/>
      <c r="F623" s="17"/>
      <c r="G623" s="21"/>
      <c r="H623" s="21"/>
      <c r="I623" s="25"/>
      <c r="J623" s="21"/>
      <c r="K623" s="21"/>
      <c r="L623" s="21"/>
      <c r="M623" s="17"/>
      <c r="N623" s="17"/>
      <c r="O623" s="21"/>
      <c r="P623" s="21"/>
    </row>
    <row r="624" spans="1:16" ht="16.5" x14ac:dyDescent="0.25">
      <c r="A624" s="2"/>
      <c r="B624" s="4"/>
      <c r="C624" s="18"/>
      <c r="E624" s="20"/>
      <c r="F624" s="17"/>
      <c r="G624" s="21"/>
      <c r="H624" s="21"/>
      <c r="I624" s="25"/>
      <c r="J624" s="21"/>
      <c r="K624" s="21"/>
      <c r="L624" s="21"/>
      <c r="M624" s="17"/>
      <c r="N624" s="17"/>
      <c r="O624" s="21"/>
      <c r="P624" s="21"/>
    </row>
    <row r="625" spans="1:16" ht="16.5" x14ac:dyDescent="0.25">
      <c r="A625" s="2"/>
      <c r="B625" s="4"/>
      <c r="C625" s="18"/>
      <c r="E625" s="20"/>
      <c r="F625" s="17"/>
      <c r="G625" s="21"/>
      <c r="H625" s="21"/>
      <c r="I625" s="25"/>
      <c r="J625" s="21"/>
      <c r="K625" s="21"/>
      <c r="L625" s="21"/>
      <c r="M625" s="17"/>
      <c r="N625" s="17"/>
      <c r="O625" s="21"/>
      <c r="P625" s="21"/>
    </row>
    <row r="626" spans="1:16" ht="16.5" x14ac:dyDescent="0.25">
      <c r="A626" s="2"/>
      <c r="B626" s="4"/>
      <c r="C626" s="18"/>
      <c r="E626" s="20"/>
      <c r="F626" s="17"/>
      <c r="G626" s="21"/>
      <c r="H626" s="21"/>
      <c r="I626" s="25"/>
      <c r="J626" s="21"/>
      <c r="K626" s="21"/>
      <c r="L626" s="21"/>
      <c r="M626" s="17"/>
      <c r="N626" s="17"/>
      <c r="O626" s="21"/>
      <c r="P626" s="21"/>
    </row>
    <row r="627" spans="1:16" ht="16.5" x14ac:dyDescent="0.25">
      <c r="A627" s="2"/>
      <c r="B627" s="4"/>
      <c r="C627" s="18"/>
      <c r="E627" s="20"/>
      <c r="F627" s="17"/>
      <c r="G627" s="21"/>
      <c r="H627" s="21"/>
      <c r="I627" s="25"/>
      <c r="J627" s="21"/>
      <c r="K627" s="21"/>
      <c r="L627" s="21"/>
      <c r="M627" s="17"/>
      <c r="N627" s="17"/>
      <c r="O627" s="21"/>
      <c r="P627" s="21"/>
    </row>
    <row r="628" spans="1:16" ht="16.5" x14ac:dyDescent="0.25">
      <c r="A628" s="2"/>
      <c r="B628" s="4"/>
      <c r="C628" s="18"/>
      <c r="E628" s="20"/>
      <c r="F628" s="17"/>
      <c r="G628" s="21"/>
      <c r="H628" s="21"/>
      <c r="I628" s="25"/>
      <c r="J628" s="21"/>
      <c r="K628" s="21"/>
      <c r="L628" s="21"/>
      <c r="M628" s="17"/>
      <c r="N628" s="17"/>
      <c r="O628" s="21"/>
      <c r="P628" s="21"/>
    </row>
    <row r="629" spans="1:16" ht="16.5" x14ac:dyDescent="0.25">
      <c r="A629" s="2"/>
      <c r="B629" s="4"/>
      <c r="C629" s="18"/>
      <c r="E629" s="20"/>
      <c r="F629" s="17"/>
      <c r="G629" s="21"/>
      <c r="H629" s="21"/>
      <c r="I629" s="25"/>
      <c r="J629" s="21"/>
      <c r="K629" s="21"/>
      <c r="L629" s="21"/>
      <c r="M629" s="17"/>
      <c r="N629" s="17"/>
      <c r="O629" s="21"/>
      <c r="P629" s="21"/>
    </row>
    <row r="630" spans="1:16" ht="16.5" x14ac:dyDescent="0.25">
      <c r="A630" s="2"/>
      <c r="B630" s="4"/>
      <c r="C630" s="18"/>
      <c r="E630" s="20"/>
      <c r="F630" s="17"/>
      <c r="G630" s="21"/>
      <c r="H630" s="21"/>
      <c r="I630" s="25"/>
      <c r="J630" s="21"/>
      <c r="K630" s="21"/>
      <c r="L630" s="21"/>
      <c r="M630" s="17"/>
      <c r="N630" s="17"/>
      <c r="O630" s="21"/>
      <c r="P630" s="21"/>
    </row>
    <row r="631" spans="1:16" ht="16.5" x14ac:dyDescent="0.25">
      <c r="A631" s="2"/>
      <c r="B631" s="4"/>
      <c r="C631" s="18"/>
      <c r="E631" s="20"/>
      <c r="F631" s="17"/>
      <c r="G631" s="21"/>
      <c r="H631" s="21"/>
      <c r="I631" s="25"/>
      <c r="J631" s="21"/>
      <c r="K631" s="21"/>
      <c r="L631" s="21"/>
      <c r="M631" s="17"/>
      <c r="N631" s="17"/>
      <c r="O631" s="21"/>
      <c r="P631" s="21"/>
    </row>
    <row r="632" spans="1:16" ht="16.5" x14ac:dyDescent="0.25">
      <c r="A632" s="2"/>
      <c r="B632" s="4"/>
      <c r="C632" s="18"/>
      <c r="E632" s="20"/>
      <c r="F632" s="17"/>
      <c r="G632" s="21"/>
      <c r="H632" s="21"/>
      <c r="I632" s="25"/>
      <c r="J632" s="21"/>
      <c r="K632" s="21"/>
      <c r="L632" s="21"/>
      <c r="M632" s="17"/>
      <c r="N632" s="17"/>
      <c r="O632" s="21"/>
      <c r="P632" s="21"/>
    </row>
    <row r="633" spans="1:16" ht="16.5" x14ac:dyDescent="0.25">
      <c r="A633" s="2"/>
      <c r="B633" s="4"/>
      <c r="C633" s="18"/>
      <c r="E633" s="20"/>
      <c r="F633" s="17"/>
      <c r="G633" s="21"/>
      <c r="H633" s="21"/>
      <c r="I633" s="25"/>
      <c r="J633" s="21"/>
      <c r="K633" s="21"/>
      <c r="L633" s="21"/>
      <c r="M633" s="17"/>
      <c r="N633" s="17"/>
      <c r="O633" s="21"/>
      <c r="P633" s="21"/>
    </row>
    <row r="634" spans="1:16" ht="16.5" x14ac:dyDescent="0.25">
      <c r="A634" s="2"/>
      <c r="B634" s="4"/>
      <c r="C634" s="18"/>
      <c r="E634" s="20"/>
      <c r="F634" s="17"/>
      <c r="G634" s="21"/>
      <c r="H634" s="21"/>
      <c r="I634" s="25"/>
      <c r="J634" s="21"/>
      <c r="K634" s="21"/>
      <c r="L634" s="21"/>
      <c r="M634" s="17"/>
      <c r="N634" s="17"/>
      <c r="O634" s="21"/>
      <c r="P634" s="21"/>
    </row>
    <row r="635" spans="1:16" ht="16.5" x14ac:dyDescent="0.25">
      <c r="A635" s="2"/>
      <c r="B635" s="4"/>
      <c r="C635" s="18"/>
      <c r="E635" s="20"/>
      <c r="F635" s="17"/>
      <c r="G635" s="21"/>
      <c r="H635" s="21"/>
      <c r="I635" s="25"/>
      <c r="J635" s="21"/>
      <c r="K635" s="21"/>
      <c r="L635" s="21"/>
      <c r="M635" s="17"/>
      <c r="N635" s="17"/>
      <c r="O635" s="21"/>
      <c r="P635" s="21"/>
    </row>
    <row r="636" spans="1:16" ht="16.5" x14ac:dyDescent="0.25">
      <c r="A636" s="2"/>
      <c r="B636" s="4"/>
      <c r="C636" s="18"/>
      <c r="E636" s="20"/>
      <c r="F636" s="17"/>
      <c r="G636" s="21"/>
      <c r="H636" s="21"/>
      <c r="I636" s="25"/>
      <c r="J636" s="21"/>
      <c r="K636" s="21"/>
      <c r="L636" s="21"/>
      <c r="M636" s="17"/>
      <c r="N636" s="17"/>
      <c r="O636" s="21"/>
      <c r="P636" s="21"/>
    </row>
    <row r="637" spans="1:16" ht="16.5" x14ac:dyDescent="0.25">
      <c r="A637" s="2"/>
      <c r="B637" s="4"/>
      <c r="C637" s="18"/>
      <c r="E637" s="20"/>
      <c r="F637" s="17"/>
      <c r="G637" s="21"/>
      <c r="H637" s="21"/>
      <c r="I637" s="25"/>
      <c r="J637" s="21"/>
      <c r="K637" s="21"/>
      <c r="L637" s="21"/>
      <c r="M637" s="17"/>
      <c r="N637" s="17"/>
      <c r="O637" s="21"/>
      <c r="P637" s="21"/>
    </row>
    <row r="638" spans="1:16" ht="16.5" x14ac:dyDescent="0.25">
      <c r="A638" s="2"/>
      <c r="B638" s="4"/>
      <c r="C638" s="18"/>
      <c r="E638" s="20"/>
      <c r="F638" s="17"/>
      <c r="G638" s="21"/>
      <c r="H638" s="21"/>
      <c r="I638" s="25"/>
      <c r="J638" s="21"/>
      <c r="K638" s="21"/>
      <c r="L638" s="21"/>
      <c r="M638" s="17"/>
      <c r="N638" s="17"/>
      <c r="O638" s="21"/>
      <c r="P638" s="21"/>
    </row>
    <row r="639" spans="1:16" ht="16.5" x14ac:dyDescent="0.25">
      <c r="A639" s="2"/>
      <c r="B639" s="4"/>
      <c r="C639" s="18"/>
      <c r="E639" s="20"/>
      <c r="F639" s="17"/>
      <c r="G639" s="21"/>
      <c r="H639" s="21"/>
      <c r="I639" s="25"/>
      <c r="J639" s="21"/>
      <c r="K639" s="21"/>
      <c r="L639" s="21"/>
      <c r="M639" s="17"/>
      <c r="N639" s="17"/>
      <c r="O639" s="21"/>
      <c r="P639" s="21"/>
    </row>
    <row r="640" spans="1:16" ht="16.5" x14ac:dyDescent="0.25">
      <c r="A640" s="2"/>
      <c r="B640" s="4"/>
      <c r="C640" s="18"/>
      <c r="E640" s="20"/>
      <c r="F640" s="17"/>
      <c r="G640" s="21"/>
      <c r="H640" s="21"/>
      <c r="I640" s="25"/>
      <c r="J640" s="21"/>
      <c r="K640" s="21"/>
      <c r="L640" s="21"/>
      <c r="M640" s="17"/>
      <c r="N640" s="17"/>
      <c r="O640" s="21"/>
      <c r="P640" s="21"/>
    </row>
    <row r="641" spans="1:16" ht="16.5" x14ac:dyDescent="0.25">
      <c r="A641" s="2"/>
      <c r="B641" s="4"/>
      <c r="C641" s="18"/>
      <c r="E641" s="20"/>
      <c r="F641" s="17"/>
      <c r="G641" s="21"/>
      <c r="H641" s="21"/>
      <c r="I641" s="25"/>
      <c r="J641" s="21"/>
      <c r="K641" s="21"/>
      <c r="L641" s="21"/>
      <c r="M641" s="17"/>
      <c r="N641" s="17"/>
      <c r="O641" s="21"/>
      <c r="P641" s="21"/>
    </row>
    <row r="642" spans="1:16" ht="16.5" x14ac:dyDescent="0.25">
      <c r="A642" s="2"/>
      <c r="B642" s="4"/>
      <c r="C642" s="18"/>
      <c r="E642" s="20"/>
      <c r="F642" s="17"/>
      <c r="G642" s="21"/>
      <c r="H642" s="21"/>
      <c r="I642" s="25"/>
      <c r="J642" s="21"/>
      <c r="K642" s="21"/>
      <c r="L642" s="21"/>
      <c r="M642" s="17"/>
      <c r="N642" s="17"/>
      <c r="O642" s="21"/>
      <c r="P642" s="21"/>
    </row>
    <row r="643" spans="1:16" ht="16.5" x14ac:dyDescent="0.25">
      <c r="A643" s="2"/>
      <c r="B643" s="4"/>
      <c r="C643" s="18"/>
      <c r="E643" s="20"/>
      <c r="F643" s="17"/>
      <c r="G643" s="21"/>
      <c r="H643" s="21"/>
      <c r="I643" s="25"/>
      <c r="J643" s="21"/>
      <c r="K643" s="21"/>
      <c r="L643" s="21"/>
      <c r="M643" s="17"/>
      <c r="N643" s="17"/>
      <c r="O643" s="21"/>
      <c r="P643" s="21"/>
    </row>
    <row r="644" spans="1:16" ht="16.5" x14ac:dyDescent="0.25">
      <c r="A644" s="2"/>
      <c r="B644" s="4"/>
      <c r="C644" s="18"/>
      <c r="E644" s="20"/>
      <c r="F644" s="17"/>
      <c r="G644" s="21"/>
      <c r="H644" s="21"/>
      <c r="I644" s="25"/>
      <c r="J644" s="21"/>
      <c r="K644" s="21"/>
      <c r="L644" s="21"/>
      <c r="M644" s="17"/>
      <c r="N644" s="17"/>
      <c r="O644" s="21"/>
      <c r="P644" s="21"/>
    </row>
    <row r="645" spans="1:16" ht="16.5" x14ac:dyDescent="0.25">
      <c r="A645" s="2"/>
      <c r="B645" s="4"/>
      <c r="C645" s="18"/>
      <c r="E645" s="20"/>
      <c r="F645" s="17"/>
      <c r="G645" s="21"/>
      <c r="H645" s="21"/>
      <c r="I645" s="25"/>
      <c r="J645" s="21"/>
      <c r="K645" s="21"/>
      <c r="L645" s="21"/>
      <c r="M645" s="17"/>
      <c r="N645" s="17"/>
      <c r="O645" s="21"/>
      <c r="P645" s="21"/>
    </row>
    <row r="646" spans="1:16" ht="16.5" x14ac:dyDescent="0.25">
      <c r="A646" s="2"/>
      <c r="B646" s="4"/>
      <c r="C646" s="18"/>
      <c r="E646" s="20"/>
      <c r="F646" s="17"/>
      <c r="G646" s="21"/>
      <c r="H646" s="21"/>
      <c r="I646" s="25"/>
      <c r="J646" s="21"/>
      <c r="K646" s="21"/>
      <c r="L646" s="21"/>
      <c r="M646" s="17"/>
      <c r="N646" s="17"/>
      <c r="O646" s="21"/>
      <c r="P646" s="21"/>
    </row>
    <row r="647" spans="1:16" ht="16.5" x14ac:dyDescent="0.25">
      <c r="A647" s="2"/>
      <c r="B647" s="4"/>
      <c r="C647" s="18"/>
      <c r="E647" s="20"/>
      <c r="F647" s="17"/>
      <c r="G647" s="21"/>
      <c r="H647" s="21"/>
      <c r="I647" s="25"/>
      <c r="J647" s="21"/>
      <c r="K647" s="21"/>
      <c r="L647" s="21"/>
      <c r="M647" s="17"/>
      <c r="N647" s="17"/>
      <c r="O647" s="21"/>
      <c r="P647" s="21"/>
    </row>
    <row r="648" spans="1:16" ht="16.5" x14ac:dyDescent="0.25">
      <c r="A648" s="2"/>
      <c r="B648" s="4"/>
      <c r="C648" s="18"/>
      <c r="E648" s="20"/>
      <c r="F648" s="17"/>
      <c r="G648" s="21"/>
      <c r="H648" s="21"/>
      <c r="I648" s="25"/>
      <c r="J648" s="21"/>
      <c r="K648" s="21"/>
      <c r="L648" s="21"/>
      <c r="M648" s="17"/>
      <c r="N648" s="17"/>
      <c r="O648" s="21"/>
      <c r="P648" s="21"/>
    </row>
    <row r="649" spans="1:16" ht="16.5" x14ac:dyDescent="0.25">
      <c r="A649" s="2"/>
      <c r="B649" s="4"/>
      <c r="C649" s="18"/>
      <c r="E649" s="20"/>
      <c r="F649" s="17"/>
      <c r="G649" s="21"/>
      <c r="H649" s="21"/>
      <c r="I649" s="25"/>
      <c r="J649" s="21"/>
      <c r="K649" s="21"/>
      <c r="L649" s="21"/>
      <c r="M649" s="17"/>
      <c r="N649" s="17"/>
      <c r="O649" s="21"/>
      <c r="P649" s="21"/>
    </row>
    <row r="650" spans="1:16" ht="16.5" x14ac:dyDescent="0.25">
      <c r="A650" s="2"/>
      <c r="B650" s="4"/>
      <c r="C650" s="18"/>
      <c r="E650" s="20"/>
      <c r="F650" s="17"/>
      <c r="G650" s="21"/>
      <c r="H650" s="21"/>
      <c r="I650" s="25"/>
      <c r="J650" s="21"/>
      <c r="K650" s="21"/>
      <c r="L650" s="21"/>
      <c r="M650" s="17"/>
      <c r="N650" s="17"/>
      <c r="O650" s="21"/>
      <c r="P650" s="21"/>
    </row>
    <row r="651" spans="1:16" ht="16.5" x14ac:dyDescent="0.25">
      <c r="A651" s="2"/>
      <c r="B651" s="4"/>
      <c r="C651" s="18"/>
      <c r="E651" s="20"/>
      <c r="F651" s="17"/>
      <c r="G651" s="21"/>
      <c r="H651" s="21"/>
      <c r="I651" s="25"/>
      <c r="J651" s="21"/>
      <c r="K651" s="21"/>
      <c r="L651" s="21"/>
      <c r="M651" s="17"/>
      <c r="N651" s="17"/>
      <c r="O651" s="21"/>
      <c r="P651" s="21"/>
    </row>
    <row r="652" spans="1:16" ht="16.5" x14ac:dyDescent="0.25">
      <c r="A652" s="2"/>
      <c r="B652" s="4"/>
      <c r="C652" s="18"/>
      <c r="E652" s="20"/>
      <c r="F652" s="17"/>
      <c r="G652" s="21"/>
      <c r="H652" s="21"/>
      <c r="I652" s="25"/>
      <c r="J652" s="21"/>
      <c r="K652" s="21"/>
      <c r="L652" s="21"/>
      <c r="M652" s="17"/>
      <c r="N652" s="17"/>
      <c r="O652" s="21"/>
      <c r="P652" s="21"/>
    </row>
    <row r="653" spans="1:16" ht="16.5" x14ac:dyDescent="0.25">
      <c r="A653" s="2"/>
      <c r="B653" s="4"/>
      <c r="C653" s="18"/>
      <c r="E653" s="20"/>
      <c r="F653" s="17"/>
      <c r="G653" s="21"/>
      <c r="H653" s="21"/>
      <c r="I653" s="25"/>
      <c r="J653" s="21"/>
      <c r="K653" s="21"/>
      <c r="L653" s="21"/>
      <c r="M653" s="17"/>
      <c r="N653" s="17"/>
      <c r="O653" s="21"/>
      <c r="P653" s="21"/>
    </row>
    <row r="654" spans="1:16" ht="16.5" x14ac:dyDescent="0.25">
      <c r="A654" s="2"/>
      <c r="B654" s="4"/>
      <c r="C654" s="18"/>
      <c r="E654" s="20"/>
      <c r="F654" s="17"/>
      <c r="G654" s="21"/>
      <c r="H654" s="21"/>
      <c r="I654" s="25"/>
      <c r="J654" s="21"/>
      <c r="K654" s="21"/>
      <c r="L654" s="21"/>
      <c r="M654" s="17"/>
      <c r="N654" s="17"/>
      <c r="O654" s="21"/>
      <c r="P654" s="21"/>
    </row>
    <row r="655" spans="1:16" ht="16.5" x14ac:dyDescent="0.25">
      <c r="A655" s="2"/>
      <c r="B655" s="4"/>
      <c r="C655" s="18"/>
      <c r="E655" s="20"/>
      <c r="F655" s="17"/>
      <c r="G655" s="21"/>
      <c r="H655" s="21"/>
      <c r="I655" s="25"/>
      <c r="J655" s="21"/>
      <c r="K655" s="21"/>
      <c r="L655" s="21"/>
      <c r="M655" s="17"/>
      <c r="N655" s="17"/>
      <c r="O655" s="21"/>
      <c r="P655" s="21"/>
    </row>
    <row r="656" spans="1:16" ht="16.5" x14ac:dyDescent="0.25">
      <c r="A656" s="2"/>
      <c r="B656" s="4"/>
      <c r="C656" s="18"/>
      <c r="E656" s="20"/>
      <c r="F656" s="17"/>
      <c r="G656" s="21"/>
      <c r="H656" s="21"/>
      <c r="I656" s="25"/>
      <c r="J656" s="21"/>
      <c r="K656" s="21"/>
      <c r="L656" s="21"/>
      <c r="M656" s="17"/>
      <c r="N656" s="17"/>
      <c r="O656" s="21"/>
      <c r="P656" s="21"/>
    </row>
    <row r="657" spans="1:16" ht="16.5" x14ac:dyDescent="0.25">
      <c r="A657" s="2"/>
      <c r="B657" s="4"/>
      <c r="C657" s="18"/>
      <c r="E657" s="20"/>
      <c r="F657" s="17"/>
      <c r="G657" s="21"/>
      <c r="H657" s="21"/>
      <c r="I657" s="25"/>
      <c r="J657" s="21"/>
      <c r="K657" s="21"/>
      <c r="L657" s="21"/>
      <c r="M657" s="17"/>
      <c r="N657" s="17"/>
      <c r="O657" s="21"/>
      <c r="P657" s="21"/>
    </row>
    <row r="658" spans="1:16" ht="16.5" x14ac:dyDescent="0.25">
      <c r="A658" s="2"/>
      <c r="B658" s="4"/>
      <c r="C658" s="18"/>
      <c r="E658" s="20"/>
      <c r="F658" s="17"/>
      <c r="G658" s="21"/>
      <c r="H658" s="21"/>
      <c r="I658" s="25"/>
      <c r="J658" s="21"/>
      <c r="K658" s="21"/>
      <c r="L658" s="21"/>
      <c r="M658" s="17"/>
      <c r="N658" s="17"/>
      <c r="O658" s="21"/>
      <c r="P658" s="21"/>
    </row>
    <row r="659" spans="1:16" ht="16.5" x14ac:dyDescent="0.25">
      <c r="A659" s="2"/>
      <c r="B659" s="4"/>
      <c r="C659" s="18"/>
      <c r="E659" s="20"/>
      <c r="F659" s="17"/>
      <c r="G659" s="21"/>
      <c r="H659" s="21"/>
      <c r="I659" s="25"/>
      <c r="J659" s="21"/>
      <c r="K659" s="21"/>
      <c r="L659" s="21"/>
      <c r="M659" s="17"/>
      <c r="N659" s="17"/>
      <c r="O659" s="21"/>
      <c r="P659" s="21"/>
    </row>
    <row r="660" spans="1:16" ht="16.5" x14ac:dyDescent="0.25">
      <c r="A660" s="2"/>
      <c r="B660" s="4"/>
      <c r="C660" s="18"/>
      <c r="E660" s="20"/>
      <c r="F660" s="17"/>
      <c r="G660" s="21"/>
      <c r="H660" s="21"/>
      <c r="I660" s="25"/>
      <c r="J660" s="21"/>
      <c r="K660" s="21"/>
      <c r="L660" s="21"/>
      <c r="M660" s="17"/>
      <c r="N660" s="17"/>
      <c r="O660" s="21"/>
      <c r="P660" s="21"/>
    </row>
    <row r="661" spans="1:16" ht="16.5" x14ac:dyDescent="0.25">
      <c r="A661" s="2"/>
      <c r="B661" s="4"/>
      <c r="C661" s="18"/>
      <c r="E661" s="20"/>
      <c r="F661" s="17"/>
      <c r="G661" s="21"/>
      <c r="H661" s="21"/>
      <c r="I661" s="25"/>
      <c r="J661" s="21"/>
      <c r="K661" s="21"/>
      <c r="L661" s="21"/>
      <c r="M661" s="17"/>
      <c r="N661" s="17"/>
      <c r="O661" s="21"/>
      <c r="P661" s="21"/>
    </row>
    <row r="662" spans="1:16" ht="16.5" x14ac:dyDescent="0.25">
      <c r="A662" s="2"/>
      <c r="B662" s="4"/>
      <c r="C662" s="18"/>
      <c r="E662" s="20"/>
      <c r="F662" s="17"/>
      <c r="G662" s="21"/>
      <c r="H662" s="21"/>
      <c r="I662" s="25"/>
      <c r="J662" s="21"/>
      <c r="K662" s="21"/>
      <c r="L662" s="21"/>
      <c r="M662" s="17"/>
      <c r="N662" s="17"/>
      <c r="O662" s="21"/>
      <c r="P662" s="21"/>
    </row>
    <row r="663" spans="1:16" ht="16.5" x14ac:dyDescent="0.25">
      <c r="A663" s="2"/>
      <c r="B663" s="4"/>
      <c r="C663" s="18"/>
      <c r="E663" s="20"/>
      <c r="F663" s="17"/>
      <c r="G663" s="21"/>
      <c r="H663" s="21"/>
      <c r="I663" s="25"/>
      <c r="J663" s="21"/>
      <c r="K663" s="21"/>
      <c r="L663" s="21"/>
      <c r="M663" s="17"/>
      <c r="N663" s="17"/>
      <c r="O663" s="21"/>
      <c r="P663" s="21"/>
    </row>
    <row r="664" spans="1:16" ht="16.5" x14ac:dyDescent="0.25">
      <c r="A664" s="2"/>
      <c r="B664" s="4"/>
      <c r="C664" s="18"/>
      <c r="E664" s="20"/>
      <c r="F664" s="17"/>
      <c r="G664" s="21"/>
      <c r="H664" s="21"/>
      <c r="I664" s="25"/>
      <c r="J664" s="21"/>
      <c r="K664" s="21"/>
      <c r="L664" s="21"/>
      <c r="M664" s="17"/>
      <c r="N664" s="17"/>
      <c r="O664" s="21"/>
      <c r="P664" s="21"/>
    </row>
    <row r="665" spans="1:16" ht="16.5" x14ac:dyDescent="0.25">
      <c r="A665" s="2"/>
      <c r="B665" s="4"/>
      <c r="C665" s="18"/>
      <c r="E665" s="20"/>
      <c r="F665" s="17"/>
      <c r="G665" s="21"/>
      <c r="H665" s="21"/>
      <c r="I665" s="25"/>
      <c r="J665" s="21"/>
      <c r="K665" s="21"/>
      <c r="L665" s="21"/>
      <c r="M665" s="17"/>
      <c r="N665" s="17"/>
      <c r="O665" s="21"/>
      <c r="P665" s="21"/>
    </row>
    <row r="666" spans="1:16" ht="16.5" x14ac:dyDescent="0.25">
      <c r="A666" s="2"/>
      <c r="B666" s="4"/>
      <c r="C666" s="18"/>
      <c r="E666" s="20"/>
      <c r="F666" s="17"/>
      <c r="G666" s="21"/>
      <c r="H666" s="21"/>
      <c r="I666" s="25"/>
      <c r="J666" s="21"/>
      <c r="K666" s="21"/>
      <c r="L666" s="21"/>
      <c r="M666" s="17"/>
      <c r="N666" s="17"/>
      <c r="O666" s="21"/>
      <c r="P666" s="21"/>
    </row>
    <row r="667" spans="1:16" ht="16.5" x14ac:dyDescent="0.25">
      <c r="A667" s="2"/>
      <c r="B667" s="4"/>
      <c r="C667" s="18"/>
      <c r="E667" s="20"/>
      <c r="F667" s="17"/>
      <c r="G667" s="21"/>
      <c r="H667" s="21"/>
      <c r="I667" s="25"/>
      <c r="J667" s="21"/>
      <c r="K667" s="21"/>
      <c r="L667" s="21"/>
      <c r="M667" s="17"/>
      <c r="N667" s="17"/>
      <c r="O667" s="21"/>
      <c r="P667" s="21"/>
    </row>
    <row r="668" spans="1:16" ht="16.5" x14ac:dyDescent="0.25">
      <c r="A668" s="2"/>
      <c r="B668" s="4"/>
      <c r="C668" s="18"/>
      <c r="E668" s="20"/>
      <c r="F668" s="17"/>
      <c r="G668" s="21"/>
      <c r="H668" s="21"/>
      <c r="I668" s="25"/>
      <c r="J668" s="21"/>
      <c r="K668" s="21"/>
      <c r="L668" s="21"/>
      <c r="M668" s="17"/>
      <c r="N668" s="17"/>
      <c r="O668" s="21"/>
      <c r="P668" s="21"/>
    </row>
    <row r="669" spans="1:16" ht="16.5" x14ac:dyDescent="0.25">
      <c r="A669" s="2"/>
      <c r="B669" s="4"/>
      <c r="C669" s="18"/>
      <c r="E669" s="20"/>
      <c r="F669" s="17"/>
      <c r="G669" s="21"/>
      <c r="H669" s="21"/>
      <c r="I669" s="25"/>
      <c r="J669" s="21"/>
      <c r="K669" s="21"/>
      <c r="L669" s="21"/>
      <c r="M669" s="17"/>
      <c r="N669" s="17"/>
      <c r="O669" s="21"/>
      <c r="P669" s="21"/>
    </row>
    <row r="670" spans="1:16" ht="16.5" x14ac:dyDescent="0.25">
      <c r="A670" s="2"/>
      <c r="B670" s="4"/>
      <c r="C670" s="18"/>
      <c r="E670" s="20"/>
      <c r="F670" s="17"/>
      <c r="G670" s="21"/>
      <c r="H670" s="21"/>
      <c r="I670" s="25"/>
      <c r="J670" s="21"/>
      <c r="K670" s="21"/>
      <c r="L670" s="21"/>
      <c r="M670" s="17"/>
      <c r="N670" s="17"/>
      <c r="O670" s="21"/>
      <c r="P670" s="21"/>
    </row>
    <row r="671" spans="1:16" ht="16.5" x14ac:dyDescent="0.25">
      <c r="A671" s="2"/>
      <c r="B671" s="4"/>
      <c r="C671" s="18"/>
      <c r="E671" s="20"/>
      <c r="F671" s="17"/>
      <c r="G671" s="21"/>
      <c r="H671" s="21"/>
      <c r="I671" s="25"/>
      <c r="J671" s="21"/>
      <c r="K671" s="21"/>
      <c r="L671" s="21"/>
      <c r="M671" s="17"/>
      <c r="N671" s="17"/>
      <c r="O671" s="21"/>
      <c r="P671" s="21"/>
    </row>
    <row r="672" spans="1:16" ht="16.5" x14ac:dyDescent="0.25">
      <c r="A672" s="2"/>
      <c r="B672" s="4"/>
      <c r="C672" s="18"/>
      <c r="E672" s="20"/>
      <c r="F672" s="17"/>
      <c r="G672" s="21"/>
      <c r="H672" s="21"/>
      <c r="I672" s="25"/>
      <c r="J672" s="21"/>
      <c r="K672" s="21"/>
      <c r="L672" s="21"/>
      <c r="M672" s="17"/>
      <c r="N672" s="17"/>
    </row>
    <row r="673" spans="1:14" ht="16.5" x14ac:dyDescent="0.25">
      <c r="A673" s="2"/>
      <c r="B673" s="4"/>
      <c r="C673" s="18"/>
      <c r="E673" s="20"/>
      <c r="F673" s="17"/>
      <c r="G673" s="21"/>
      <c r="H673" s="21"/>
      <c r="I673" s="25"/>
      <c r="J673" s="21"/>
      <c r="K673" s="21"/>
      <c r="L673" s="21"/>
      <c r="M673" s="17"/>
      <c r="N673" s="17"/>
    </row>
    <row r="674" spans="1:14" ht="16.5" x14ac:dyDescent="0.25">
      <c r="A674" s="2"/>
      <c r="B674" s="4"/>
      <c r="C674" s="18"/>
      <c r="E674" s="20"/>
      <c r="F674" s="17"/>
      <c r="G674" s="21"/>
      <c r="I674" s="22"/>
      <c r="J674" s="21"/>
      <c r="K674" s="21"/>
      <c r="L674" s="21"/>
      <c r="M674" s="21"/>
      <c r="N674" s="17"/>
    </row>
    <row r="675" spans="1:14" ht="16.5" x14ac:dyDescent="0.25">
      <c r="A675" s="2"/>
      <c r="B675" s="4"/>
      <c r="C675" s="18"/>
      <c r="E675" s="20"/>
      <c r="F675" s="17"/>
      <c r="G675" s="21"/>
      <c r="I675" s="22"/>
      <c r="J675" s="21"/>
      <c r="K675" s="21"/>
      <c r="L675" s="21"/>
      <c r="M675" s="21"/>
      <c r="N675" s="17"/>
    </row>
    <row r="676" spans="1:14" ht="16.5" x14ac:dyDescent="0.25">
      <c r="A676" s="2"/>
      <c r="B676" s="4"/>
      <c r="C676" s="18"/>
      <c r="E676" s="20"/>
      <c r="F676" s="17"/>
      <c r="G676" s="21"/>
      <c r="H676" s="21"/>
      <c r="I676" s="25"/>
      <c r="J676" s="21"/>
      <c r="K676" s="21"/>
      <c r="L676" s="21"/>
      <c r="M676" s="17"/>
      <c r="N676" s="17"/>
    </row>
    <row r="677" spans="1:14" ht="16.5" x14ac:dyDescent="0.25">
      <c r="A677" s="2"/>
      <c r="B677" s="4"/>
      <c r="C677" s="18"/>
      <c r="E677" s="20"/>
      <c r="G677" s="21"/>
      <c r="H677" s="26"/>
      <c r="I677" s="27"/>
      <c r="J677" s="21"/>
      <c r="K677" s="21"/>
      <c r="L677" s="21"/>
      <c r="M677" s="12"/>
      <c r="N677" s="26"/>
    </row>
    <row r="678" spans="1:14" ht="16.5" x14ac:dyDescent="0.25">
      <c r="A678" s="2"/>
      <c r="B678" s="4"/>
      <c r="C678" s="18"/>
      <c r="E678" s="20"/>
      <c r="G678" s="21"/>
      <c r="H678" s="26"/>
      <c r="I678" s="27"/>
      <c r="J678" s="21"/>
      <c r="K678" s="21"/>
      <c r="L678" s="21"/>
      <c r="M678" s="12"/>
      <c r="N678" s="26"/>
    </row>
    <row r="679" spans="1:14" ht="16.5" x14ac:dyDescent="0.25">
      <c r="A679" s="2"/>
      <c r="B679" s="4"/>
      <c r="C679" s="18"/>
      <c r="E679" s="20"/>
      <c r="G679" s="21"/>
      <c r="I679" s="28"/>
      <c r="J679" s="21"/>
      <c r="K679" s="21"/>
      <c r="L679" s="21"/>
      <c r="M679" s="12"/>
      <c r="N679" s="12"/>
    </row>
    <row r="680" spans="1:14" ht="16.5" x14ac:dyDescent="0.25">
      <c r="A680" s="2"/>
      <c r="B680" s="4"/>
      <c r="C680" s="18"/>
      <c r="E680" s="20"/>
      <c r="G680" s="21"/>
      <c r="H680" s="21"/>
      <c r="I680" s="22"/>
      <c r="J680" s="21"/>
      <c r="K680" s="21"/>
      <c r="L680" s="21"/>
      <c r="M680" s="21"/>
      <c r="N680" s="21"/>
    </row>
    <row r="681" spans="1:14" s="12" customFormat="1" ht="16.5" x14ac:dyDescent="0.25">
      <c r="A681" s="2"/>
      <c r="B681" s="4"/>
      <c r="C681" s="18"/>
      <c r="D681"/>
      <c r="E681" s="20"/>
      <c r="F681"/>
      <c r="G681" s="21"/>
      <c r="I681" s="25"/>
      <c r="J681" s="21"/>
      <c r="K681" s="21"/>
      <c r="L681" s="21"/>
      <c r="M681" s="17"/>
    </row>
    <row r="682" spans="1:14" s="12" customFormat="1" ht="16.5" x14ac:dyDescent="0.25">
      <c r="A682" s="2"/>
      <c r="B682" s="4"/>
      <c r="C682" s="18"/>
      <c r="D682"/>
      <c r="E682" s="20"/>
      <c r="F682"/>
      <c r="G682" s="21"/>
      <c r="I682" s="25"/>
      <c r="J682" s="21"/>
      <c r="K682" s="21"/>
      <c r="L682" s="21"/>
      <c r="M682" s="17"/>
      <c r="N682" s="17"/>
    </row>
    <row r="683" spans="1:14" s="12" customFormat="1" ht="16.5" x14ac:dyDescent="0.25">
      <c r="A683" s="2"/>
      <c r="B683" s="4"/>
      <c r="C683" s="18"/>
      <c r="D683"/>
      <c r="E683" s="20"/>
      <c r="F683"/>
      <c r="G683" s="21"/>
      <c r="I683" s="25"/>
      <c r="J683" s="21"/>
      <c r="K683" s="21"/>
      <c r="L683" s="21"/>
      <c r="M683" s="17"/>
      <c r="N683" s="17"/>
    </row>
    <row r="684" spans="1:14" s="12" customFormat="1" ht="16.5" x14ac:dyDescent="0.25">
      <c r="A684" s="2"/>
      <c r="B684" s="4"/>
      <c r="C684" s="18"/>
      <c r="D684"/>
      <c r="E684" s="19"/>
      <c r="F684"/>
      <c r="L684"/>
      <c r="M684"/>
      <c r="N684"/>
    </row>
    <row r="685" spans="1:14" s="12" customFormat="1" x14ac:dyDescent="0.25">
      <c r="A685" s="2"/>
      <c r="B685" s="2"/>
      <c r="C685" s="18"/>
      <c r="D685"/>
      <c r="E685" s="19"/>
      <c r="F685"/>
      <c r="L685"/>
      <c r="M685"/>
      <c r="N685"/>
    </row>
    <row r="686" spans="1:14" s="12" customFormat="1" x14ac:dyDescent="0.25">
      <c r="A686" s="2"/>
      <c r="B686" s="2"/>
      <c r="C686" s="18"/>
      <c r="D686"/>
      <c r="E686" s="19"/>
      <c r="F686"/>
      <c r="L686"/>
      <c r="M686"/>
      <c r="N686"/>
    </row>
    <row r="687" spans="1:14" s="12" customFormat="1" x14ac:dyDescent="0.25">
      <c r="A687" s="2"/>
      <c r="B687" s="2"/>
      <c r="C687" s="18"/>
      <c r="D687"/>
      <c r="E687" s="19"/>
      <c r="F687"/>
      <c r="L687"/>
      <c r="M687"/>
      <c r="N687"/>
    </row>
    <row r="688" spans="1:14" s="12" customFormat="1" x14ac:dyDescent="0.25">
      <c r="A688" s="2"/>
      <c r="B688" s="2"/>
      <c r="C688" s="18"/>
      <c r="D688"/>
      <c r="E688" s="19"/>
      <c r="F688"/>
      <c r="L688"/>
      <c r="M688"/>
      <c r="N688"/>
    </row>
    <row r="689" spans="1:14" s="12" customFormat="1" x14ac:dyDescent="0.25">
      <c r="A689" s="2"/>
      <c r="B689" s="2"/>
      <c r="C689" s="18"/>
      <c r="D689"/>
      <c r="E689" s="19"/>
      <c r="F689"/>
      <c r="L689"/>
      <c r="M689"/>
      <c r="N689"/>
    </row>
    <row r="690" spans="1:14" s="12" customFormat="1" x14ac:dyDescent="0.25">
      <c r="A690" s="2"/>
      <c r="B690" s="2"/>
      <c r="C690" s="18"/>
      <c r="D690"/>
      <c r="E690" s="19"/>
      <c r="F690"/>
      <c r="L690"/>
      <c r="M690"/>
      <c r="N690"/>
    </row>
    <row r="691" spans="1:14" s="12" customFormat="1" x14ac:dyDescent="0.25">
      <c r="A691" s="2"/>
      <c r="B691" s="2"/>
      <c r="C691" s="18"/>
      <c r="D691"/>
      <c r="E691" s="19"/>
      <c r="F691"/>
      <c r="L691"/>
      <c r="M691"/>
      <c r="N691"/>
    </row>
    <row r="692" spans="1:14" s="12" customFormat="1" x14ac:dyDescent="0.25">
      <c r="A692" s="2"/>
      <c r="B692" s="2"/>
      <c r="C692" s="18"/>
      <c r="D692"/>
      <c r="E692" s="19"/>
      <c r="F692"/>
      <c r="L692"/>
      <c r="M692"/>
      <c r="N692"/>
    </row>
    <row r="693" spans="1:14" s="12" customFormat="1" x14ac:dyDescent="0.25">
      <c r="A693" s="2"/>
      <c r="B693" s="2"/>
      <c r="C693" s="18"/>
      <c r="D693"/>
      <c r="E693" s="19"/>
      <c r="F693"/>
      <c r="L693"/>
      <c r="M693"/>
      <c r="N693"/>
    </row>
    <row r="694" spans="1:14" s="12" customFormat="1" ht="16.5" x14ac:dyDescent="0.25">
      <c r="A694" s="2"/>
      <c r="B694" s="5"/>
      <c r="C694" s="18"/>
      <c r="D694"/>
      <c r="E694" s="19"/>
      <c r="F694"/>
      <c r="L694"/>
      <c r="M694"/>
      <c r="N694"/>
    </row>
    <row r="695" spans="1:14" s="12" customFormat="1" ht="16.5" x14ac:dyDescent="0.25">
      <c r="A695" s="2"/>
      <c r="B695" s="5"/>
      <c r="C695" s="18"/>
      <c r="D695"/>
      <c r="E695" s="19"/>
      <c r="F695"/>
      <c r="L695"/>
      <c r="M695"/>
      <c r="N695"/>
    </row>
    <row r="696" spans="1:14" s="12" customFormat="1" ht="16.5" x14ac:dyDescent="0.25">
      <c r="A696" s="2"/>
      <c r="B696" s="4"/>
      <c r="C696" s="18"/>
      <c r="D696"/>
      <c r="E696" s="19"/>
      <c r="F696"/>
      <c r="L696"/>
      <c r="M696"/>
      <c r="N696"/>
    </row>
    <row r="697" spans="1:14" ht="19.5" x14ac:dyDescent="0.25">
      <c r="A697" s="2"/>
      <c r="B697" s="6"/>
      <c r="C697" s="18"/>
    </row>
    <row r="698" spans="1:14" x14ac:dyDescent="0.25">
      <c r="A698" s="2"/>
      <c r="B698" s="7"/>
      <c r="C698" s="18"/>
    </row>
    <row r="699" spans="1:14" x14ac:dyDescent="0.25">
      <c r="A699" s="2"/>
      <c r="B699" s="2"/>
      <c r="C699" s="18"/>
    </row>
    <row r="700" spans="1:14" x14ac:dyDescent="0.25">
      <c r="A700" s="2"/>
      <c r="B700" s="2"/>
      <c r="C700" s="18"/>
    </row>
    <row r="701" spans="1:14" x14ac:dyDescent="0.25">
      <c r="A701" s="2"/>
      <c r="B701" s="2"/>
      <c r="C701" s="18"/>
    </row>
    <row r="702" spans="1:14" x14ac:dyDescent="0.25">
      <c r="A702" s="2"/>
      <c r="B702" s="2"/>
      <c r="C702" s="18"/>
    </row>
    <row r="703" spans="1:14" x14ac:dyDescent="0.25">
      <c r="A703" s="2"/>
      <c r="B703" s="2"/>
      <c r="C703" s="18"/>
    </row>
    <row r="704" spans="1:14" x14ac:dyDescent="0.25">
      <c r="A704" s="2"/>
      <c r="B704" s="2"/>
      <c r="C704" s="18"/>
    </row>
    <row r="705" spans="1:3" x14ac:dyDescent="0.25">
      <c r="A705" s="2"/>
      <c r="B705" s="2"/>
      <c r="C705" s="18"/>
    </row>
    <row r="706" spans="1:3" x14ac:dyDescent="0.25">
      <c r="A706" s="2"/>
      <c r="B706" s="2"/>
      <c r="C706" s="18"/>
    </row>
    <row r="707" spans="1:3" x14ac:dyDescent="0.25">
      <c r="A707" s="2"/>
      <c r="B707" s="2"/>
      <c r="C707" s="18"/>
    </row>
    <row r="708" spans="1:3" x14ac:dyDescent="0.25">
      <c r="A708" s="2"/>
      <c r="B708" s="2"/>
      <c r="C708" s="18"/>
    </row>
    <row r="709" spans="1:3" x14ac:dyDescent="0.25">
      <c r="A709" s="2"/>
      <c r="B709" s="2"/>
      <c r="C709" s="18"/>
    </row>
    <row r="710" spans="1:3" x14ac:dyDescent="0.25">
      <c r="A710" s="2"/>
      <c r="B710" s="2"/>
      <c r="C710" s="18"/>
    </row>
    <row r="711" spans="1:3" x14ac:dyDescent="0.25">
      <c r="A711" s="2"/>
      <c r="B711" s="2"/>
      <c r="C711" s="18"/>
    </row>
    <row r="712" spans="1:3" ht="16.5" x14ac:dyDescent="0.25">
      <c r="A712" s="2"/>
      <c r="B712" s="5"/>
      <c r="C712" s="18"/>
    </row>
    <row r="713" spans="1:3" ht="19.5" x14ac:dyDescent="0.25">
      <c r="A713" s="2"/>
      <c r="B713" s="8"/>
      <c r="C713" s="18"/>
    </row>
    <row r="714" spans="1:3" ht="19.5" x14ac:dyDescent="0.25">
      <c r="A714" s="2"/>
      <c r="B714" s="8"/>
      <c r="C714" s="18"/>
    </row>
    <row r="715" spans="1:3" x14ac:dyDescent="0.25">
      <c r="A715" s="2"/>
      <c r="B715" s="7"/>
      <c r="C715" s="18"/>
    </row>
    <row r="716" spans="1:3" x14ac:dyDescent="0.25">
      <c r="A716" s="2"/>
      <c r="B716" s="2"/>
      <c r="C716" s="18"/>
    </row>
    <row r="717" spans="1:3" x14ac:dyDescent="0.25">
      <c r="A717" s="2"/>
      <c r="B717" s="2"/>
      <c r="C717" s="18"/>
    </row>
    <row r="718" spans="1:3" x14ac:dyDescent="0.25">
      <c r="A718" s="2"/>
      <c r="B718" s="2"/>
      <c r="C718" s="18"/>
    </row>
    <row r="719" spans="1:3" x14ac:dyDescent="0.25">
      <c r="A719" s="2"/>
      <c r="B719" s="259"/>
      <c r="C719" s="18"/>
    </row>
    <row r="720" spans="1:3" x14ac:dyDescent="0.25">
      <c r="A720" s="2"/>
      <c r="B720" s="259"/>
      <c r="C720" s="18"/>
    </row>
    <row r="721" spans="1:3" x14ac:dyDescent="0.25">
      <c r="A721" s="2"/>
      <c r="B721" s="259"/>
      <c r="C721" s="18"/>
    </row>
    <row r="722" spans="1:3" x14ac:dyDescent="0.25">
      <c r="A722" s="2"/>
      <c r="B722" s="259"/>
      <c r="C722" s="18"/>
    </row>
    <row r="723" spans="1:3" x14ac:dyDescent="0.25">
      <c r="A723" s="2"/>
      <c r="B723" s="2"/>
      <c r="C723" s="18"/>
    </row>
    <row r="724" spans="1:3" x14ac:dyDescent="0.25">
      <c r="A724" s="2"/>
      <c r="B724" s="2"/>
      <c r="C724" s="18"/>
    </row>
    <row r="725" spans="1:3" x14ac:dyDescent="0.25">
      <c r="A725" s="2"/>
      <c r="B725" s="2"/>
      <c r="C725" s="18"/>
    </row>
    <row r="726" spans="1:3" x14ac:dyDescent="0.25">
      <c r="A726" s="2"/>
      <c r="B726" s="2"/>
      <c r="C726" s="18"/>
    </row>
    <row r="727" spans="1:3" x14ac:dyDescent="0.25">
      <c r="A727" s="2"/>
      <c r="B727" s="2"/>
      <c r="C727" s="18"/>
    </row>
    <row r="728" spans="1:3" x14ac:dyDescent="0.25">
      <c r="A728" s="2"/>
      <c r="B728" s="2"/>
      <c r="C728" s="18"/>
    </row>
    <row r="729" spans="1:3" x14ac:dyDescent="0.25">
      <c r="A729" s="2"/>
      <c r="B729" s="2"/>
      <c r="C729" s="18"/>
    </row>
    <row r="730" spans="1:3" x14ac:dyDescent="0.25">
      <c r="A730" s="2"/>
      <c r="B730" s="2"/>
      <c r="C730" s="18"/>
    </row>
    <row r="731" spans="1:3" x14ac:dyDescent="0.25">
      <c r="A731" s="2"/>
      <c r="B731" s="2"/>
      <c r="C731" s="18"/>
    </row>
    <row r="732" spans="1:3" x14ac:dyDescent="0.25">
      <c r="A732" s="2"/>
      <c r="B732" s="2"/>
      <c r="C732" s="18"/>
    </row>
    <row r="733" spans="1:3" x14ac:dyDescent="0.25">
      <c r="A733" s="2"/>
      <c r="B733" s="2"/>
      <c r="C733" s="18"/>
    </row>
    <row r="734" spans="1:3" x14ac:dyDescent="0.25">
      <c r="B734" s="2"/>
      <c r="C734" s="18"/>
    </row>
    <row r="735" spans="1:3" x14ac:dyDescent="0.25">
      <c r="B735" s="2"/>
      <c r="C735" s="18"/>
    </row>
    <row r="736" spans="1:3" x14ac:dyDescent="0.25">
      <c r="B736" s="2"/>
      <c r="C736" s="18"/>
    </row>
    <row r="737" spans="2:3" x14ac:dyDescent="0.25">
      <c r="B737" s="2"/>
      <c r="C737" s="18"/>
    </row>
    <row r="738" spans="2:3" x14ac:dyDescent="0.25">
      <c r="B738" s="2"/>
      <c r="C738" s="18"/>
    </row>
    <row r="739" spans="2:3" x14ac:dyDescent="0.25">
      <c r="B739" s="2"/>
      <c r="C739" s="18"/>
    </row>
    <row r="740" spans="2:3" x14ac:dyDescent="0.25">
      <c r="B740" s="2"/>
      <c r="C740" s="18"/>
    </row>
    <row r="741" spans="2:3" x14ac:dyDescent="0.25">
      <c r="B741" s="2"/>
      <c r="C741" s="18"/>
    </row>
    <row r="742" spans="2:3" x14ac:dyDescent="0.25">
      <c r="B742" s="2"/>
      <c r="C742" s="18"/>
    </row>
    <row r="743" spans="2:3" x14ac:dyDescent="0.25">
      <c r="B743" s="2"/>
      <c r="C743" s="18"/>
    </row>
    <row r="744" spans="2:3" x14ac:dyDescent="0.25">
      <c r="B744" s="2"/>
      <c r="C744" s="18"/>
    </row>
    <row r="745" spans="2:3" x14ac:dyDescent="0.25">
      <c r="B745" s="2"/>
      <c r="C745" s="18"/>
    </row>
    <row r="746" spans="2:3" x14ac:dyDescent="0.25">
      <c r="B746" s="2"/>
      <c r="C746" s="18"/>
    </row>
    <row r="747" spans="2:3" x14ac:dyDescent="0.25">
      <c r="B747" s="2"/>
      <c r="C747" s="18"/>
    </row>
    <row r="748" spans="2:3" x14ac:dyDescent="0.25">
      <c r="B748" s="2"/>
      <c r="C748" s="18"/>
    </row>
    <row r="749" spans="2:3" x14ac:dyDescent="0.25">
      <c r="B749" s="2"/>
    </row>
    <row r="750" spans="2:3" x14ac:dyDescent="0.25">
      <c r="B750" s="2"/>
    </row>
    <row r="751" spans="2:3" x14ac:dyDescent="0.25">
      <c r="B751" s="2"/>
    </row>
    <row r="752" spans="2:3" x14ac:dyDescent="0.25">
      <c r="B752" s="2"/>
    </row>
    <row r="753" spans="2:2" x14ac:dyDescent="0.25">
      <c r="B753" s="2"/>
    </row>
    <row r="754" spans="2:2" x14ac:dyDescent="0.25">
      <c r="B754" s="2"/>
    </row>
    <row r="755" spans="2:2" x14ac:dyDescent="0.25">
      <c r="B755" s="2"/>
    </row>
    <row r="756" spans="2:2" x14ac:dyDescent="0.25">
      <c r="B756" s="2"/>
    </row>
    <row r="757" spans="2:2" x14ac:dyDescent="0.25">
      <c r="B757" s="2"/>
    </row>
    <row r="758" spans="2:2" ht="24" x14ac:dyDescent="0.25">
      <c r="B758" s="10"/>
    </row>
    <row r="759" spans="2:2" ht="24" x14ac:dyDescent="0.25">
      <c r="B759" s="10"/>
    </row>
    <row r="760" spans="2:2" ht="24" x14ac:dyDescent="0.25">
      <c r="B760" s="10"/>
    </row>
    <row r="761" spans="2:2" x14ac:dyDescent="0.25">
      <c r="B761" s="2"/>
    </row>
  </sheetData>
  <mergeCells count="1">
    <mergeCell ref="B719:B7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6</vt:i4>
      </vt:variant>
    </vt:vector>
  </HeadingPairs>
  <TitlesOfParts>
    <vt:vector size="20" baseType="lpstr">
      <vt:lpstr>Ini</vt:lpstr>
      <vt:lpstr>Cad1</vt:lpstr>
      <vt:lpstr>Cad2</vt:lpstr>
      <vt:lpstr>Cad3</vt:lpstr>
      <vt:lpstr>Cad4</vt:lpstr>
      <vt:lpstr>FO1</vt:lpstr>
      <vt:lpstr>FO2</vt:lpstr>
      <vt:lpstr>FO4</vt:lpstr>
      <vt:lpstr>Tab1</vt:lpstr>
      <vt:lpstr>Tab2</vt:lpstr>
      <vt:lpstr>Tab3</vt:lpstr>
      <vt:lpstr>Imp</vt:lpstr>
      <vt:lpstr>BD</vt:lpstr>
      <vt:lpstr>BD2</vt:lpstr>
      <vt:lpstr>Imp!Area_de_impressao</vt:lpstr>
      <vt:lpstr>'Tab1'!Area_de_impressao</vt:lpstr>
      <vt:lpstr>'Tab2'!Area_de_impressao</vt:lpstr>
      <vt:lpstr>'Tab3'!Area_de_impressao</vt:lpstr>
      <vt:lpstr>BD!Criterios</vt:lpstr>
      <vt:lpstr>'BD2'!Criterios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</dc:creator>
  <cp:lastModifiedBy>Michael Pedroso</cp:lastModifiedBy>
  <cp:lastPrinted>2025-01-13T13:25:17Z</cp:lastPrinted>
  <dcterms:created xsi:type="dcterms:W3CDTF">2014-05-28T01:27:35Z</dcterms:created>
  <dcterms:modified xsi:type="dcterms:W3CDTF">2026-02-10T13:35:17Z</dcterms:modified>
</cp:coreProperties>
</file>