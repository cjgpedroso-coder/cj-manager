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\\servidor-creme\Arquivos HD Back-up\Romica\Administrativo\Mercados\"/>
    </mc:Choice>
  </mc:AlternateContent>
  <xr:revisionPtr revIDLastSave="0" documentId="13_ncr:1_{88DD755A-9E68-4593-A86D-5898AD8D7E92}" xr6:coauthVersionLast="47" xr6:coauthVersionMax="47" xr10:uidLastSave="{00000000-0000-0000-0000-000000000000}"/>
  <bookViews>
    <workbookView xWindow="-120" yWindow="-120" windowWidth="25440" windowHeight="15270" tabRatio="598" activeTab="2" xr2:uid="{00000000-000D-0000-FFFF-FFFF00000000}"/>
  </bookViews>
  <sheets>
    <sheet name="GONDOLA" sheetId="4" r:id="rId1"/>
    <sheet name="PADARIA" sheetId="9" r:id="rId2"/>
    <sheet name="PEDIDOS" sheetId="8" r:id="rId3"/>
    <sheet name="PEDIDOS (2)" sheetId="10" r:id="rId4"/>
  </sheets>
  <definedNames>
    <definedName name="_xlnm.Print_Area" localSheetId="0">GONDOLA!#REF!</definedName>
    <definedName name="_xlnm.Print_Area" localSheetId="1">PADARIA!#REF!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5" i="8" l="1"/>
  <c r="M6" i="8"/>
  <c r="L16" i="8"/>
  <c r="M14" i="8"/>
  <c r="M33" i="8"/>
  <c r="M32" i="8"/>
  <c r="M30" i="8"/>
  <c r="M29" i="8"/>
  <c r="M34" i="8"/>
  <c r="C36" i="8" l="1"/>
  <c r="G62" i="10" l="1"/>
  <c r="G63" i="10" s="1"/>
  <c r="F62" i="10"/>
  <c r="F63" i="10" s="1"/>
  <c r="L61" i="10"/>
  <c r="J61" i="10"/>
  <c r="J62" i="10" s="1"/>
  <c r="J63" i="10" s="1"/>
  <c r="I61" i="10"/>
  <c r="I62" i="10" s="1"/>
  <c r="I63" i="10" s="1"/>
  <c r="H61" i="10"/>
  <c r="H62" i="10" s="1"/>
  <c r="H63" i="10" s="1"/>
  <c r="G61" i="10"/>
  <c r="F61" i="10"/>
  <c r="E61" i="10"/>
  <c r="E62" i="10" s="1"/>
  <c r="E63" i="10" s="1"/>
  <c r="D61" i="10"/>
  <c r="D62" i="10" s="1"/>
  <c r="D63" i="10" s="1"/>
  <c r="C61" i="10"/>
  <c r="C62" i="10" s="1"/>
  <c r="C63" i="10" s="1"/>
  <c r="M60" i="10"/>
  <c r="M59" i="10"/>
  <c r="M58" i="10"/>
  <c r="M57" i="10"/>
  <c r="M56" i="10"/>
  <c r="M55" i="10"/>
  <c r="M54" i="10"/>
  <c r="M53" i="10"/>
  <c r="M52" i="10"/>
  <c r="H44" i="10"/>
  <c r="H45" i="10" s="1"/>
  <c r="L43" i="10"/>
  <c r="J43" i="10"/>
  <c r="J44" i="10" s="1"/>
  <c r="J45" i="10" s="1"/>
  <c r="I43" i="10"/>
  <c r="I44" i="10" s="1"/>
  <c r="I45" i="10" s="1"/>
  <c r="H43" i="10"/>
  <c r="G43" i="10"/>
  <c r="G44" i="10" s="1"/>
  <c r="G45" i="10" s="1"/>
  <c r="F43" i="10"/>
  <c r="F44" i="10" s="1"/>
  <c r="F45" i="10" s="1"/>
  <c r="E43" i="10"/>
  <c r="E44" i="10" s="1"/>
  <c r="E45" i="10" s="1"/>
  <c r="D43" i="10"/>
  <c r="D44" i="10" s="1"/>
  <c r="D45" i="10" s="1"/>
  <c r="C43" i="10"/>
  <c r="C44" i="10" s="1"/>
  <c r="C45" i="10" s="1"/>
  <c r="M42" i="10"/>
  <c r="M41" i="10"/>
  <c r="M40" i="10"/>
  <c r="M39" i="10"/>
  <c r="M38" i="10"/>
  <c r="M37" i="10"/>
  <c r="M36" i="10"/>
  <c r="M35" i="10"/>
  <c r="M34" i="10"/>
  <c r="M33" i="10"/>
  <c r="J27" i="10"/>
  <c r="H27" i="10"/>
  <c r="G27" i="10"/>
  <c r="F27" i="10"/>
  <c r="E27" i="10"/>
  <c r="D27" i="10"/>
  <c r="C27" i="10"/>
  <c r="G13" i="10"/>
  <c r="F13" i="10"/>
  <c r="E13" i="10"/>
  <c r="D13" i="10"/>
  <c r="C13" i="10"/>
  <c r="I36" i="8"/>
  <c r="I37" i="8" s="1"/>
  <c r="I38" i="8" s="1"/>
  <c r="I16" i="8"/>
  <c r="I17" i="8" s="1"/>
  <c r="I18" i="8" s="1"/>
  <c r="M61" i="10" l="1"/>
  <c r="M43" i="10"/>
  <c r="K45" i="10"/>
  <c r="K63" i="10"/>
  <c r="K44" i="10"/>
  <c r="K62" i="10"/>
  <c r="L36" i="8"/>
  <c r="J36" i="8"/>
  <c r="J37" i="8" s="1"/>
  <c r="J38" i="8" s="1"/>
  <c r="H36" i="8"/>
  <c r="H37" i="8" s="1"/>
  <c r="H38" i="8" s="1"/>
  <c r="G36" i="8"/>
  <c r="G37" i="8" s="1"/>
  <c r="G38" i="8" s="1"/>
  <c r="F36" i="8"/>
  <c r="F37" i="8" s="1"/>
  <c r="F38" i="8" s="1"/>
  <c r="E36" i="8"/>
  <c r="E37" i="8" s="1"/>
  <c r="E38" i="8" s="1"/>
  <c r="D36" i="8"/>
  <c r="D37" i="8" s="1"/>
  <c r="D38" i="8" s="1"/>
  <c r="C37" i="8"/>
  <c r="M35" i="8"/>
  <c r="M28" i="8"/>
  <c r="M27" i="8"/>
  <c r="M26" i="8"/>
  <c r="M25" i="8"/>
  <c r="J16" i="8"/>
  <c r="J17" i="8" s="1"/>
  <c r="J18" i="8" s="1"/>
  <c r="H16" i="8"/>
  <c r="H17" i="8" s="1"/>
  <c r="H18" i="8" s="1"/>
  <c r="G16" i="8"/>
  <c r="G17" i="8" s="1"/>
  <c r="G18" i="8" s="1"/>
  <c r="F16" i="8"/>
  <c r="F17" i="8" s="1"/>
  <c r="F18" i="8" s="1"/>
  <c r="E16" i="8"/>
  <c r="E17" i="8" s="1"/>
  <c r="E18" i="8" s="1"/>
  <c r="D16" i="8"/>
  <c r="D17" i="8" s="1"/>
  <c r="D18" i="8" s="1"/>
  <c r="C16" i="8"/>
  <c r="C17" i="8" s="1"/>
  <c r="M13" i="8"/>
  <c r="M12" i="8"/>
  <c r="M11" i="8"/>
  <c r="M10" i="8"/>
  <c r="M9" i="8"/>
  <c r="M8" i="8"/>
  <c r="M7" i="8"/>
  <c r="M5" i="8"/>
  <c r="M16" i="8" l="1"/>
  <c r="M36" i="8"/>
  <c r="C38" i="8"/>
  <c r="K38" i="8" s="1"/>
  <c r="K37" i="8"/>
  <c r="K17" i="8"/>
  <c r="C18" i="8"/>
  <c r="K18" i="8" s="1"/>
</calcChain>
</file>

<file path=xl/sharedStrings.xml><?xml version="1.0" encoding="utf-8"?>
<sst xmlns="http://schemas.openxmlformats.org/spreadsheetml/2006/main" count="519" uniqueCount="82">
  <si>
    <t>NF</t>
  </si>
  <si>
    <t>LJ 05</t>
  </si>
  <si>
    <t>LJ 02</t>
  </si>
  <si>
    <t>CNPJ</t>
  </si>
  <si>
    <t>LOJA</t>
  </si>
  <si>
    <t>R$</t>
  </si>
  <si>
    <t>Vlr</t>
  </si>
  <si>
    <t>LJ 01</t>
  </si>
  <si>
    <t>LJ 03</t>
  </si>
  <si>
    <t>LJ 04</t>
  </si>
  <si>
    <t>LJ 07</t>
  </si>
  <si>
    <t>VENCMTO</t>
  </si>
  <si>
    <t>VCMTO</t>
  </si>
  <si>
    <t>OBS</t>
  </si>
  <si>
    <t>DATA PEDIDO</t>
  </si>
  <si>
    <t>PEDIDOS HIGAS - GÔNDOLA</t>
  </si>
  <si>
    <t>LJ 01 ROBRÚ</t>
  </si>
  <si>
    <t>LJ 02 TIBURCIO</t>
  </si>
  <si>
    <t>LJ 03 PRAÇA S. TELLES</t>
  </si>
  <si>
    <t>LJ 04 BARREIRA GRANDE</t>
  </si>
  <si>
    <t>LJ 06 ITAQUÁ</t>
  </si>
  <si>
    <t>LJ 07 SAPOPEMBA</t>
  </si>
  <si>
    <t>LJ 06</t>
  </si>
  <si>
    <t>ROBRU</t>
  </si>
  <si>
    <t>TIBURCIO</t>
  </si>
  <si>
    <t>PRAÇA S. TELLES</t>
  </si>
  <si>
    <t>BARR.GDE</t>
  </si>
  <si>
    <t>NORDESTINA</t>
  </si>
  <si>
    <t>ITAQUÁ</t>
  </si>
  <si>
    <t>SAPOBEMBA</t>
  </si>
  <si>
    <t>Vlr Desc. 5%</t>
  </si>
  <si>
    <t>ITAQUERA</t>
  </si>
  <si>
    <t>LJ 8- ITAQUERA</t>
  </si>
  <si>
    <t>LJ 8</t>
  </si>
  <si>
    <t>LJ 9 - SANTO ANDRÉ</t>
  </si>
  <si>
    <t>LJ 05 CURUÇA- NORDESTINA</t>
  </si>
  <si>
    <t>LJ 07 SAPOPEMBA ( PRIMAV.)</t>
  </si>
  <si>
    <t>FINO-10,50</t>
  </si>
  <si>
    <t>EMAIL PARA CENTRAL</t>
  </si>
  <si>
    <t>TP - 15,50</t>
  </si>
  <si>
    <t>LJ 10 - SANTO ANDRÉ</t>
  </si>
  <si>
    <t>LJ 10</t>
  </si>
  <si>
    <t xml:space="preserve">HIGAS PEDIDO GONDOLA </t>
  </si>
  <si>
    <t>M - 8,50</t>
  </si>
  <si>
    <t>FR250 -5,70</t>
  </si>
  <si>
    <t>FR1KG - 20,00</t>
  </si>
  <si>
    <t>FLOCOS-17,00</t>
  </si>
  <si>
    <t>OVO-17,25</t>
  </si>
  <si>
    <t>CLARA-17,25</t>
  </si>
  <si>
    <t>GEMA-32,00</t>
  </si>
  <si>
    <t>HIGAS PEDIDO PADARIA  DATA 23/09/24</t>
  </si>
  <si>
    <t>DESCONTO</t>
  </si>
  <si>
    <t>VALOR</t>
  </si>
  <si>
    <t>R$ C/ DESC</t>
  </si>
  <si>
    <t>VENCIMENTO</t>
  </si>
  <si>
    <t>M</t>
  </si>
  <si>
    <t xml:space="preserve">FR250 </t>
  </si>
  <si>
    <t>TOTAL QTDD</t>
  </si>
  <si>
    <t>TOTAL</t>
  </si>
  <si>
    <t>TOTAL POR PRODUTO $</t>
  </si>
  <si>
    <t>TOTAL POR PRODUTO $ COM DESC</t>
  </si>
  <si>
    <t>HIGAS PEDIDO GONDOLA PADARIA DATA 23/09/24</t>
  </si>
  <si>
    <t>LJ 11 - PROX. NORDESTINA</t>
  </si>
  <si>
    <t>LJ 09</t>
  </si>
  <si>
    <t>LJ 11</t>
  </si>
  <si>
    <t>FR250 -6,00</t>
  </si>
  <si>
    <t xml:space="preserve">TP </t>
  </si>
  <si>
    <t>LJ 10- SANTO ANDRÉ</t>
  </si>
  <si>
    <t>CLARA-19,00</t>
  </si>
  <si>
    <t>OVO-20,50</t>
  </si>
  <si>
    <t>GEMA-37,50</t>
  </si>
  <si>
    <t>CLARA</t>
  </si>
  <si>
    <t>GEMA</t>
  </si>
  <si>
    <t>OVO</t>
  </si>
  <si>
    <t>FLOCOS</t>
  </si>
  <si>
    <t>FINO</t>
  </si>
  <si>
    <t>FR1KG</t>
  </si>
  <si>
    <t>FR1KG - 24,50</t>
  </si>
  <si>
    <t>FINO-12,50</t>
  </si>
  <si>
    <t>FLOCOS-22,00</t>
  </si>
  <si>
    <t>*</t>
  </si>
  <si>
    <t>HIGAS PEDIDO PADARIA DATA 09/02/26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</si>
</sst>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2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22"/>
      <color theme="1"/>
      <name val="Arial"/>
      <family val="2"/>
    </font>
    <font>
      <sz val="26"/>
      <color theme="1"/>
      <name val="Arial"/>
      <family val="2"/>
    </font>
    <font>
      <sz val="26"/>
      <color theme="1"/>
      <name val="Calibri"/>
      <family val="2"/>
      <scheme val="minor"/>
    </font>
    <font>
      <sz val="24"/>
      <name val="Arial"/>
      <family val="2"/>
    </font>
    <font>
      <sz val="22"/>
      <name val="Arial"/>
      <family val="2"/>
    </font>
    <font>
      <sz val="26"/>
      <name val="Arial"/>
      <family val="2"/>
    </font>
    <font>
      <sz val="22"/>
      <name val="Calibri"/>
      <family val="2"/>
      <scheme val="minor"/>
    </font>
    <font>
      <b/>
      <sz val="22"/>
      <color rgb="FFFF0000"/>
      <name val="Arial"/>
      <family val="2"/>
    </font>
    <font>
      <b/>
      <sz val="12"/>
      <color rgb="FFFF0000"/>
      <name val="Calibri"/>
      <family val="2"/>
      <scheme val="minor"/>
    </font>
    <font>
      <sz val="18"/>
      <name val="Arial"/>
      <family val="2"/>
    </font>
    <font>
      <sz val="18"/>
      <color theme="1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"/>
      <family val="2"/>
    </font>
    <font>
      <sz val="16"/>
      <color theme="1"/>
      <name val="Calibri"/>
      <family val="2"/>
      <scheme val="minor"/>
    </font>
    <font>
      <sz val="14"/>
      <name val="Arial"/>
      <family val="2"/>
    </font>
    <font>
      <b/>
      <sz val="14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Arial Black"/>
      <family val="2"/>
    </font>
    <font>
      <sz val="24"/>
      <color theme="1"/>
      <name val="Arial"/>
      <family val="2"/>
    </font>
    <font>
      <sz val="24"/>
      <color theme="1"/>
      <name val="Calibri"/>
      <family val="2"/>
      <scheme val="minor"/>
    </font>
    <font>
      <b/>
      <sz val="18"/>
      <color rgb="FFFF0000"/>
      <name val="Arial"/>
      <family val="2"/>
    </font>
    <font>
      <sz val="24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1" fontId="2" fillId="3" borderId="17" xfId="0" applyNumberFormat="1" applyFont="1" applyFill="1" applyBorder="1" applyAlignment="1">
      <alignment horizontal="center"/>
    </xf>
    <xf numFmtId="0" fontId="2" fillId="3" borderId="17" xfId="0" applyFont="1" applyFill="1" applyBorder="1" applyAlignment="1">
      <alignment horizontal="center"/>
    </xf>
    <xf numFmtId="164" fontId="2" fillId="3" borderId="17" xfId="0" applyNumberFormat="1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/>
    </xf>
    <xf numFmtId="44" fontId="2" fillId="3" borderId="19" xfId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0" fillId="0" borderId="2" xfId="0" applyNumberFormat="1" applyBorder="1"/>
    <xf numFmtId="0" fontId="2" fillId="3" borderId="10" xfId="0" applyFont="1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3" xfId="0" applyNumberFormat="1" applyBorder="1" applyAlignment="1">
      <alignment horizontal="center"/>
    </xf>
    <xf numFmtId="0" fontId="2" fillId="0" borderId="13" xfId="0" applyFont="1" applyBorder="1" applyAlignment="1">
      <alignment horizontal="center"/>
    </xf>
    <xf numFmtId="44" fontId="6" fillId="0" borderId="1" xfId="1" applyFont="1" applyBorder="1"/>
    <xf numFmtId="0" fontId="2" fillId="3" borderId="14" xfId="0" applyFont="1" applyFill="1" applyBorder="1" applyAlignment="1">
      <alignment horizontal="center"/>
    </xf>
    <xf numFmtId="44" fontId="0" fillId="0" borderId="0" xfId="1" applyFont="1"/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21" xfId="1" applyNumberFormat="1" applyFont="1" applyBorder="1" applyAlignment="1">
      <alignment horizontal="left"/>
    </xf>
    <xf numFmtId="1" fontId="0" fillId="0" borderId="1" xfId="1" applyNumberFormat="1" applyFont="1" applyBorder="1" applyAlignment="1">
      <alignment horizontal="left"/>
    </xf>
    <xf numFmtId="0" fontId="8" fillId="0" borderId="0" xfId="0" applyFont="1"/>
    <xf numFmtId="164" fontId="2" fillId="3" borderId="23" xfId="0" applyNumberFormat="1" applyFont="1" applyFill="1" applyBorder="1" applyAlignment="1">
      <alignment horizontal="center"/>
    </xf>
    <xf numFmtId="14" fontId="2" fillId="3" borderId="27" xfId="0" applyNumberFormat="1" applyFont="1" applyFill="1" applyBorder="1" applyAlignment="1">
      <alignment horizontal="center"/>
    </xf>
    <xf numFmtId="14" fontId="0" fillId="0" borderId="13" xfId="0" applyNumberFormat="1" applyBorder="1"/>
    <xf numFmtId="44" fontId="11" fillId="0" borderId="1" xfId="1" applyFont="1" applyBorder="1" applyAlignment="1"/>
    <xf numFmtId="0" fontId="12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  <xf numFmtId="1" fontId="10" fillId="0" borderId="2" xfId="0" applyNumberFormat="1" applyFont="1" applyBorder="1" applyAlignment="1">
      <alignment horizontal="center"/>
    </xf>
    <xf numFmtId="0" fontId="8" fillId="3" borderId="14" xfId="0" applyFont="1" applyFill="1" applyBorder="1" applyAlignment="1">
      <alignment horizontal="center"/>
    </xf>
    <xf numFmtId="0" fontId="10" fillId="3" borderId="3" xfId="0" applyFont="1" applyFill="1" applyBorder="1" applyAlignment="1">
      <alignment horizontal="center"/>
    </xf>
    <xf numFmtId="0" fontId="8" fillId="0" borderId="0" xfId="0" applyFont="1" applyAlignment="1">
      <alignment vertical="center"/>
    </xf>
    <xf numFmtId="0" fontId="10" fillId="0" borderId="25" xfId="0" applyFont="1" applyBorder="1" applyAlignment="1">
      <alignment vertical="center"/>
    </xf>
    <xf numFmtId="0" fontId="10" fillId="0" borderId="0" xfId="0" applyFont="1" applyAlignment="1">
      <alignment horizontal="center" vertical="center"/>
    </xf>
    <xf numFmtId="1" fontId="8" fillId="3" borderId="21" xfId="0" applyNumberFormat="1" applyFont="1" applyFill="1" applyBorder="1" applyAlignment="1">
      <alignment horizontal="center"/>
    </xf>
    <xf numFmtId="14" fontId="8" fillId="3" borderId="13" xfId="0" applyNumberFormat="1" applyFont="1" applyFill="1" applyBorder="1" applyAlignment="1">
      <alignment horizontal="center"/>
    </xf>
    <xf numFmtId="44" fontId="8" fillId="3" borderId="21" xfId="1" applyFont="1" applyFill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/>
    </xf>
    <xf numFmtId="164" fontId="3" fillId="3" borderId="17" xfId="0" applyNumberFormat="1" applyFont="1" applyFill="1" applyBorder="1" applyAlignment="1">
      <alignment horizontal="center"/>
    </xf>
    <xf numFmtId="44" fontId="9" fillId="0" borderId="1" xfId="1" applyFont="1" applyBorder="1"/>
    <xf numFmtId="44" fontId="0" fillId="0" borderId="2" xfId="1" applyFont="1" applyBorder="1"/>
    <xf numFmtId="1" fontId="2" fillId="0" borderId="13" xfId="0" applyNumberFormat="1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4" fillId="4" borderId="3" xfId="0" applyFont="1" applyFill="1" applyBorder="1" applyAlignment="1">
      <alignment horizontal="center"/>
    </xf>
    <xf numFmtId="1" fontId="8" fillId="4" borderId="13" xfId="0" applyNumberFormat="1" applyFont="1" applyFill="1" applyBorder="1" applyAlignment="1">
      <alignment horizontal="center"/>
    </xf>
    <xf numFmtId="0" fontId="8" fillId="4" borderId="13" xfId="0" applyFont="1" applyFill="1" applyBorder="1" applyAlignment="1">
      <alignment horizontal="center"/>
    </xf>
    <xf numFmtId="1" fontId="0" fillId="0" borderId="1" xfId="1" applyNumberFormat="1" applyFont="1" applyBorder="1" applyAlignment="1">
      <alignment horizontal="center"/>
    </xf>
    <xf numFmtId="9" fontId="14" fillId="5" borderId="0" xfId="0" applyNumberFormat="1" applyFont="1" applyFill="1"/>
    <xf numFmtId="14" fontId="8" fillId="4" borderId="13" xfId="0" applyNumberFormat="1" applyFont="1" applyFill="1" applyBorder="1" applyAlignment="1">
      <alignment horizontal="center"/>
    </xf>
    <xf numFmtId="44" fontId="8" fillId="4" borderId="21" xfId="1" applyFont="1" applyFill="1" applyBorder="1" applyAlignment="1">
      <alignment horizontal="center"/>
    </xf>
    <xf numFmtId="164" fontId="2" fillId="0" borderId="2" xfId="1" applyNumberFormat="1" applyFont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164" fontId="3" fillId="0" borderId="2" xfId="1" applyNumberFormat="1" applyFont="1" applyBorder="1" applyAlignment="1">
      <alignment horizontal="center"/>
    </xf>
    <xf numFmtId="0" fontId="16" fillId="4" borderId="13" xfId="0" applyFont="1" applyFill="1" applyBorder="1" applyAlignment="1">
      <alignment horizontal="center"/>
    </xf>
    <xf numFmtId="0" fontId="16" fillId="3" borderId="13" xfId="0" applyFont="1" applyFill="1" applyBorder="1" applyAlignment="1">
      <alignment horizontal="center"/>
    </xf>
    <xf numFmtId="0" fontId="16" fillId="3" borderId="14" xfId="0" applyFont="1" applyFill="1" applyBorder="1" applyAlignment="1">
      <alignment horizontal="center"/>
    </xf>
    <xf numFmtId="164" fontId="11" fillId="0" borderId="1" xfId="1" applyNumberFormat="1" applyFont="1" applyBorder="1" applyAlignment="1"/>
    <xf numFmtId="44" fontId="11" fillId="0" borderId="1" xfId="1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4" fillId="0" borderId="0" xfId="0" applyFont="1"/>
    <xf numFmtId="0" fontId="15" fillId="0" borderId="19" xfId="0" applyFont="1" applyBorder="1" applyAlignment="1">
      <alignment horizontal="center" vertical="center"/>
    </xf>
    <xf numFmtId="14" fontId="15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14" fontId="11" fillId="0" borderId="1" xfId="1" applyNumberFormat="1" applyFont="1" applyBorder="1" applyAlignment="1"/>
    <xf numFmtId="0" fontId="15" fillId="0" borderId="9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13" fillId="0" borderId="23" xfId="0" applyFont="1" applyBorder="1" applyAlignment="1">
      <alignment horizontal="center"/>
    </xf>
    <xf numFmtId="1" fontId="7" fillId="0" borderId="1" xfId="1" applyNumberFormat="1" applyFont="1" applyBorder="1" applyAlignment="1">
      <alignment horizontal="left"/>
    </xf>
    <xf numFmtId="0" fontId="2" fillId="3" borderId="6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1" fontId="10" fillId="0" borderId="4" xfId="0" applyNumberFormat="1" applyFont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0" fontId="13" fillId="0" borderId="22" xfId="0" applyFont="1" applyBorder="1" applyAlignment="1">
      <alignment horizontal="center"/>
    </xf>
    <xf numFmtId="0" fontId="15" fillId="0" borderId="22" xfId="0" applyFont="1" applyBorder="1" applyAlignment="1">
      <alignment horizontal="center"/>
    </xf>
    <xf numFmtId="0" fontId="10" fillId="3" borderId="31" xfId="0" applyFont="1" applyFill="1" applyBorder="1" applyAlignment="1">
      <alignment horizontal="center"/>
    </xf>
    <xf numFmtId="0" fontId="14" fillId="3" borderId="31" xfId="0" applyFont="1" applyFill="1" applyBorder="1" applyAlignment="1">
      <alignment horizontal="center"/>
    </xf>
    <xf numFmtId="1" fontId="14" fillId="0" borderId="4" xfId="0" applyNumberFormat="1" applyFont="1" applyBorder="1" applyAlignment="1">
      <alignment horizontal="center"/>
    </xf>
    <xf numFmtId="14" fontId="11" fillId="0" borderId="12" xfId="1" applyNumberFormat="1" applyFont="1" applyBorder="1" applyAlignment="1"/>
    <xf numFmtId="0" fontId="10" fillId="3" borderId="10" xfId="0" applyFont="1" applyFill="1" applyBorder="1" applyAlignment="1">
      <alignment horizontal="center"/>
    </xf>
    <xf numFmtId="1" fontId="10" fillId="0" borderId="9" xfId="0" applyNumberFormat="1" applyFont="1" applyBorder="1" applyAlignment="1">
      <alignment horizontal="center"/>
    </xf>
    <xf numFmtId="14" fontId="11" fillId="0" borderId="32" xfId="1" applyNumberFormat="1" applyFont="1" applyBorder="1" applyAlignment="1"/>
    <xf numFmtId="44" fontId="11" fillId="2" borderId="20" xfId="1" applyFont="1" applyFill="1" applyBorder="1" applyAlignment="1">
      <alignment horizontal="center"/>
    </xf>
    <xf numFmtId="44" fontId="18" fillId="0" borderId="1" xfId="1" applyFont="1" applyBorder="1"/>
    <xf numFmtId="14" fontId="2" fillId="0" borderId="13" xfId="1" applyNumberFormat="1" applyFont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17" fillId="0" borderId="0" xfId="0" applyFont="1" applyAlignment="1">
      <alignment horizontal="center" wrapText="1"/>
    </xf>
    <xf numFmtId="0" fontId="19" fillId="0" borderId="0" xfId="0" applyFont="1" applyAlignment="1">
      <alignment horizontal="left" vertical="center"/>
    </xf>
    <xf numFmtId="9" fontId="19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24" fillId="0" borderId="29" xfId="0" applyFont="1" applyBorder="1" applyAlignment="1">
      <alignment horizontal="center"/>
    </xf>
    <xf numFmtId="0" fontId="24" fillId="0" borderId="4" xfId="0" applyFont="1" applyBorder="1" applyAlignment="1">
      <alignment horizontal="center"/>
    </xf>
    <xf numFmtId="0" fontId="25" fillId="0" borderId="39" xfId="0" applyFont="1" applyBorder="1" applyAlignment="1">
      <alignment horizontal="center"/>
    </xf>
    <xf numFmtId="1" fontId="26" fillId="0" borderId="31" xfId="0" applyNumberFormat="1" applyFont="1" applyBorder="1" applyAlignment="1">
      <alignment horizontal="center" vertical="center"/>
    </xf>
    <xf numFmtId="164" fontId="24" fillId="0" borderId="4" xfId="1" applyNumberFormat="1" applyFont="1" applyBorder="1" applyAlignment="1"/>
    <xf numFmtId="14" fontId="24" fillId="0" borderId="40" xfId="1" applyNumberFormat="1" applyFont="1" applyBorder="1" applyAlignment="1"/>
    <xf numFmtId="1" fontId="27" fillId="0" borderId="11" xfId="0" applyNumberFormat="1" applyFont="1" applyBorder="1" applyAlignment="1">
      <alignment horizontal="center"/>
    </xf>
    <xf numFmtId="0" fontId="28" fillId="0" borderId="16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30" fillId="6" borderId="0" xfId="0" applyFont="1" applyFill="1" applyAlignment="1">
      <alignment horizontal="center"/>
    </xf>
    <xf numFmtId="164" fontId="31" fillId="0" borderId="37" xfId="1" applyNumberFormat="1" applyFont="1" applyBorder="1" applyAlignment="1"/>
    <xf numFmtId="44" fontId="24" fillId="0" borderId="16" xfId="0" applyNumberFormat="1" applyFont="1" applyBorder="1" applyAlignment="1">
      <alignment horizontal="center" vertical="center"/>
    </xf>
    <xf numFmtId="44" fontId="24" fillId="0" borderId="17" xfId="0" applyNumberFormat="1" applyFont="1" applyBorder="1" applyAlignment="1">
      <alignment horizontal="center" vertical="center"/>
    </xf>
    <xf numFmtId="1" fontId="27" fillId="0" borderId="3" xfId="0" applyNumberFormat="1" applyFont="1" applyBorder="1" applyAlignment="1">
      <alignment horizontal="center"/>
    </xf>
    <xf numFmtId="1" fontId="27" fillId="0" borderId="30" xfId="0" applyNumberFormat="1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24" fillId="0" borderId="39" xfId="0" applyFont="1" applyBorder="1" applyAlignment="1">
      <alignment horizontal="center"/>
    </xf>
    <xf numFmtId="0" fontId="4" fillId="4" borderId="36" xfId="0" applyFont="1" applyFill="1" applyBorder="1" applyAlignment="1">
      <alignment horizontal="center"/>
    </xf>
    <xf numFmtId="0" fontId="28" fillId="4" borderId="38" xfId="0" applyFont="1" applyFill="1" applyBorder="1" applyAlignment="1">
      <alignment horizontal="center"/>
    </xf>
    <xf numFmtId="0" fontId="27" fillId="4" borderId="38" xfId="0" applyFont="1" applyFill="1" applyBorder="1" applyAlignment="1">
      <alignment horizontal="center"/>
    </xf>
    <xf numFmtId="1" fontId="21" fillId="4" borderId="35" xfId="0" applyNumberFormat="1" applyFont="1" applyFill="1" applyBorder="1" applyAlignment="1">
      <alignment horizontal="center"/>
    </xf>
    <xf numFmtId="2" fontId="22" fillId="4" borderId="24" xfId="1" applyNumberFormat="1" applyFont="1" applyFill="1" applyBorder="1" applyAlignment="1">
      <alignment horizontal="center"/>
    </xf>
    <xf numFmtId="2" fontId="22" fillId="4" borderId="33" xfId="1" applyNumberFormat="1" applyFont="1" applyFill="1" applyBorder="1" applyAlignment="1">
      <alignment horizontal="center"/>
    </xf>
    <xf numFmtId="2" fontId="21" fillId="4" borderId="26" xfId="0" applyNumberFormat="1" applyFont="1" applyFill="1" applyBorder="1" applyAlignment="1">
      <alignment horizontal="center"/>
    </xf>
    <xf numFmtId="1" fontId="21" fillId="4" borderId="37" xfId="0" applyNumberFormat="1" applyFont="1" applyFill="1" applyBorder="1" applyAlignment="1">
      <alignment horizontal="center"/>
    </xf>
    <xf numFmtId="0" fontId="22" fillId="4" borderId="6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7" xfId="0" applyFont="1" applyFill="1" applyBorder="1" applyAlignment="1">
      <alignment horizontal="center"/>
    </xf>
    <xf numFmtId="0" fontId="21" fillId="4" borderId="15" xfId="0" applyFont="1" applyFill="1" applyBorder="1" applyAlignment="1">
      <alignment horizontal="center"/>
    </xf>
    <xf numFmtId="164" fontId="29" fillId="2" borderId="37" xfId="1" applyNumberFormat="1" applyFont="1" applyFill="1" applyBorder="1" applyAlignment="1"/>
    <xf numFmtId="0" fontId="32" fillId="0" borderId="29" xfId="0" applyFont="1" applyBorder="1" applyAlignment="1">
      <alignment horizontal="center"/>
    </xf>
    <xf numFmtId="0" fontId="32" fillId="0" borderId="4" xfId="0" applyFont="1" applyBorder="1" applyAlignment="1">
      <alignment horizontal="center"/>
    </xf>
    <xf numFmtId="0" fontId="32" fillId="0" borderId="39" xfId="0" applyFont="1" applyBorder="1" applyAlignment="1">
      <alignment horizontal="center"/>
    </xf>
    <xf numFmtId="0" fontId="33" fillId="0" borderId="39" xfId="0" applyFont="1" applyBorder="1" applyAlignment="1">
      <alignment horizontal="center"/>
    </xf>
    <xf numFmtId="1" fontId="13" fillId="0" borderId="31" xfId="0" applyNumberFormat="1" applyFont="1" applyBorder="1" applyAlignment="1">
      <alignment horizontal="center" vertical="center"/>
    </xf>
    <xf numFmtId="164" fontId="32" fillId="0" borderId="4" xfId="1" applyNumberFormat="1" applyFont="1" applyBorder="1" applyAlignment="1"/>
    <xf numFmtId="0" fontId="2" fillId="3" borderId="2" xfId="0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44" fontId="0" fillId="0" borderId="13" xfId="1" applyFont="1" applyBorder="1"/>
    <xf numFmtId="0" fontId="2" fillId="3" borderId="9" xfId="0" applyFont="1" applyFill="1" applyBorder="1" applyAlignment="1">
      <alignment horizontal="center"/>
    </xf>
    <xf numFmtId="0" fontId="2" fillId="0" borderId="9" xfId="0" applyFont="1" applyBorder="1" applyAlignment="1">
      <alignment horizontal="center"/>
    </xf>
    <xf numFmtId="14" fontId="0" fillId="0" borderId="9" xfId="0" applyNumberFormat="1" applyBorder="1"/>
    <xf numFmtId="44" fontId="0" fillId="0" borderId="9" xfId="1" applyFont="1" applyBorder="1"/>
    <xf numFmtId="1" fontId="0" fillId="0" borderId="20" xfId="1" applyNumberFormat="1" applyFont="1" applyBorder="1" applyAlignment="1">
      <alignment horizontal="left"/>
    </xf>
    <xf numFmtId="164" fontId="2" fillId="0" borderId="13" xfId="1" applyNumberFormat="1" applyFont="1" applyBorder="1" applyAlignment="1">
      <alignment horizontal="center"/>
    </xf>
    <xf numFmtId="44" fontId="6" fillId="0" borderId="21" xfId="1" applyFont="1" applyBorder="1"/>
    <xf numFmtId="1" fontId="3" fillId="0" borderId="9" xfId="0" applyNumberFormat="1" applyFont="1" applyBorder="1" applyAlignment="1">
      <alignment horizontal="center"/>
    </xf>
    <xf numFmtId="14" fontId="2" fillId="0" borderId="9" xfId="1" applyNumberFormat="1" applyFont="1" applyBorder="1" applyAlignment="1">
      <alignment horizontal="center"/>
    </xf>
    <xf numFmtId="164" fontId="2" fillId="0" borderId="9" xfId="1" applyNumberFormat="1" applyFont="1" applyBorder="1" applyAlignment="1">
      <alignment horizontal="center"/>
    </xf>
    <xf numFmtId="44" fontId="6" fillId="0" borderId="20" xfId="1" applyFont="1" applyBorder="1"/>
    <xf numFmtId="0" fontId="34" fillId="0" borderId="0" xfId="0" applyFont="1" applyAlignment="1">
      <alignment horizontal="center" vertical="center"/>
    </xf>
    <xf numFmtId="1" fontId="27" fillId="2" borderId="11" xfId="0" applyNumberFormat="1" applyFont="1" applyFill="1" applyBorder="1" applyAlignment="1">
      <alignment horizontal="center"/>
    </xf>
    <xf numFmtId="164" fontId="32" fillId="2" borderId="4" xfId="1" applyNumberFormat="1" applyFont="1" applyFill="1" applyBorder="1" applyAlignment="1"/>
    <xf numFmtId="164" fontId="24" fillId="2" borderId="4" xfId="1" applyNumberFormat="1" applyFont="1" applyFill="1" applyBorder="1" applyAlignment="1"/>
    <xf numFmtId="14" fontId="24" fillId="2" borderId="40" xfId="1" applyNumberFormat="1" applyFont="1" applyFill="1" applyBorder="1" applyAlignment="1"/>
    <xf numFmtId="0" fontId="0" fillId="2" borderId="0" xfId="0" applyFill="1"/>
    <xf numFmtId="0" fontId="13" fillId="0" borderId="4" xfId="0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0" fontId="35" fillId="0" borderId="39" xfId="0" applyFont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2" borderId="39" xfId="0" applyFont="1" applyFill="1" applyBorder="1" applyAlignment="1">
      <alignment horizontal="center"/>
    </xf>
    <xf numFmtId="0" fontId="35" fillId="2" borderId="39" xfId="0" applyFont="1" applyFill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29" xfId="0" applyFont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5" fillId="3" borderId="7" xfId="0" applyNumberFormat="1" applyFont="1" applyFill="1" applyBorder="1" applyAlignment="1">
      <alignment horizontal="center"/>
    </xf>
    <xf numFmtId="164" fontId="5" fillId="3" borderId="15" xfId="0" applyNumberFormat="1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14" fontId="0" fillId="0" borderId="13" xfId="0" applyNumberFormat="1" applyBorder="1" applyAlignment="1">
      <alignment horizontal="center" vertical="center" textRotation="90"/>
    </xf>
    <xf numFmtId="14" fontId="0" fillId="0" borderId="2" xfId="0" applyNumberFormat="1" applyBorder="1" applyAlignment="1">
      <alignment horizontal="center" vertical="center" textRotation="90"/>
    </xf>
    <xf numFmtId="14" fontId="0" fillId="0" borderId="9" xfId="0" applyNumberFormat="1" applyBorder="1" applyAlignment="1">
      <alignment horizontal="center" vertical="center" textRotation="90"/>
    </xf>
    <xf numFmtId="14" fontId="0" fillId="0" borderId="24" xfId="0" applyNumberFormat="1" applyBorder="1" applyAlignment="1">
      <alignment horizontal="center" vertical="center" textRotation="90"/>
    </xf>
    <xf numFmtId="14" fontId="0" fillId="0" borderId="23" xfId="0" applyNumberFormat="1" applyBorder="1" applyAlignment="1">
      <alignment horizontal="center" vertical="center" textRotation="90"/>
    </xf>
    <xf numFmtId="14" fontId="0" fillId="0" borderId="17" xfId="0" applyNumberFormat="1" applyBorder="1" applyAlignment="1">
      <alignment horizontal="center" vertical="center" textRotation="90"/>
    </xf>
    <xf numFmtId="0" fontId="21" fillId="4" borderId="35" xfId="0" applyFont="1" applyFill="1" applyBorder="1" applyAlignment="1">
      <alignment horizontal="center" vertical="center"/>
    </xf>
    <xf numFmtId="0" fontId="21" fillId="4" borderId="16" xfId="0" applyFont="1" applyFill="1" applyBorder="1" applyAlignment="1">
      <alignment horizontal="center" vertical="center"/>
    </xf>
    <xf numFmtId="164" fontId="23" fillId="4" borderId="24" xfId="0" applyNumberFormat="1" applyFont="1" applyFill="1" applyBorder="1" applyAlignment="1">
      <alignment horizontal="center" vertical="center"/>
    </xf>
    <xf numFmtId="164" fontId="23" fillId="4" borderId="17" xfId="0" applyNumberFormat="1" applyFont="1" applyFill="1" applyBorder="1" applyAlignment="1">
      <alignment horizontal="center" vertical="center"/>
    </xf>
    <xf numFmtId="44" fontId="0" fillId="4" borderId="26" xfId="1" applyFont="1" applyFill="1" applyBorder="1" applyAlignment="1">
      <alignment horizontal="center" vertical="center"/>
    </xf>
    <xf numFmtId="44" fontId="0" fillId="4" borderId="28" xfId="1" applyFont="1" applyFill="1" applyBorder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19" fillId="0" borderId="34" xfId="0" applyFont="1" applyBorder="1" applyAlignment="1">
      <alignment horizontal="center" vertical="center"/>
    </xf>
    <xf numFmtId="0" fontId="17" fillId="0" borderId="0" xfId="0" applyFont="1" applyAlignment="1">
      <alignment horizontal="center" wrapText="1"/>
    </xf>
    <xf numFmtId="0" fontId="14" fillId="3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34"/>
  <sheetViews>
    <sheetView zoomScale="110" zoomScaleNormal="110" workbookViewId="0">
      <selection activeCell="F9" sqref="F9"/>
    </sheetView>
  </sheetViews>
  <sheetFormatPr defaultRowHeight="15" x14ac:dyDescent="0.25"/>
  <cols>
    <col min="1" max="1" width="23.42578125" style="1" bestFit="1" customWidth="1"/>
    <col min="2" max="2" width="26.28515625" style="1" bestFit="1" customWidth="1"/>
    <col min="3" max="3" width="18.28515625" style="19" customWidth="1"/>
    <col min="4" max="4" width="10" style="21" customWidth="1"/>
    <col min="5" max="5" width="10.85546875" style="20" bestFit="1" customWidth="1"/>
    <col min="6" max="6" width="12.140625" style="21" customWidth="1"/>
    <col min="7" max="7" width="13" style="21" customWidth="1"/>
    <col min="8" max="8" width="10.28515625" style="20" customWidth="1"/>
    <col min="9" max="9" width="14.85546875" style="2" bestFit="1" customWidth="1"/>
    <col min="10" max="10" width="16.7109375" style="18" customWidth="1"/>
    <col min="11" max="11" width="21.28515625" style="18" customWidth="1"/>
    <col min="12" max="12" width="33.28515625" bestFit="1" customWidth="1"/>
    <col min="13" max="13" width="6.7109375" bestFit="1" customWidth="1"/>
    <col min="15" max="15" width="5.42578125" bestFit="1" customWidth="1"/>
    <col min="16" max="16" width="16.85546875" bestFit="1" customWidth="1"/>
    <col min="17" max="17" width="9.28515625" bestFit="1" customWidth="1"/>
    <col min="18" max="18" width="8.28515625" bestFit="1" customWidth="1"/>
    <col min="19" max="19" width="9.7109375" bestFit="1" customWidth="1"/>
    <col min="20" max="21" width="11.85546875" bestFit="1" customWidth="1"/>
    <col min="22" max="22" width="11.7109375" bestFit="1" customWidth="1"/>
    <col min="23" max="23" width="12.5703125" bestFit="1" customWidth="1"/>
    <col min="24" max="24" width="12.42578125" bestFit="1" customWidth="1"/>
    <col min="25" max="25" width="12.5703125" bestFit="1" customWidth="1"/>
    <col min="26" max="26" width="12.42578125" bestFit="1" customWidth="1"/>
    <col min="27" max="27" width="12" bestFit="1" customWidth="1"/>
    <col min="28" max="28" width="9.7109375" bestFit="1" customWidth="1"/>
    <col min="29" max="29" width="11.7109375" bestFit="1" customWidth="1"/>
    <col min="30" max="30" width="3.42578125" bestFit="1" customWidth="1"/>
    <col min="31" max="31" width="11.5703125" bestFit="1" customWidth="1"/>
    <col min="32" max="32" width="5" bestFit="1" customWidth="1"/>
    <col min="33" max="33" width="11.140625" bestFit="1" customWidth="1"/>
  </cols>
  <sheetData>
    <row r="1" spans="1:11" ht="21.75" thickBot="1" x14ac:dyDescent="0.4">
      <c r="A1" s="173" t="s">
        <v>15</v>
      </c>
      <c r="B1" s="174"/>
      <c r="C1" s="174"/>
      <c r="D1" s="174"/>
      <c r="E1" s="174"/>
      <c r="F1" s="174"/>
      <c r="G1" s="174"/>
      <c r="H1" s="174"/>
      <c r="I1" s="174"/>
      <c r="J1" s="174"/>
      <c r="K1" s="175"/>
    </row>
    <row r="2" spans="1:11" ht="15.75" thickBot="1" x14ac:dyDescent="0.3">
      <c r="A2" s="176" t="s">
        <v>4</v>
      </c>
      <c r="B2" s="177"/>
      <c r="C2" s="3" t="s">
        <v>3</v>
      </c>
      <c r="D2" s="5" t="s">
        <v>43</v>
      </c>
      <c r="E2" s="29" t="s">
        <v>65</v>
      </c>
      <c r="F2" s="4" t="s">
        <v>66</v>
      </c>
      <c r="G2" s="22" t="s">
        <v>14</v>
      </c>
      <c r="H2" s="6" t="s">
        <v>0</v>
      </c>
      <c r="I2" s="30" t="s">
        <v>12</v>
      </c>
      <c r="J2" s="7" t="s">
        <v>6</v>
      </c>
      <c r="K2" s="7" t="s">
        <v>13</v>
      </c>
    </row>
    <row r="3" spans="1:11" x14ac:dyDescent="0.25">
      <c r="A3" s="17" t="s">
        <v>7</v>
      </c>
      <c r="B3" s="145" t="s">
        <v>23</v>
      </c>
      <c r="C3" s="14">
        <v>53062667000185</v>
      </c>
      <c r="D3" s="14"/>
      <c r="E3" s="23"/>
      <c r="F3" s="23"/>
      <c r="G3" s="178"/>
      <c r="H3" s="15"/>
      <c r="I3" s="31"/>
      <c r="J3" s="146"/>
      <c r="K3" s="26"/>
    </row>
    <row r="4" spans="1:11" x14ac:dyDescent="0.25">
      <c r="A4" s="8" t="s">
        <v>2</v>
      </c>
      <c r="B4" s="144" t="s">
        <v>24</v>
      </c>
      <c r="C4" s="9">
        <v>73073165000167</v>
      </c>
      <c r="D4" s="9"/>
      <c r="E4" s="24"/>
      <c r="F4" s="24"/>
      <c r="G4" s="179"/>
      <c r="H4" s="10"/>
      <c r="I4" s="11"/>
      <c r="J4" s="51"/>
      <c r="K4" s="27"/>
    </row>
    <row r="5" spans="1:11" x14ac:dyDescent="0.25">
      <c r="A5" s="8" t="s">
        <v>8</v>
      </c>
      <c r="B5" s="144" t="s">
        <v>25</v>
      </c>
      <c r="C5" s="9">
        <v>2274188000191</v>
      </c>
      <c r="D5" s="9"/>
      <c r="E5" s="24"/>
      <c r="F5" s="24"/>
      <c r="G5" s="179"/>
      <c r="H5" s="10"/>
      <c r="I5" s="11"/>
      <c r="J5" s="51"/>
      <c r="K5" s="62"/>
    </row>
    <row r="6" spans="1:11" x14ac:dyDescent="0.25">
      <c r="A6" s="8" t="s">
        <v>9</v>
      </c>
      <c r="B6" s="144" t="s">
        <v>26</v>
      </c>
      <c r="C6" s="9">
        <v>43161439000109</v>
      </c>
      <c r="D6" s="9"/>
      <c r="E6" s="24"/>
      <c r="F6" s="24"/>
      <c r="G6" s="179"/>
      <c r="H6" s="10"/>
      <c r="I6" s="11"/>
      <c r="J6" s="51"/>
      <c r="K6" s="27"/>
    </row>
    <row r="7" spans="1:11" x14ac:dyDescent="0.25">
      <c r="A7" s="8" t="s">
        <v>1</v>
      </c>
      <c r="B7" s="144" t="s">
        <v>35</v>
      </c>
      <c r="C7" s="9">
        <v>11646469000119</v>
      </c>
      <c r="D7" s="9"/>
      <c r="E7" s="24"/>
      <c r="F7" s="24"/>
      <c r="G7" s="179"/>
      <c r="H7" s="10"/>
      <c r="I7" s="11"/>
      <c r="J7" s="51"/>
      <c r="K7" s="27"/>
    </row>
    <row r="8" spans="1:11" x14ac:dyDescent="0.25">
      <c r="A8" s="8" t="s">
        <v>22</v>
      </c>
      <c r="B8" s="144" t="s">
        <v>28</v>
      </c>
      <c r="C8" s="9">
        <v>53062667000509</v>
      </c>
      <c r="D8" s="9"/>
      <c r="E8" s="24"/>
      <c r="F8" s="24"/>
      <c r="G8" s="179"/>
      <c r="H8" s="10"/>
      <c r="I8" s="11"/>
      <c r="J8" s="51"/>
      <c r="K8" s="27"/>
    </row>
    <row r="9" spans="1:11" x14ac:dyDescent="0.25">
      <c r="A9" s="8" t="s">
        <v>10</v>
      </c>
      <c r="B9" s="144" t="s">
        <v>29</v>
      </c>
      <c r="C9" s="9">
        <v>23602054000122</v>
      </c>
      <c r="D9" s="9"/>
      <c r="E9" s="24"/>
      <c r="F9" s="24"/>
      <c r="G9" s="179"/>
      <c r="H9" s="10"/>
      <c r="I9" s="11"/>
      <c r="J9" s="51"/>
      <c r="K9" s="85"/>
    </row>
    <row r="10" spans="1:11" x14ac:dyDescent="0.25">
      <c r="A10" s="8" t="s">
        <v>33</v>
      </c>
      <c r="B10" s="144" t="s">
        <v>31</v>
      </c>
      <c r="C10" s="9">
        <v>31931045000103</v>
      </c>
      <c r="D10" s="9"/>
      <c r="E10" s="24"/>
      <c r="F10" s="24"/>
      <c r="G10" s="179"/>
      <c r="H10" s="10"/>
      <c r="I10" s="11"/>
      <c r="J10" s="51"/>
      <c r="K10" s="85"/>
    </row>
    <row r="11" spans="1:11" x14ac:dyDescent="0.25">
      <c r="A11" s="8" t="s">
        <v>63</v>
      </c>
      <c r="B11" s="144" t="s">
        <v>34</v>
      </c>
      <c r="C11" s="9">
        <v>23602054000203</v>
      </c>
      <c r="D11" s="9"/>
      <c r="E11" s="24"/>
      <c r="F11" s="24"/>
      <c r="G11" s="179"/>
      <c r="H11" s="10"/>
      <c r="I11" s="11"/>
      <c r="J11" s="51"/>
      <c r="K11" s="85"/>
    </row>
    <row r="12" spans="1:11" x14ac:dyDescent="0.25">
      <c r="A12" s="8" t="s">
        <v>41</v>
      </c>
      <c r="B12" s="144" t="s">
        <v>67</v>
      </c>
      <c r="C12" s="9">
        <v>23602054000203</v>
      </c>
      <c r="D12" s="9"/>
      <c r="E12" s="24"/>
      <c r="F12" s="24"/>
      <c r="G12" s="179"/>
      <c r="H12" s="10"/>
      <c r="I12" s="11"/>
      <c r="J12" s="51"/>
      <c r="K12" s="85"/>
    </row>
    <row r="13" spans="1:11" ht="15.75" thickBot="1" x14ac:dyDescent="0.3">
      <c r="A13" s="12" t="s">
        <v>64</v>
      </c>
      <c r="B13" s="147"/>
      <c r="C13" s="13">
        <v>23602054000203</v>
      </c>
      <c r="D13" s="13"/>
      <c r="E13" s="25"/>
      <c r="F13" s="25"/>
      <c r="G13" s="180"/>
      <c r="H13" s="148"/>
      <c r="I13" s="149"/>
      <c r="J13" s="150"/>
      <c r="K13" s="151"/>
    </row>
    <row r="14" spans="1:11" x14ac:dyDescent="0.25">
      <c r="A14" s="17" t="s">
        <v>7</v>
      </c>
      <c r="B14" s="145" t="s">
        <v>23</v>
      </c>
      <c r="C14" s="14">
        <v>53062667000185</v>
      </c>
      <c r="D14" s="14"/>
      <c r="E14" s="23"/>
      <c r="F14" s="23"/>
      <c r="G14" s="181"/>
      <c r="H14" s="15"/>
      <c r="I14" s="31"/>
      <c r="J14" s="146"/>
      <c r="K14" s="26"/>
    </row>
    <row r="15" spans="1:11" x14ac:dyDescent="0.25">
      <c r="A15" s="8" t="s">
        <v>2</v>
      </c>
      <c r="B15" s="144" t="s">
        <v>24</v>
      </c>
      <c r="C15" s="9">
        <v>73073165000167</v>
      </c>
      <c r="D15" s="9"/>
      <c r="E15" s="24"/>
      <c r="F15" s="24"/>
      <c r="G15" s="182"/>
      <c r="H15" s="10"/>
      <c r="I15" s="11"/>
      <c r="J15" s="51"/>
      <c r="K15" s="27"/>
    </row>
    <row r="16" spans="1:11" x14ac:dyDescent="0.25">
      <c r="A16" s="8" t="s">
        <v>8</v>
      </c>
      <c r="B16" s="144" t="s">
        <v>25</v>
      </c>
      <c r="C16" s="9">
        <v>2274188000191</v>
      </c>
      <c r="D16" s="9"/>
      <c r="E16" s="24"/>
      <c r="F16" s="24"/>
      <c r="G16" s="182"/>
      <c r="H16" s="10"/>
      <c r="I16" s="11"/>
      <c r="J16" s="51"/>
      <c r="K16" s="62"/>
    </row>
    <row r="17" spans="1:11" x14ac:dyDescent="0.25">
      <c r="A17" s="8" t="s">
        <v>9</v>
      </c>
      <c r="B17" s="144" t="s">
        <v>26</v>
      </c>
      <c r="C17" s="9">
        <v>43161439000109</v>
      </c>
      <c r="D17" s="9"/>
      <c r="E17" s="24"/>
      <c r="F17" s="24"/>
      <c r="G17" s="182"/>
      <c r="H17" s="10"/>
      <c r="I17" s="11"/>
      <c r="J17" s="51"/>
      <c r="K17" s="27"/>
    </row>
    <row r="18" spans="1:11" x14ac:dyDescent="0.25">
      <c r="A18" s="8" t="s">
        <v>1</v>
      </c>
      <c r="B18" s="144" t="s">
        <v>35</v>
      </c>
      <c r="C18" s="9">
        <v>11646469000119</v>
      </c>
      <c r="D18" s="9"/>
      <c r="E18" s="24"/>
      <c r="F18" s="24"/>
      <c r="G18" s="182"/>
      <c r="H18" s="10"/>
      <c r="I18" s="11"/>
      <c r="J18" s="51"/>
      <c r="K18" s="27"/>
    </row>
    <row r="19" spans="1:11" x14ac:dyDescent="0.25">
      <c r="A19" s="8" t="s">
        <v>22</v>
      </c>
      <c r="B19" s="144" t="s">
        <v>28</v>
      </c>
      <c r="C19" s="9">
        <v>53062667000509</v>
      </c>
      <c r="D19" s="9"/>
      <c r="E19" s="24"/>
      <c r="F19" s="24"/>
      <c r="G19" s="182"/>
      <c r="H19" s="10"/>
      <c r="I19" s="11"/>
      <c r="J19" s="51"/>
      <c r="K19" s="27"/>
    </row>
    <row r="20" spans="1:11" x14ac:dyDescent="0.25">
      <c r="A20" s="8" t="s">
        <v>10</v>
      </c>
      <c r="B20" s="144" t="s">
        <v>29</v>
      </c>
      <c r="C20" s="9">
        <v>23602054000122</v>
      </c>
      <c r="D20" s="9"/>
      <c r="E20" s="24"/>
      <c r="F20" s="24"/>
      <c r="G20" s="182"/>
      <c r="H20" s="10"/>
      <c r="I20" s="11"/>
      <c r="J20" s="51"/>
      <c r="K20" s="85"/>
    </row>
    <row r="21" spans="1:11" x14ac:dyDescent="0.25">
      <c r="A21" s="8" t="s">
        <v>33</v>
      </c>
      <c r="B21" s="144" t="s">
        <v>31</v>
      </c>
      <c r="C21" s="9">
        <v>31931045000103</v>
      </c>
      <c r="D21" s="9"/>
      <c r="E21" s="24"/>
      <c r="F21" s="24"/>
      <c r="G21" s="182"/>
      <c r="H21" s="10"/>
      <c r="I21" s="11"/>
      <c r="J21" s="51"/>
      <c r="K21" s="85"/>
    </row>
    <row r="22" spans="1:11" x14ac:dyDescent="0.25">
      <c r="A22" s="8" t="s">
        <v>63</v>
      </c>
      <c r="B22" s="144" t="s">
        <v>34</v>
      </c>
      <c r="C22" s="9">
        <v>23602054000203</v>
      </c>
      <c r="D22" s="9"/>
      <c r="E22" s="24"/>
      <c r="F22" s="24"/>
      <c r="G22" s="182"/>
      <c r="H22" s="10"/>
      <c r="I22" s="11"/>
      <c r="J22" s="51"/>
      <c r="K22" s="85"/>
    </row>
    <row r="23" spans="1:11" x14ac:dyDescent="0.25">
      <c r="A23" s="8" t="s">
        <v>41</v>
      </c>
      <c r="B23" s="144" t="s">
        <v>67</v>
      </c>
      <c r="C23" s="9">
        <v>23602054000203</v>
      </c>
      <c r="D23" s="9"/>
      <c r="E23" s="24"/>
      <c r="F23" s="24"/>
      <c r="G23" s="182"/>
      <c r="H23" s="10"/>
      <c r="I23" s="11"/>
      <c r="J23" s="51"/>
      <c r="K23" s="85"/>
    </row>
    <row r="24" spans="1:11" ht="15.75" thickBot="1" x14ac:dyDescent="0.3">
      <c r="A24" s="12" t="s">
        <v>64</v>
      </c>
      <c r="B24" s="147"/>
      <c r="C24" s="13">
        <v>31931045000294</v>
      </c>
      <c r="D24" s="13"/>
      <c r="E24" s="25"/>
      <c r="F24" s="25"/>
      <c r="G24" s="183"/>
      <c r="H24" s="148"/>
      <c r="I24" s="149"/>
      <c r="J24" s="150"/>
      <c r="K24" s="151"/>
    </row>
    <row r="25" spans="1:11" x14ac:dyDescent="0.25">
      <c r="A25" s="17" t="s">
        <v>7</v>
      </c>
      <c r="B25" s="145" t="s">
        <v>23</v>
      </c>
      <c r="C25" s="14">
        <v>53062667000185</v>
      </c>
      <c r="D25" s="14"/>
      <c r="E25" s="23"/>
      <c r="F25" s="23"/>
      <c r="G25" s="181"/>
      <c r="H25" s="15"/>
      <c r="I25" s="31"/>
      <c r="J25" s="146"/>
      <c r="K25" s="26"/>
    </row>
    <row r="26" spans="1:11" x14ac:dyDescent="0.25">
      <c r="A26" s="8" t="s">
        <v>2</v>
      </c>
      <c r="B26" s="144" t="s">
        <v>24</v>
      </c>
      <c r="C26" s="9">
        <v>73073165000167</v>
      </c>
      <c r="D26" s="9"/>
      <c r="E26" s="24"/>
      <c r="F26" s="24"/>
      <c r="G26" s="182"/>
      <c r="H26" s="10"/>
      <c r="I26" s="11"/>
      <c r="J26" s="51"/>
      <c r="K26" s="27"/>
    </row>
    <row r="27" spans="1:11" x14ac:dyDescent="0.25">
      <c r="A27" s="8" t="s">
        <v>8</v>
      </c>
      <c r="B27" s="144" t="s">
        <v>25</v>
      </c>
      <c r="C27" s="9">
        <v>2274188000191</v>
      </c>
      <c r="D27" s="9"/>
      <c r="E27" s="24"/>
      <c r="F27" s="24"/>
      <c r="G27" s="182"/>
      <c r="H27" s="10"/>
      <c r="I27" s="11"/>
      <c r="J27" s="51"/>
      <c r="K27" s="62"/>
    </row>
    <row r="28" spans="1:11" x14ac:dyDescent="0.25">
      <c r="A28" s="8" t="s">
        <v>9</v>
      </c>
      <c r="B28" s="144" t="s">
        <v>26</v>
      </c>
      <c r="C28" s="9">
        <v>43161439000109</v>
      </c>
      <c r="D28" s="9"/>
      <c r="E28" s="24"/>
      <c r="F28" s="24"/>
      <c r="G28" s="182"/>
      <c r="H28" s="10"/>
      <c r="I28" s="11"/>
      <c r="J28" s="51"/>
      <c r="K28" s="27"/>
    </row>
    <row r="29" spans="1:11" x14ac:dyDescent="0.25">
      <c r="A29" s="8" t="s">
        <v>1</v>
      </c>
      <c r="B29" s="144" t="s">
        <v>35</v>
      </c>
      <c r="C29" s="9">
        <v>11646469000119</v>
      </c>
      <c r="D29" s="9"/>
      <c r="E29" s="24"/>
      <c r="F29" s="24"/>
      <c r="G29" s="182"/>
      <c r="H29" s="10"/>
      <c r="I29" s="11"/>
      <c r="J29" s="51"/>
      <c r="K29" s="27"/>
    </row>
    <row r="30" spans="1:11" x14ac:dyDescent="0.25">
      <c r="A30" s="8" t="s">
        <v>22</v>
      </c>
      <c r="B30" s="144" t="s">
        <v>28</v>
      </c>
      <c r="C30" s="9">
        <v>53062667000509</v>
      </c>
      <c r="D30" s="9"/>
      <c r="E30" s="24"/>
      <c r="F30" s="24"/>
      <c r="G30" s="182"/>
      <c r="H30" s="10"/>
      <c r="I30" s="11"/>
      <c r="J30" s="51"/>
      <c r="K30" s="27"/>
    </row>
    <row r="31" spans="1:11" x14ac:dyDescent="0.25">
      <c r="A31" s="8" t="s">
        <v>10</v>
      </c>
      <c r="B31" s="144" t="s">
        <v>29</v>
      </c>
      <c r="C31" s="9">
        <v>23602054000122</v>
      </c>
      <c r="D31" s="9"/>
      <c r="E31" s="24"/>
      <c r="F31" s="24"/>
      <c r="G31" s="182"/>
      <c r="H31" s="10"/>
      <c r="I31" s="11"/>
      <c r="J31" s="51"/>
      <c r="K31" s="85"/>
    </row>
    <row r="32" spans="1:11" x14ac:dyDescent="0.25">
      <c r="A32" s="8" t="s">
        <v>33</v>
      </c>
      <c r="B32" s="144" t="s">
        <v>31</v>
      </c>
      <c r="C32" s="9">
        <v>31931045000103</v>
      </c>
      <c r="D32" s="9"/>
      <c r="E32" s="24"/>
      <c r="F32" s="24"/>
      <c r="G32" s="182"/>
      <c r="H32" s="10"/>
      <c r="I32" s="11"/>
      <c r="J32" s="51"/>
      <c r="K32" s="85"/>
    </row>
    <row r="33" spans="1:11" x14ac:dyDescent="0.25">
      <c r="A33" s="8" t="s">
        <v>63</v>
      </c>
      <c r="B33" s="144" t="s">
        <v>34</v>
      </c>
      <c r="C33" s="9">
        <v>23602054000203</v>
      </c>
      <c r="D33" s="9"/>
      <c r="E33" s="24"/>
      <c r="F33" s="24"/>
      <c r="G33" s="182"/>
      <c r="H33" s="10"/>
      <c r="I33" s="11"/>
      <c r="J33" s="51"/>
      <c r="K33" s="85"/>
    </row>
    <row r="34" spans="1:11" x14ac:dyDescent="0.25">
      <c r="A34" s="8" t="s">
        <v>41</v>
      </c>
      <c r="B34" s="144" t="s">
        <v>67</v>
      </c>
      <c r="C34" s="9">
        <v>23602054000203</v>
      </c>
      <c r="D34" s="9"/>
      <c r="E34" s="24"/>
      <c r="F34" s="24"/>
      <c r="G34" s="182"/>
      <c r="H34" s="10"/>
      <c r="I34" s="11"/>
      <c r="J34" s="51"/>
      <c r="K34" s="85"/>
    </row>
    <row r="35" spans="1:11" ht="15.75" thickBot="1" x14ac:dyDescent="0.3">
      <c r="A35" s="12" t="s">
        <v>64</v>
      </c>
      <c r="B35" s="147"/>
      <c r="C35" s="13">
        <v>31931045000294</v>
      </c>
      <c r="D35" s="13"/>
      <c r="E35" s="25"/>
      <c r="F35" s="25"/>
      <c r="G35" s="183"/>
      <c r="H35" s="148"/>
      <c r="I35" s="149"/>
      <c r="J35" s="150"/>
      <c r="K35" s="151"/>
    </row>
    <row r="36" spans="1:11" x14ac:dyDescent="0.25">
      <c r="A36" s="17" t="s">
        <v>7</v>
      </c>
      <c r="B36" s="145" t="s">
        <v>23</v>
      </c>
      <c r="C36" s="14">
        <v>53062667000185</v>
      </c>
      <c r="D36" s="14"/>
      <c r="E36" s="23"/>
      <c r="F36" s="23"/>
      <c r="G36" s="181"/>
      <c r="H36" s="15"/>
      <c r="I36" s="31"/>
      <c r="J36" s="146"/>
      <c r="K36" s="26"/>
    </row>
    <row r="37" spans="1:11" x14ac:dyDescent="0.25">
      <c r="A37" s="8" t="s">
        <v>2</v>
      </c>
      <c r="B37" s="144" t="s">
        <v>24</v>
      </c>
      <c r="C37" s="9">
        <v>73073165000167</v>
      </c>
      <c r="D37" s="9"/>
      <c r="E37" s="24"/>
      <c r="F37" s="24"/>
      <c r="G37" s="182"/>
      <c r="H37" s="10"/>
      <c r="I37" s="11"/>
      <c r="J37" s="51"/>
      <c r="K37" s="27"/>
    </row>
    <row r="38" spans="1:11" x14ac:dyDescent="0.25">
      <c r="A38" s="8" t="s">
        <v>8</v>
      </c>
      <c r="B38" s="144" t="s">
        <v>25</v>
      </c>
      <c r="C38" s="9">
        <v>2274188000191</v>
      </c>
      <c r="D38" s="9"/>
      <c r="E38" s="24"/>
      <c r="F38" s="24"/>
      <c r="G38" s="182"/>
      <c r="H38" s="10"/>
      <c r="I38" s="11"/>
      <c r="J38" s="51"/>
      <c r="K38" s="62"/>
    </row>
    <row r="39" spans="1:11" x14ac:dyDescent="0.25">
      <c r="A39" s="8" t="s">
        <v>9</v>
      </c>
      <c r="B39" s="144" t="s">
        <v>26</v>
      </c>
      <c r="C39" s="9">
        <v>43161439000109</v>
      </c>
      <c r="D39" s="9"/>
      <c r="E39" s="24"/>
      <c r="F39" s="24"/>
      <c r="G39" s="182"/>
      <c r="H39" s="10"/>
      <c r="I39" s="11"/>
      <c r="J39" s="51"/>
      <c r="K39" s="27"/>
    </row>
    <row r="40" spans="1:11" x14ac:dyDescent="0.25">
      <c r="A40" s="8" t="s">
        <v>1</v>
      </c>
      <c r="B40" s="144" t="s">
        <v>35</v>
      </c>
      <c r="C40" s="9">
        <v>11646469000119</v>
      </c>
      <c r="D40" s="9"/>
      <c r="E40" s="24"/>
      <c r="F40" s="24"/>
      <c r="G40" s="182"/>
      <c r="H40" s="10"/>
      <c r="I40" s="11"/>
      <c r="J40" s="51"/>
      <c r="K40" s="27"/>
    </row>
    <row r="41" spans="1:11" x14ac:dyDescent="0.25">
      <c r="A41" s="8" t="s">
        <v>22</v>
      </c>
      <c r="B41" s="144" t="s">
        <v>28</v>
      </c>
      <c r="C41" s="9">
        <v>53062667000509</v>
      </c>
      <c r="D41" s="9"/>
      <c r="E41" s="24"/>
      <c r="F41" s="24"/>
      <c r="G41" s="182"/>
      <c r="H41" s="10"/>
      <c r="I41" s="11"/>
      <c r="J41" s="51"/>
      <c r="K41" s="27"/>
    </row>
    <row r="42" spans="1:11" x14ac:dyDescent="0.25">
      <c r="A42" s="8" t="s">
        <v>10</v>
      </c>
      <c r="B42" s="144" t="s">
        <v>29</v>
      </c>
      <c r="C42" s="9">
        <v>23602054000122</v>
      </c>
      <c r="D42" s="9"/>
      <c r="E42" s="24"/>
      <c r="F42" s="24"/>
      <c r="G42" s="182"/>
      <c r="H42" s="10"/>
      <c r="I42" s="11"/>
      <c r="J42" s="51"/>
      <c r="K42" s="85"/>
    </row>
    <row r="43" spans="1:11" x14ac:dyDescent="0.25">
      <c r="A43" s="8" t="s">
        <v>33</v>
      </c>
      <c r="B43" s="144" t="s">
        <v>31</v>
      </c>
      <c r="C43" s="9">
        <v>31931045000103</v>
      </c>
      <c r="D43" s="9"/>
      <c r="E43" s="24"/>
      <c r="F43" s="24"/>
      <c r="G43" s="182"/>
      <c r="H43" s="10"/>
      <c r="I43" s="11"/>
      <c r="J43" s="51"/>
      <c r="K43" s="85"/>
    </row>
    <row r="44" spans="1:11" x14ac:dyDescent="0.25">
      <c r="A44" s="8" t="s">
        <v>63</v>
      </c>
      <c r="B44" s="144" t="s">
        <v>34</v>
      </c>
      <c r="C44" s="9">
        <v>23602054000203</v>
      </c>
      <c r="D44" s="9"/>
      <c r="E44" s="24"/>
      <c r="F44" s="24"/>
      <c r="G44" s="182"/>
      <c r="H44" s="10"/>
      <c r="I44" s="11"/>
      <c r="J44" s="51"/>
      <c r="K44" s="85"/>
    </row>
    <row r="45" spans="1:11" x14ac:dyDescent="0.25">
      <c r="A45" s="8" t="s">
        <v>41</v>
      </c>
      <c r="B45" s="144" t="s">
        <v>67</v>
      </c>
      <c r="C45" s="9">
        <v>23602054000203</v>
      </c>
      <c r="D45" s="9"/>
      <c r="E45" s="24"/>
      <c r="F45" s="24"/>
      <c r="G45" s="182"/>
      <c r="H45" s="10"/>
      <c r="I45" s="11"/>
      <c r="J45" s="51"/>
      <c r="K45" s="85"/>
    </row>
    <row r="46" spans="1:11" ht="15.75" thickBot="1" x14ac:dyDescent="0.3">
      <c r="A46" s="12" t="s">
        <v>64</v>
      </c>
      <c r="B46" s="147"/>
      <c r="C46" s="13">
        <v>31931045000294</v>
      </c>
      <c r="D46" s="13"/>
      <c r="E46" s="25"/>
      <c r="F46" s="25"/>
      <c r="G46" s="183"/>
      <c r="H46" s="148"/>
      <c r="I46" s="149"/>
      <c r="J46" s="150"/>
      <c r="K46" s="151"/>
    </row>
    <row r="47" spans="1:11" x14ac:dyDescent="0.25">
      <c r="A47" s="17" t="s">
        <v>7</v>
      </c>
      <c r="B47" s="145" t="s">
        <v>23</v>
      </c>
      <c r="C47" s="14">
        <v>53062667000185</v>
      </c>
      <c r="D47" s="14"/>
      <c r="E47" s="23"/>
      <c r="F47" s="23"/>
      <c r="G47" s="181"/>
      <c r="H47" s="15"/>
      <c r="I47" s="31"/>
      <c r="J47" s="146"/>
      <c r="K47" s="26"/>
    </row>
    <row r="48" spans="1:11" x14ac:dyDescent="0.25">
      <c r="A48" s="8" t="s">
        <v>2</v>
      </c>
      <c r="B48" s="144" t="s">
        <v>24</v>
      </c>
      <c r="C48" s="9">
        <v>73073165000167</v>
      </c>
      <c r="D48" s="9"/>
      <c r="E48" s="24"/>
      <c r="F48" s="24"/>
      <c r="G48" s="182"/>
      <c r="H48" s="10"/>
      <c r="I48" s="11"/>
      <c r="J48" s="51"/>
      <c r="K48" s="27"/>
    </row>
    <row r="49" spans="1:11" x14ac:dyDescent="0.25">
      <c r="A49" s="8" t="s">
        <v>8</v>
      </c>
      <c r="B49" s="144" t="s">
        <v>25</v>
      </c>
      <c r="C49" s="9">
        <v>2274188000191</v>
      </c>
      <c r="D49" s="9"/>
      <c r="E49" s="24"/>
      <c r="F49" s="24"/>
      <c r="G49" s="182"/>
      <c r="H49" s="10"/>
      <c r="I49" s="11"/>
      <c r="J49" s="51"/>
      <c r="K49" s="62"/>
    </row>
    <row r="50" spans="1:11" x14ac:dyDescent="0.25">
      <c r="A50" s="8" t="s">
        <v>9</v>
      </c>
      <c r="B50" s="144" t="s">
        <v>26</v>
      </c>
      <c r="C50" s="9">
        <v>43161439000109</v>
      </c>
      <c r="D50" s="9"/>
      <c r="E50" s="24"/>
      <c r="F50" s="24"/>
      <c r="G50" s="182"/>
      <c r="H50" s="10"/>
      <c r="I50" s="11"/>
      <c r="J50" s="51"/>
      <c r="K50" s="27"/>
    </row>
    <row r="51" spans="1:11" x14ac:dyDescent="0.25">
      <c r="A51" s="8" t="s">
        <v>1</v>
      </c>
      <c r="B51" s="144" t="s">
        <v>35</v>
      </c>
      <c r="C51" s="9">
        <v>11646469000119</v>
      </c>
      <c r="D51" s="9"/>
      <c r="E51" s="24"/>
      <c r="F51" s="24"/>
      <c r="G51" s="182"/>
      <c r="H51" s="10"/>
      <c r="I51" s="11"/>
      <c r="J51" s="51"/>
      <c r="K51" s="27"/>
    </row>
    <row r="52" spans="1:11" x14ac:dyDescent="0.25">
      <c r="A52" s="8" t="s">
        <v>22</v>
      </c>
      <c r="B52" s="144" t="s">
        <v>28</v>
      </c>
      <c r="C52" s="9">
        <v>53062667000509</v>
      </c>
      <c r="D52" s="9"/>
      <c r="E52" s="24"/>
      <c r="F52" s="24"/>
      <c r="G52" s="182"/>
      <c r="H52" s="10"/>
      <c r="I52" s="11"/>
      <c r="J52" s="51"/>
      <c r="K52" s="27"/>
    </row>
    <row r="53" spans="1:11" x14ac:dyDescent="0.25">
      <c r="A53" s="8" t="s">
        <v>10</v>
      </c>
      <c r="B53" s="144" t="s">
        <v>29</v>
      </c>
      <c r="C53" s="9">
        <v>23602054000122</v>
      </c>
      <c r="D53" s="9"/>
      <c r="E53" s="24"/>
      <c r="F53" s="24"/>
      <c r="G53" s="182"/>
      <c r="H53" s="10"/>
      <c r="I53" s="11"/>
      <c r="J53" s="51"/>
      <c r="K53" s="85"/>
    </row>
    <row r="54" spans="1:11" x14ac:dyDescent="0.25">
      <c r="A54" s="8" t="s">
        <v>33</v>
      </c>
      <c r="B54" s="144" t="s">
        <v>31</v>
      </c>
      <c r="C54" s="9">
        <v>31931045000103</v>
      </c>
      <c r="D54" s="9"/>
      <c r="E54" s="24"/>
      <c r="F54" s="24"/>
      <c r="G54" s="182"/>
      <c r="H54" s="10"/>
      <c r="I54" s="11"/>
      <c r="J54" s="51"/>
      <c r="K54" s="85"/>
    </row>
    <row r="55" spans="1:11" x14ac:dyDescent="0.25">
      <c r="A55" s="8" t="s">
        <v>63</v>
      </c>
      <c r="B55" s="144" t="s">
        <v>34</v>
      </c>
      <c r="C55" s="9">
        <v>23602054000203</v>
      </c>
      <c r="D55" s="9"/>
      <c r="E55" s="24"/>
      <c r="F55" s="24"/>
      <c r="G55" s="182"/>
      <c r="H55" s="10"/>
      <c r="I55" s="11"/>
      <c r="J55" s="51"/>
      <c r="K55" s="85"/>
    </row>
    <row r="56" spans="1:11" x14ac:dyDescent="0.25">
      <c r="A56" s="8" t="s">
        <v>41</v>
      </c>
      <c r="B56" s="144" t="s">
        <v>67</v>
      </c>
      <c r="C56" s="9">
        <v>23602054000203</v>
      </c>
      <c r="D56" s="9"/>
      <c r="E56" s="24"/>
      <c r="F56" s="24"/>
      <c r="G56" s="182"/>
      <c r="H56" s="10"/>
      <c r="I56" s="11"/>
      <c r="J56" s="51"/>
      <c r="K56" s="85"/>
    </row>
    <row r="57" spans="1:11" ht="15.75" thickBot="1" x14ac:dyDescent="0.3">
      <c r="A57" s="12" t="s">
        <v>64</v>
      </c>
      <c r="B57" s="147"/>
      <c r="C57" s="13">
        <v>31931045000294</v>
      </c>
      <c r="D57" s="13"/>
      <c r="E57" s="25"/>
      <c r="F57" s="25"/>
      <c r="G57" s="183"/>
      <c r="H57" s="148"/>
      <c r="I57" s="149"/>
      <c r="J57" s="150"/>
      <c r="K57" s="151"/>
    </row>
    <row r="58" spans="1:11" x14ac:dyDescent="0.25">
      <c r="A58" s="17" t="s">
        <v>7</v>
      </c>
      <c r="B58" s="145" t="s">
        <v>23</v>
      </c>
      <c r="C58" s="14">
        <v>53062667000185</v>
      </c>
      <c r="D58" s="14"/>
      <c r="E58" s="23"/>
      <c r="F58" s="23"/>
      <c r="G58" s="181"/>
      <c r="H58" s="15"/>
      <c r="I58" s="31"/>
      <c r="J58" s="146"/>
      <c r="K58" s="26"/>
    </row>
    <row r="59" spans="1:11" x14ac:dyDescent="0.25">
      <c r="A59" s="8" t="s">
        <v>2</v>
      </c>
      <c r="B59" s="144" t="s">
        <v>24</v>
      </c>
      <c r="C59" s="9">
        <v>73073165000167</v>
      </c>
      <c r="D59" s="9"/>
      <c r="E59" s="24"/>
      <c r="F59" s="24"/>
      <c r="G59" s="182"/>
      <c r="H59" s="10"/>
      <c r="I59" s="11"/>
      <c r="J59" s="51"/>
      <c r="K59" s="27"/>
    </row>
    <row r="60" spans="1:11" x14ac:dyDescent="0.25">
      <c r="A60" s="8" t="s">
        <v>8</v>
      </c>
      <c r="B60" s="144" t="s">
        <v>25</v>
      </c>
      <c r="C60" s="9">
        <v>2274188000191</v>
      </c>
      <c r="D60" s="9"/>
      <c r="E60" s="24"/>
      <c r="F60" s="24"/>
      <c r="G60" s="182"/>
      <c r="H60" s="10"/>
      <c r="I60" s="11"/>
      <c r="J60" s="51"/>
      <c r="K60" s="62"/>
    </row>
    <row r="61" spans="1:11" x14ac:dyDescent="0.25">
      <c r="A61" s="8" t="s">
        <v>9</v>
      </c>
      <c r="B61" s="144" t="s">
        <v>26</v>
      </c>
      <c r="C61" s="9">
        <v>43161439000109</v>
      </c>
      <c r="D61" s="9"/>
      <c r="E61" s="24"/>
      <c r="F61" s="24"/>
      <c r="G61" s="182"/>
      <c r="H61" s="10"/>
      <c r="I61" s="11"/>
      <c r="J61" s="51"/>
      <c r="K61" s="27"/>
    </row>
    <row r="62" spans="1:11" x14ac:dyDescent="0.25">
      <c r="A62" s="8" t="s">
        <v>1</v>
      </c>
      <c r="B62" s="144" t="s">
        <v>35</v>
      </c>
      <c r="C62" s="9">
        <v>11646469000119</v>
      </c>
      <c r="D62" s="9"/>
      <c r="E62" s="24"/>
      <c r="F62" s="24"/>
      <c r="G62" s="182"/>
      <c r="H62" s="10"/>
      <c r="I62" s="11"/>
      <c r="J62" s="51"/>
      <c r="K62" s="27"/>
    </row>
    <row r="63" spans="1:11" x14ac:dyDescent="0.25">
      <c r="A63" s="8" t="s">
        <v>22</v>
      </c>
      <c r="B63" s="144" t="s">
        <v>28</v>
      </c>
      <c r="C63" s="9">
        <v>53062667000509</v>
      </c>
      <c r="D63" s="9"/>
      <c r="E63" s="24"/>
      <c r="F63" s="24"/>
      <c r="G63" s="182"/>
      <c r="H63" s="10"/>
      <c r="I63" s="11"/>
      <c r="J63" s="51"/>
      <c r="K63" s="27"/>
    </row>
    <row r="64" spans="1:11" x14ac:dyDescent="0.25">
      <c r="A64" s="8" t="s">
        <v>10</v>
      </c>
      <c r="B64" s="144" t="s">
        <v>29</v>
      </c>
      <c r="C64" s="9">
        <v>23602054000122</v>
      </c>
      <c r="D64" s="9"/>
      <c r="E64" s="24"/>
      <c r="F64" s="24"/>
      <c r="G64" s="182"/>
      <c r="H64" s="10"/>
      <c r="I64" s="11"/>
      <c r="J64" s="51"/>
      <c r="K64" s="85"/>
    </row>
    <row r="65" spans="1:11" x14ac:dyDescent="0.25">
      <c r="A65" s="8" t="s">
        <v>33</v>
      </c>
      <c r="B65" s="144" t="s">
        <v>31</v>
      </c>
      <c r="C65" s="9">
        <v>31931045000103</v>
      </c>
      <c r="D65" s="9"/>
      <c r="E65" s="24"/>
      <c r="F65" s="24"/>
      <c r="G65" s="182"/>
      <c r="H65" s="10"/>
      <c r="I65" s="11"/>
      <c r="J65" s="51"/>
      <c r="K65" s="85"/>
    </row>
    <row r="66" spans="1:11" x14ac:dyDescent="0.25">
      <c r="A66" s="8" t="s">
        <v>63</v>
      </c>
      <c r="B66" s="144" t="s">
        <v>34</v>
      </c>
      <c r="C66" s="9">
        <v>23602054000203</v>
      </c>
      <c r="D66" s="9"/>
      <c r="E66" s="24"/>
      <c r="F66" s="24"/>
      <c r="G66" s="182"/>
      <c r="H66" s="10"/>
      <c r="I66" s="11"/>
      <c r="J66" s="51"/>
      <c r="K66" s="85"/>
    </row>
    <row r="67" spans="1:11" x14ac:dyDescent="0.25">
      <c r="A67" s="8" t="s">
        <v>41</v>
      </c>
      <c r="B67" s="144" t="s">
        <v>67</v>
      </c>
      <c r="C67" s="9">
        <v>23602054000203</v>
      </c>
      <c r="D67" s="9"/>
      <c r="E67" s="24"/>
      <c r="F67" s="24"/>
      <c r="G67" s="182"/>
      <c r="H67" s="10"/>
      <c r="I67" s="11"/>
      <c r="J67" s="51"/>
      <c r="K67" s="85"/>
    </row>
    <row r="68" spans="1:11" ht="15.75" thickBot="1" x14ac:dyDescent="0.3">
      <c r="A68" s="12" t="s">
        <v>64</v>
      </c>
      <c r="B68" s="147"/>
      <c r="C68" s="13">
        <v>31931045000294</v>
      </c>
      <c r="D68" s="13"/>
      <c r="E68" s="25"/>
      <c r="F68" s="25"/>
      <c r="G68" s="183"/>
      <c r="H68" s="148"/>
      <c r="I68" s="149"/>
      <c r="J68" s="150"/>
      <c r="K68" s="151"/>
    </row>
    <row r="69" spans="1:11" x14ac:dyDescent="0.25">
      <c r="A69" s="17" t="s">
        <v>7</v>
      </c>
      <c r="B69" s="145" t="s">
        <v>23</v>
      </c>
      <c r="C69" s="14">
        <v>53062667000185</v>
      </c>
      <c r="D69" s="14"/>
      <c r="E69" s="23"/>
      <c r="F69" s="23"/>
      <c r="G69" s="181"/>
      <c r="H69" s="15"/>
      <c r="I69" s="31"/>
      <c r="J69" s="146"/>
      <c r="K69" s="26"/>
    </row>
    <row r="70" spans="1:11" x14ac:dyDescent="0.25">
      <c r="A70" s="8" t="s">
        <v>2</v>
      </c>
      <c r="B70" s="144" t="s">
        <v>24</v>
      </c>
      <c r="C70" s="9">
        <v>73073165000167</v>
      </c>
      <c r="D70" s="9"/>
      <c r="E70" s="24"/>
      <c r="F70" s="24"/>
      <c r="G70" s="182"/>
      <c r="H70" s="10"/>
      <c r="I70" s="11"/>
      <c r="J70" s="51"/>
      <c r="K70" s="27"/>
    </row>
    <row r="71" spans="1:11" x14ac:dyDescent="0.25">
      <c r="A71" s="8" t="s">
        <v>8</v>
      </c>
      <c r="B71" s="144" t="s">
        <v>25</v>
      </c>
      <c r="C71" s="9">
        <v>2274188000191</v>
      </c>
      <c r="D71" s="9"/>
      <c r="E71" s="24"/>
      <c r="F71" s="24"/>
      <c r="G71" s="182"/>
      <c r="H71" s="10"/>
      <c r="I71" s="11"/>
      <c r="J71" s="51"/>
      <c r="K71" s="62"/>
    </row>
    <row r="72" spans="1:11" x14ac:dyDescent="0.25">
      <c r="A72" s="8" t="s">
        <v>9</v>
      </c>
      <c r="B72" s="144" t="s">
        <v>26</v>
      </c>
      <c r="C72" s="9">
        <v>43161439000109</v>
      </c>
      <c r="D72" s="9"/>
      <c r="E72" s="24"/>
      <c r="F72" s="24"/>
      <c r="G72" s="182"/>
      <c r="H72" s="10"/>
      <c r="I72" s="11"/>
      <c r="J72" s="51"/>
      <c r="K72" s="27"/>
    </row>
    <row r="73" spans="1:11" x14ac:dyDescent="0.25">
      <c r="A73" s="8" t="s">
        <v>1</v>
      </c>
      <c r="B73" s="144" t="s">
        <v>35</v>
      </c>
      <c r="C73" s="9">
        <v>11646469000119</v>
      </c>
      <c r="D73" s="9"/>
      <c r="E73" s="24"/>
      <c r="F73" s="24"/>
      <c r="G73" s="182"/>
      <c r="H73" s="10"/>
      <c r="I73" s="11"/>
      <c r="J73" s="51"/>
      <c r="K73" s="27"/>
    </row>
    <row r="74" spans="1:11" x14ac:dyDescent="0.25">
      <c r="A74" s="8" t="s">
        <v>22</v>
      </c>
      <c r="B74" s="144" t="s">
        <v>28</v>
      </c>
      <c r="C74" s="9">
        <v>53062667000509</v>
      </c>
      <c r="D74" s="9"/>
      <c r="E74" s="24"/>
      <c r="F74" s="24"/>
      <c r="G74" s="182"/>
      <c r="H74" s="10"/>
      <c r="I74" s="11"/>
      <c r="J74" s="51"/>
      <c r="K74" s="27"/>
    </row>
    <row r="75" spans="1:11" x14ac:dyDescent="0.25">
      <c r="A75" s="8" t="s">
        <v>10</v>
      </c>
      <c r="B75" s="144" t="s">
        <v>29</v>
      </c>
      <c r="C75" s="9">
        <v>23602054000122</v>
      </c>
      <c r="D75" s="9"/>
      <c r="E75" s="24"/>
      <c r="F75" s="24"/>
      <c r="G75" s="182"/>
      <c r="H75" s="10"/>
      <c r="I75" s="11"/>
      <c r="J75" s="51"/>
      <c r="K75" s="85"/>
    </row>
    <row r="76" spans="1:11" x14ac:dyDescent="0.25">
      <c r="A76" s="8" t="s">
        <v>33</v>
      </c>
      <c r="B76" s="144" t="s">
        <v>31</v>
      </c>
      <c r="C76" s="9">
        <v>31931045000103</v>
      </c>
      <c r="D76" s="9"/>
      <c r="E76" s="24"/>
      <c r="F76" s="24"/>
      <c r="G76" s="182"/>
      <c r="H76" s="10"/>
      <c r="I76" s="11"/>
      <c r="J76" s="51"/>
      <c r="K76" s="85"/>
    </row>
    <row r="77" spans="1:11" x14ac:dyDescent="0.25">
      <c r="A77" s="8" t="s">
        <v>63</v>
      </c>
      <c r="B77" s="144" t="s">
        <v>34</v>
      </c>
      <c r="C77" s="9">
        <v>23602054000203</v>
      </c>
      <c r="D77" s="9"/>
      <c r="E77" s="24"/>
      <c r="F77" s="24"/>
      <c r="G77" s="182"/>
      <c r="H77" s="10"/>
      <c r="I77" s="11"/>
      <c r="J77" s="51"/>
      <c r="K77" s="85"/>
    </row>
    <row r="78" spans="1:11" x14ac:dyDescent="0.25">
      <c r="A78" s="8" t="s">
        <v>41</v>
      </c>
      <c r="B78" s="144" t="s">
        <v>67</v>
      </c>
      <c r="C78" s="9">
        <v>23602054000203</v>
      </c>
      <c r="D78" s="9"/>
      <c r="E78" s="24"/>
      <c r="F78" s="24"/>
      <c r="G78" s="182"/>
      <c r="H78" s="10"/>
      <c r="I78" s="11"/>
      <c r="J78" s="51"/>
      <c r="K78" s="85"/>
    </row>
    <row r="79" spans="1:11" ht="15.75" thickBot="1" x14ac:dyDescent="0.3">
      <c r="A79" s="12" t="s">
        <v>64</v>
      </c>
      <c r="B79" s="147"/>
      <c r="C79" s="13">
        <v>31931045000294</v>
      </c>
      <c r="D79" s="13"/>
      <c r="E79" s="25"/>
      <c r="F79" s="25"/>
      <c r="G79" s="183"/>
      <c r="H79" s="148"/>
      <c r="I79" s="149"/>
      <c r="J79" s="150"/>
      <c r="K79" s="151"/>
    </row>
    <row r="80" spans="1:11" x14ac:dyDescent="0.25">
      <c r="A80" s="17" t="s">
        <v>7</v>
      </c>
      <c r="B80" s="145" t="s">
        <v>23</v>
      </c>
      <c r="C80" s="14">
        <v>53062667000185</v>
      </c>
      <c r="D80" s="14"/>
      <c r="E80" s="23"/>
      <c r="F80" s="23"/>
      <c r="G80" s="181"/>
      <c r="H80" s="15"/>
      <c r="I80" s="31"/>
      <c r="J80" s="146"/>
      <c r="K80" s="26"/>
    </row>
    <row r="81" spans="1:11" x14ac:dyDescent="0.25">
      <c r="A81" s="8" t="s">
        <v>2</v>
      </c>
      <c r="B81" s="144" t="s">
        <v>24</v>
      </c>
      <c r="C81" s="9">
        <v>73073165000167</v>
      </c>
      <c r="D81" s="9"/>
      <c r="E81" s="24"/>
      <c r="F81" s="24"/>
      <c r="G81" s="182"/>
      <c r="H81" s="10"/>
      <c r="I81" s="11"/>
      <c r="J81" s="51"/>
      <c r="K81" s="27"/>
    </row>
    <row r="82" spans="1:11" x14ac:dyDescent="0.25">
      <c r="A82" s="8" t="s">
        <v>8</v>
      </c>
      <c r="B82" s="144" t="s">
        <v>25</v>
      </c>
      <c r="C82" s="9">
        <v>2274188000191</v>
      </c>
      <c r="D82" s="9"/>
      <c r="E82" s="24"/>
      <c r="F82" s="24"/>
      <c r="G82" s="182"/>
      <c r="H82" s="10"/>
      <c r="I82" s="11"/>
      <c r="J82" s="51"/>
      <c r="K82" s="62"/>
    </row>
    <row r="83" spans="1:11" x14ac:dyDescent="0.25">
      <c r="A83" s="8" t="s">
        <v>9</v>
      </c>
      <c r="B83" s="144" t="s">
        <v>26</v>
      </c>
      <c r="C83" s="9">
        <v>43161439000109</v>
      </c>
      <c r="D83" s="9"/>
      <c r="E83" s="24"/>
      <c r="F83" s="24"/>
      <c r="G83" s="182"/>
      <c r="H83" s="10"/>
      <c r="I83" s="11"/>
      <c r="J83" s="51"/>
      <c r="K83" s="27"/>
    </row>
    <row r="84" spans="1:11" x14ac:dyDescent="0.25">
      <c r="A84" s="8" t="s">
        <v>1</v>
      </c>
      <c r="B84" s="144" t="s">
        <v>35</v>
      </c>
      <c r="C84" s="9">
        <v>11646469000119</v>
      </c>
      <c r="D84" s="9"/>
      <c r="E84" s="24"/>
      <c r="F84" s="24"/>
      <c r="G84" s="182"/>
      <c r="H84" s="10"/>
      <c r="I84" s="11"/>
      <c r="J84" s="51"/>
      <c r="K84" s="27"/>
    </row>
    <row r="85" spans="1:11" x14ac:dyDescent="0.25">
      <c r="A85" s="8" t="s">
        <v>22</v>
      </c>
      <c r="B85" s="144" t="s">
        <v>28</v>
      </c>
      <c r="C85" s="9">
        <v>53062667000509</v>
      </c>
      <c r="D85" s="9"/>
      <c r="E85" s="24"/>
      <c r="F85" s="24"/>
      <c r="G85" s="182"/>
      <c r="H85" s="10"/>
      <c r="I85" s="11"/>
      <c r="J85" s="51"/>
      <c r="K85" s="27"/>
    </row>
    <row r="86" spans="1:11" x14ac:dyDescent="0.25">
      <c r="A86" s="8" t="s">
        <v>10</v>
      </c>
      <c r="B86" s="144" t="s">
        <v>29</v>
      </c>
      <c r="C86" s="9">
        <v>23602054000122</v>
      </c>
      <c r="D86" s="9"/>
      <c r="E86" s="24"/>
      <c r="F86" s="24"/>
      <c r="G86" s="182"/>
      <c r="H86" s="10"/>
      <c r="I86" s="11"/>
      <c r="J86" s="51"/>
      <c r="K86" s="85"/>
    </row>
    <row r="87" spans="1:11" x14ac:dyDescent="0.25">
      <c r="A87" s="8" t="s">
        <v>33</v>
      </c>
      <c r="B87" s="144" t="s">
        <v>31</v>
      </c>
      <c r="C87" s="9">
        <v>31931045000103</v>
      </c>
      <c r="D87" s="9"/>
      <c r="E87" s="24"/>
      <c r="F87" s="24"/>
      <c r="G87" s="182"/>
      <c r="H87" s="10"/>
      <c r="I87" s="11"/>
      <c r="J87" s="51"/>
      <c r="K87" s="85"/>
    </row>
    <row r="88" spans="1:11" x14ac:dyDescent="0.25">
      <c r="A88" s="8" t="s">
        <v>63</v>
      </c>
      <c r="B88" s="144" t="s">
        <v>34</v>
      </c>
      <c r="C88" s="9">
        <v>23602054000203</v>
      </c>
      <c r="D88" s="9"/>
      <c r="E88" s="24"/>
      <c r="F88" s="24"/>
      <c r="G88" s="182"/>
      <c r="H88" s="10"/>
      <c r="I88" s="11"/>
      <c r="J88" s="51"/>
      <c r="K88" s="85"/>
    </row>
    <row r="89" spans="1:11" x14ac:dyDescent="0.25">
      <c r="A89" s="8" t="s">
        <v>41</v>
      </c>
      <c r="B89" s="144" t="s">
        <v>67</v>
      </c>
      <c r="C89" s="9">
        <v>23602054000203</v>
      </c>
      <c r="D89" s="9"/>
      <c r="E89" s="24"/>
      <c r="F89" s="24"/>
      <c r="G89" s="182"/>
      <c r="H89" s="10"/>
      <c r="I89" s="11"/>
      <c r="J89" s="51"/>
      <c r="K89" s="85"/>
    </row>
    <row r="90" spans="1:11" ht="15.75" thickBot="1" x14ac:dyDescent="0.3">
      <c r="A90" s="12" t="s">
        <v>64</v>
      </c>
      <c r="B90" s="147"/>
      <c r="C90" s="13">
        <v>31931045000294</v>
      </c>
      <c r="D90" s="13"/>
      <c r="E90" s="25"/>
      <c r="F90" s="25"/>
      <c r="G90" s="183"/>
      <c r="H90" s="148"/>
      <c r="I90" s="149"/>
      <c r="J90" s="150"/>
      <c r="K90" s="151"/>
    </row>
    <row r="91" spans="1:11" x14ac:dyDescent="0.25">
      <c r="A91" s="17" t="s">
        <v>7</v>
      </c>
      <c r="B91" s="145" t="s">
        <v>23</v>
      </c>
      <c r="C91" s="14">
        <v>53062667000185</v>
      </c>
      <c r="D91" s="14"/>
      <c r="E91" s="23"/>
      <c r="F91" s="23"/>
      <c r="G91" s="181"/>
      <c r="H91" s="15"/>
      <c r="I91" s="31"/>
      <c r="J91" s="146"/>
      <c r="K91" s="26"/>
    </row>
    <row r="92" spans="1:11" x14ac:dyDescent="0.25">
      <c r="A92" s="8" t="s">
        <v>2</v>
      </c>
      <c r="B92" s="144" t="s">
        <v>24</v>
      </c>
      <c r="C92" s="9">
        <v>73073165000167</v>
      </c>
      <c r="D92" s="9"/>
      <c r="E92" s="24"/>
      <c r="F92" s="24"/>
      <c r="G92" s="182"/>
      <c r="H92" s="10"/>
      <c r="I92" s="11"/>
      <c r="J92" s="51"/>
      <c r="K92" s="27"/>
    </row>
    <row r="93" spans="1:11" x14ac:dyDescent="0.25">
      <c r="A93" s="8" t="s">
        <v>8</v>
      </c>
      <c r="B93" s="144" t="s">
        <v>25</v>
      </c>
      <c r="C93" s="9">
        <v>2274188000191</v>
      </c>
      <c r="D93" s="9"/>
      <c r="E93" s="24"/>
      <c r="F93" s="24"/>
      <c r="G93" s="182"/>
      <c r="H93" s="10"/>
      <c r="I93" s="11"/>
      <c r="J93" s="51"/>
      <c r="K93" s="62"/>
    </row>
    <row r="94" spans="1:11" x14ac:dyDescent="0.25">
      <c r="A94" s="8" t="s">
        <v>9</v>
      </c>
      <c r="B94" s="144" t="s">
        <v>26</v>
      </c>
      <c r="C94" s="9">
        <v>43161439000109</v>
      </c>
      <c r="D94" s="9"/>
      <c r="E94" s="24"/>
      <c r="F94" s="24"/>
      <c r="G94" s="182"/>
      <c r="H94" s="10"/>
      <c r="I94" s="11"/>
      <c r="J94" s="51"/>
      <c r="K94" s="27"/>
    </row>
    <row r="95" spans="1:11" x14ac:dyDescent="0.25">
      <c r="A95" s="8" t="s">
        <v>1</v>
      </c>
      <c r="B95" s="144" t="s">
        <v>35</v>
      </c>
      <c r="C95" s="9">
        <v>11646469000119</v>
      </c>
      <c r="D95" s="9"/>
      <c r="E95" s="24"/>
      <c r="F95" s="24"/>
      <c r="G95" s="182"/>
      <c r="H95" s="10"/>
      <c r="I95" s="11"/>
      <c r="J95" s="51"/>
      <c r="K95" s="27"/>
    </row>
    <row r="96" spans="1:11" x14ac:dyDescent="0.25">
      <c r="A96" s="8" t="s">
        <v>22</v>
      </c>
      <c r="B96" s="144" t="s">
        <v>28</v>
      </c>
      <c r="C96" s="9">
        <v>53062667000509</v>
      </c>
      <c r="D96" s="9"/>
      <c r="E96" s="24"/>
      <c r="F96" s="24"/>
      <c r="G96" s="182"/>
      <c r="H96" s="10"/>
      <c r="I96" s="11"/>
      <c r="J96" s="51"/>
      <c r="K96" s="27"/>
    </row>
    <row r="97" spans="1:11" x14ac:dyDescent="0.25">
      <c r="A97" s="8" t="s">
        <v>10</v>
      </c>
      <c r="B97" s="144" t="s">
        <v>29</v>
      </c>
      <c r="C97" s="9">
        <v>23602054000122</v>
      </c>
      <c r="D97" s="9"/>
      <c r="E97" s="24"/>
      <c r="F97" s="24"/>
      <c r="G97" s="182"/>
      <c r="H97" s="10"/>
      <c r="I97" s="11"/>
      <c r="J97" s="51"/>
      <c r="K97" s="85"/>
    </row>
    <row r="98" spans="1:11" x14ac:dyDescent="0.25">
      <c r="A98" s="8" t="s">
        <v>33</v>
      </c>
      <c r="B98" s="144" t="s">
        <v>31</v>
      </c>
      <c r="C98" s="9">
        <v>31931045000103</v>
      </c>
      <c r="D98" s="9"/>
      <c r="E98" s="24"/>
      <c r="F98" s="24"/>
      <c r="G98" s="182"/>
      <c r="H98" s="10"/>
      <c r="I98" s="11"/>
      <c r="J98" s="51"/>
      <c r="K98" s="85"/>
    </row>
    <row r="99" spans="1:11" x14ac:dyDescent="0.25">
      <c r="A99" s="8" t="s">
        <v>63</v>
      </c>
      <c r="B99" s="144" t="s">
        <v>34</v>
      </c>
      <c r="C99" s="9">
        <v>23602054000203</v>
      </c>
      <c r="D99" s="9"/>
      <c r="E99" s="24"/>
      <c r="F99" s="24"/>
      <c r="G99" s="182"/>
      <c r="H99" s="10"/>
      <c r="I99" s="11"/>
      <c r="J99" s="51"/>
      <c r="K99" s="85"/>
    </row>
    <row r="100" spans="1:11" x14ac:dyDescent="0.25">
      <c r="A100" s="8" t="s">
        <v>41</v>
      </c>
      <c r="B100" s="144" t="s">
        <v>67</v>
      </c>
      <c r="C100" s="9">
        <v>23602054000203</v>
      </c>
      <c r="D100" s="9"/>
      <c r="E100" s="24"/>
      <c r="F100" s="24"/>
      <c r="G100" s="182"/>
      <c r="H100" s="10"/>
      <c r="I100" s="11"/>
      <c r="J100" s="51"/>
      <c r="K100" s="85"/>
    </row>
    <row r="101" spans="1:11" ht="15.75" thickBot="1" x14ac:dyDescent="0.3">
      <c r="A101" s="12" t="s">
        <v>64</v>
      </c>
      <c r="B101" s="147"/>
      <c r="C101" s="13">
        <v>31931045000294</v>
      </c>
      <c r="D101" s="13"/>
      <c r="E101" s="25"/>
      <c r="F101" s="25"/>
      <c r="G101" s="183"/>
      <c r="H101" s="148"/>
      <c r="I101" s="149"/>
      <c r="J101" s="150"/>
      <c r="K101" s="151"/>
    </row>
    <row r="102" spans="1:11" x14ac:dyDescent="0.25">
      <c r="A102" s="17" t="s">
        <v>7</v>
      </c>
      <c r="B102" s="145" t="s">
        <v>23</v>
      </c>
      <c r="C102" s="14">
        <v>53062667000185</v>
      </c>
      <c r="D102" s="14"/>
      <c r="E102" s="23"/>
      <c r="F102" s="23"/>
      <c r="G102" s="181"/>
      <c r="H102" s="15"/>
      <c r="I102" s="31"/>
      <c r="J102" s="146"/>
      <c r="K102" s="26"/>
    </row>
    <row r="103" spans="1:11" x14ac:dyDescent="0.25">
      <c r="A103" s="8" t="s">
        <v>2</v>
      </c>
      <c r="B103" s="144" t="s">
        <v>24</v>
      </c>
      <c r="C103" s="9">
        <v>73073165000167</v>
      </c>
      <c r="D103" s="9"/>
      <c r="E103" s="24"/>
      <c r="F103" s="24"/>
      <c r="G103" s="182"/>
      <c r="H103" s="10"/>
      <c r="I103" s="11"/>
      <c r="J103" s="51"/>
      <c r="K103" s="27"/>
    </row>
    <row r="104" spans="1:11" x14ac:dyDescent="0.25">
      <c r="A104" s="8" t="s">
        <v>8</v>
      </c>
      <c r="B104" s="144" t="s">
        <v>25</v>
      </c>
      <c r="C104" s="9">
        <v>2274188000191</v>
      </c>
      <c r="D104" s="9"/>
      <c r="E104" s="24"/>
      <c r="F104" s="24"/>
      <c r="G104" s="182"/>
      <c r="H104" s="10"/>
      <c r="I104" s="11"/>
      <c r="J104" s="51"/>
      <c r="K104" s="62"/>
    </row>
    <row r="105" spans="1:11" x14ac:dyDescent="0.25">
      <c r="A105" s="8" t="s">
        <v>9</v>
      </c>
      <c r="B105" s="144" t="s">
        <v>26</v>
      </c>
      <c r="C105" s="9">
        <v>43161439000109</v>
      </c>
      <c r="D105" s="9"/>
      <c r="E105" s="24"/>
      <c r="F105" s="24"/>
      <c r="G105" s="182"/>
      <c r="H105" s="10"/>
      <c r="I105" s="11"/>
      <c r="J105" s="51"/>
      <c r="K105" s="27"/>
    </row>
    <row r="106" spans="1:11" x14ac:dyDescent="0.25">
      <c r="A106" s="8" t="s">
        <v>1</v>
      </c>
      <c r="B106" s="144" t="s">
        <v>35</v>
      </c>
      <c r="C106" s="9">
        <v>11646469000119</v>
      </c>
      <c r="D106" s="9"/>
      <c r="E106" s="24"/>
      <c r="F106" s="24"/>
      <c r="G106" s="182"/>
      <c r="H106" s="10"/>
      <c r="I106" s="11"/>
      <c r="J106" s="51"/>
      <c r="K106" s="27"/>
    </row>
    <row r="107" spans="1:11" x14ac:dyDescent="0.25">
      <c r="A107" s="8" t="s">
        <v>22</v>
      </c>
      <c r="B107" s="144" t="s">
        <v>28</v>
      </c>
      <c r="C107" s="9">
        <v>53062667000509</v>
      </c>
      <c r="D107" s="9"/>
      <c r="E107" s="24"/>
      <c r="F107" s="24"/>
      <c r="G107" s="182"/>
      <c r="H107" s="10"/>
      <c r="I107" s="11"/>
      <c r="J107" s="51"/>
      <c r="K107" s="27"/>
    </row>
    <row r="108" spans="1:11" x14ac:dyDescent="0.25">
      <c r="A108" s="8" t="s">
        <v>10</v>
      </c>
      <c r="B108" s="144" t="s">
        <v>29</v>
      </c>
      <c r="C108" s="9">
        <v>23602054000122</v>
      </c>
      <c r="D108" s="9"/>
      <c r="E108" s="24"/>
      <c r="F108" s="24"/>
      <c r="G108" s="182"/>
      <c r="H108" s="10"/>
      <c r="I108" s="11"/>
      <c r="J108" s="51"/>
      <c r="K108" s="85"/>
    </row>
    <row r="109" spans="1:11" x14ac:dyDescent="0.25">
      <c r="A109" s="8" t="s">
        <v>33</v>
      </c>
      <c r="B109" s="144" t="s">
        <v>31</v>
      </c>
      <c r="C109" s="9">
        <v>31931045000103</v>
      </c>
      <c r="D109" s="9"/>
      <c r="E109" s="24"/>
      <c r="F109" s="24"/>
      <c r="G109" s="182"/>
      <c r="H109" s="10"/>
      <c r="I109" s="11"/>
      <c r="J109" s="51"/>
      <c r="K109" s="85"/>
    </row>
    <row r="110" spans="1:11" x14ac:dyDescent="0.25">
      <c r="A110" s="8" t="s">
        <v>63</v>
      </c>
      <c r="B110" s="144" t="s">
        <v>34</v>
      </c>
      <c r="C110" s="9">
        <v>23602054000203</v>
      </c>
      <c r="D110" s="9"/>
      <c r="E110" s="24"/>
      <c r="F110" s="24"/>
      <c r="G110" s="182"/>
      <c r="H110" s="10"/>
      <c r="I110" s="11"/>
      <c r="J110" s="51"/>
      <c r="K110" s="85"/>
    </row>
    <row r="111" spans="1:11" x14ac:dyDescent="0.25">
      <c r="A111" s="8" t="s">
        <v>41</v>
      </c>
      <c r="B111" s="144" t="s">
        <v>67</v>
      </c>
      <c r="C111" s="9">
        <v>23602054000203</v>
      </c>
      <c r="D111" s="9"/>
      <c r="E111" s="24"/>
      <c r="F111" s="24"/>
      <c r="G111" s="182"/>
      <c r="H111" s="10"/>
      <c r="I111" s="11"/>
      <c r="J111" s="51"/>
      <c r="K111" s="85"/>
    </row>
    <row r="112" spans="1:11" ht="15.75" thickBot="1" x14ac:dyDescent="0.3">
      <c r="A112" s="12" t="s">
        <v>64</v>
      </c>
      <c r="B112" s="147"/>
      <c r="C112" s="13">
        <v>31931045000294</v>
      </c>
      <c r="D112" s="13"/>
      <c r="E112" s="25"/>
      <c r="F112" s="25"/>
      <c r="G112" s="183"/>
      <c r="H112" s="148"/>
      <c r="I112" s="149"/>
      <c r="J112" s="150"/>
      <c r="K112" s="151"/>
    </row>
    <row r="113" spans="1:11" x14ac:dyDescent="0.25">
      <c r="A113" s="17" t="s">
        <v>7</v>
      </c>
      <c r="B113" s="145" t="s">
        <v>23</v>
      </c>
      <c r="C113" s="14">
        <v>53062667000185</v>
      </c>
      <c r="D113" s="14"/>
      <c r="E113" s="23"/>
      <c r="F113" s="23"/>
      <c r="G113" s="181"/>
      <c r="H113" s="15"/>
      <c r="I113" s="31"/>
      <c r="J113" s="146"/>
      <c r="K113" s="26"/>
    </row>
    <row r="114" spans="1:11" x14ac:dyDescent="0.25">
      <c r="A114" s="8" t="s">
        <v>2</v>
      </c>
      <c r="B114" s="144" t="s">
        <v>24</v>
      </c>
      <c r="C114" s="9">
        <v>73073165000167</v>
      </c>
      <c r="D114" s="9"/>
      <c r="E114" s="24"/>
      <c r="F114" s="24"/>
      <c r="G114" s="182"/>
      <c r="H114" s="10"/>
      <c r="I114" s="11"/>
      <c r="J114" s="51"/>
      <c r="K114" s="27"/>
    </row>
    <row r="115" spans="1:11" x14ac:dyDescent="0.25">
      <c r="A115" s="8" t="s">
        <v>8</v>
      </c>
      <c r="B115" s="144" t="s">
        <v>25</v>
      </c>
      <c r="C115" s="9">
        <v>2274188000191</v>
      </c>
      <c r="D115" s="9"/>
      <c r="E115" s="24"/>
      <c r="F115" s="24"/>
      <c r="G115" s="182"/>
      <c r="H115" s="10"/>
      <c r="I115" s="11"/>
      <c r="J115" s="51"/>
      <c r="K115" s="62"/>
    </row>
    <row r="116" spans="1:11" x14ac:dyDescent="0.25">
      <c r="A116" s="8" t="s">
        <v>9</v>
      </c>
      <c r="B116" s="144" t="s">
        <v>26</v>
      </c>
      <c r="C116" s="9">
        <v>43161439000109</v>
      </c>
      <c r="D116" s="9"/>
      <c r="E116" s="24"/>
      <c r="F116" s="24"/>
      <c r="G116" s="182"/>
      <c r="H116" s="10"/>
      <c r="I116" s="11"/>
      <c r="J116" s="51"/>
      <c r="K116" s="27"/>
    </row>
    <row r="117" spans="1:11" x14ac:dyDescent="0.25">
      <c r="A117" s="8" t="s">
        <v>1</v>
      </c>
      <c r="B117" s="144" t="s">
        <v>35</v>
      </c>
      <c r="C117" s="9">
        <v>11646469000119</v>
      </c>
      <c r="D117" s="9"/>
      <c r="E117" s="24"/>
      <c r="F117" s="24"/>
      <c r="G117" s="182"/>
      <c r="H117" s="10"/>
      <c r="I117" s="11"/>
      <c r="J117" s="51"/>
      <c r="K117" s="27"/>
    </row>
    <row r="118" spans="1:11" x14ac:dyDescent="0.25">
      <c r="A118" s="8" t="s">
        <v>22</v>
      </c>
      <c r="B118" s="144" t="s">
        <v>28</v>
      </c>
      <c r="C118" s="9">
        <v>53062667000509</v>
      </c>
      <c r="D118" s="9"/>
      <c r="E118" s="24"/>
      <c r="F118" s="24"/>
      <c r="G118" s="182"/>
      <c r="H118" s="10"/>
      <c r="I118" s="11"/>
      <c r="J118" s="51"/>
      <c r="K118" s="27"/>
    </row>
    <row r="119" spans="1:11" x14ac:dyDescent="0.25">
      <c r="A119" s="8" t="s">
        <v>10</v>
      </c>
      <c r="B119" s="144" t="s">
        <v>29</v>
      </c>
      <c r="C119" s="9">
        <v>23602054000122</v>
      </c>
      <c r="D119" s="9"/>
      <c r="E119" s="24"/>
      <c r="F119" s="24"/>
      <c r="G119" s="182"/>
      <c r="H119" s="10"/>
      <c r="I119" s="11"/>
      <c r="J119" s="51"/>
      <c r="K119" s="85"/>
    </row>
    <row r="120" spans="1:11" x14ac:dyDescent="0.25">
      <c r="A120" s="8" t="s">
        <v>33</v>
      </c>
      <c r="B120" s="144" t="s">
        <v>31</v>
      </c>
      <c r="C120" s="9">
        <v>31931045000103</v>
      </c>
      <c r="D120" s="9"/>
      <c r="E120" s="24"/>
      <c r="F120" s="24"/>
      <c r="G120" s="182"/>
      <c r="H120" s="10"/>
      <c r="I120" s="11"/>
      <c r="J120" s="51"/>
      <c r="K120" s="85"/>
    </row>
    <row r="121" spans="1:11" x14ac:dyDescent="0.25">
      <c r="A121" s="8" t="s">
        <v>63</v>
      </c>
      <c r="B121" s="144" t="s">
        <v>34</v>
      </c>
      <c r="C121" s="9">
        <v>23602054000203</v>
      </c>
      <c r="D121" s="9"/>
      <c r="E121" s="24"/>
      <c r="F121" s="24"/>
      <c r="G121" s="182"/>
      <c r="H121" s="10"/>
      <c r="I121" s="11"/>
      <c r="J121" s="51"/>
      <c r="K121" s="85"/>
    </row>
    <row r="122" spans="1:11" x14ac:dyDescent="0.25">
      <c r="A122" s="8" t="s">
        <v>41</v>
      </c>
      <c r="B122" s="144" t="s">
        <v>67</v>
      </c>
      <c r="C122" s="9">
        <v>23602054000203</v>
      </c>
      <c r="D122" s="9"/>
      <c r="E122" s="24"/>
      <c r="F122" s="24"/>
      <c r="G122" s="182"/>
      <c r="H122" s="10"/>
      <c r="I122" s="11"/>
      <c r="J122" s="51"/>
      <c r="K122" s="85"/>
    </row>
    <row r="123" spans="1:11" ht="15.75" thickBot="1" x14ac:dyDescent="0.3">
      <c r="A123" s="12" t="s">
        <v>64</v>
      </c>
      <c r="B123" s="147"/>
      <c r="C123" s="13">
        <v>31931045000294</v>
      </c>
      <c r="D123" s="13"/>
      <c r="E123" s="25"/>
      <c r="F123" s="25"/>
      <c r="G123" s="183"/>
      <c r="H123" s="148"/>
      <c r="I123" s="149"/>
      <c r="J123" s="150"/>
      <c r="K123" s="151"/>
    </row>
    <row r="124" spans="1:11" x14ac:dyDescent="0.25">
      <c r="A124" s="17" t="s">
        <v>7</v>
      </c>
      <c r="B124" s="145" t="s">
        <v>23</v>
      </c>
      <c r="C124" s="14">
        <v>53062667000185</v>
      </c>
      <c r="D124" s="14"/>
      <c r="E124" s="23"/>
      <c r="F124" s="23"/>
      <c r="G124" s="181"/>
      <c r="H124" s="15"/>
      <c r="I124" s="31"/>
      <c r="J124" s="146"/>
      <c r="K124" s="26"/>
    </row>
    <row r="125" spans="1:11" x14ac:dyDescent="0.25">
      <c r="A125" s="8" t="s">
        <v>2</v>
      </c>
      <c r="B125" s="144" t="s">
        <v>24</v>
      </c>
      <c r="C125" s="9">
        <v>73073165000167</v>
      </c>
      <c r="D125" s="9"/>
      <c r="E125" s="24"/>
      <c r="F125" s="24"/>
      <c r="G125" s="182"/>
      <c r="H125" s="10"/>
      <c r="I125" s="11"/>
      <c r="J125" s="51"/>
      <c r="K125" s="27"/>
    </row>
    <row r="126" spans="1:11" x14ac:dyDescent="0.25">
      <c r="A126" s="8" t="s">
        <v>8</v>
      </c>
      <c r="B126" s="144" t="s">
        <v>25</v>
      </c>
      <c r="C126" s="9">
        <v>2274188000191</v>
      </c>
      <c r="D126" s="9"/>
      <c r="E126" s="24"/>
      <c r="F126" s="24"/>
      <c r="G126" s="182"/>
      <c r="H126" s="10"/>
      <c r="I126" s="11"/>
      <c r="J126" s="51"/>
      <c r="K126" s="62"/>
    </row>
    <row r="127" spans="1:11" x14ac:dyDescent="0.25">
      <c r="A127" s="8" t="s">
        <v>9</v>
      </c>
      <c r="B127" s="144" t="s">
        <v>26</v>
      </c>
      <c r="C127" s="9">
        <v>43161439000109</v>
      </c>
      <c r="D127" s="9"/>
      <c r="E127" s="24"/>
      <c r="F127" s="24"/>
      <c r="G127" s="182"/>
      <c r="H127" s="10"/>
      <c r="I127" s="11"/>
      <c r="J127" s="51"/>
      <c r="K127" s="27"/>
    </row>
    <row r="128" spans="1:11" x14ac:dyDescent="0.25">
      <c r="A128" s="8" t="s">
        <v>1</v>
      </c>
      <c r="B128" s="144" t="s">
        <v>35</v>
      </c>
      <c r="C128" s="9">
        <v>11646469000119</v>
      </c>
      <c r="D128" s="9"/>
      <c r="E128" s="24"/>
      <c r="F128" s="24"/>
      <c r="G128" s="182"/>
      <c r="H128" s="10"/>
      <c r="I128" s="11"/>
      <c r="J128" s="51"/>
      <c r="K128" s="27"/>
    </row>
    <row r="129" spans="1:11" x14ac:dyDescent="0.25">
      <c r="A129" s="8" t="s">
        <v>22</v>
      </c>
      <c r="B129" s="144" t="s">
        <v>28</v>
      </c>
      <c r="C129" s="9">
        <v>53062667000509</v>
      </c>
      <c r="D129" s="9"/>
      <c r="E129" s="24"/>
      <c r="F129" s="24"/>
      <c r="G129" s="182"/>
      <c r="H129" s="10"/>
      <c r="I129" s="11"/>
      <c r="J129" s="51"/>
      <c r="K129" s="27"/>
    </row>
    <row r="130" spans="1:11" x14ac:dyDescent="0.25">
      <c r="A130" s="8" t="s">
        <v>10</v>
      </c>
      <c r="B130" s="144" t="s">
        <v>29</v>
      </c>
      <c r="C130" s="9">
        <v>23602054000122</v>
      </c>
      <c r="D130" s="9"/>
      <c r="E130" s="24"/>
      <c r="F130" s="24"/>
      <c r="G130" s="182"/>
      <c r="H130" s="10"/>
      <c r="I130" s="11"/>
      <c r="J130" s="51"/>
      <c r="K130" s="85"/>
    </row>
    <row r="131" spans="1:11" x14ac:dyDescent="0.25">
      <c r="A131" s="8" t="s">
        <v>33</v>
      </c>
      <c r="B131" s="144" t="s">
        <v>31</v>
      </c>
      <c r="C131" s="9">
        <v>31931045000103</v>
      </c>
      <c r="D131" s="9"/>
      <c r="E131" s="24"/>
      <c r="F131" s="24"/>
      <c r="G131" s="182"/>
      <c r="H131" s="10"/>
      <c r="I131" s="11"/>
      <c r="J131" s="51"/>
      <c r="K131" s="85"/>
    </row>
    <row r="132" spans="1:11" x14ac:dyDescent="0.25">
      <c r="A132" s="8" t="s">
        <v>63</v>
      </c>
      <c r="B132" s="144" t="s">
        <v>34</v>
      </c>
      <c r="C132" s="9">
        <v>23602054000203</v>
      </c>
      <c r="D132" s="9"/>
      <c r="E132" s="24"/>
      <c r="F132" s="24"/>
      <c r="G132" s="182"/>
      <c r="H132" s="10"/>
      <c r="I132" s="11"/>
      <c r="J132" s="51"/>
      <c r="K132" s="85"/>
    </row>
    <row r="133" spans="1:11" x14ac:dyDescent="0.25">
      <c r="A133" s="8" t="s">
        <v>41</v>
      </c>
      <c r="B133" s="144" t="s">
        <v>67</v>
      </c>
      <c r="C133" s="9">
        <v>23602054000203</v>
      </c>
      <c r="D133" s="9"/>
      <c r="E133" s="24"/>
      <c r="F133" s="24"/>
      <c r="G133" s="182"/>
      <c r="H133" s="10"/>
      <c r="I133" s="11"/>
      <c r="J133" s="51"/>
      <c r="K133" s="85"/>
    </row>
    <row r="134" spans="1:11" ht="15.75" thickBot="1" x14ac:dyDescent="0.3">
      <c r="A134" s="12" t="s">
        <v>64</v>
      </c>
      <c r="B134" s="147"/>
      <c r="C134" s="13">
        <v>31931045000294</v>
      </c>
      <c r="D134" s="13"/>
      <c r="E134" s="25"/>
      <c r="F134" s="25"/>
      <c r="G134" s="183"/>
      <c r="H134" s="148"/>
      <c r="I134" s="149"/>
      <c r="J134" s="150"/>
      <c r="K134" s="151"/>
    </row>
  </sheetData>
  <mergeCells count="14">
    <mergeCell ref="G124:G134"/>
    <mergeCell ref="G113:G123"/>
    <mergeCell ref="G91:G101"/>
    <mergeCell ref="G102:G112"/>
    <mergeCell ref="G80:G90"/>
    <mergeCell ref="A1:K1"/>
    <mergeCell ref="A2:B2"/>
    <mergeCell ref="G3:G13"/>
    <mergeCell ref="G25:G35"/>
    <mergeCell ref="G69:G79"/>
    <mergeCell ref="G58:G68"/>
    <mergeCell ref="G47:G57"/>
    <mergeCell ref="G36:G46"/>
    <mergeCell ref="G14:G24"/>
  </mergeCells>
  <printOptions horizontalCentered="1"/>
  <pageMargins left="0.16" right="0.16" top="0.51" bottom="0.78740157480314965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63"/>
  <sheetViews>
    <sheetView topLeftCell="A31" zoomScale="110" zoomScaleNormal="110" workbookViewId="0">
      <selection activeCell="G54" sqref="G54"/>
    </sheetView>
  </sheetViews>
  <sheetFormatPr defaultRowHeight="15" x14ac:dyDescent="0.25"/>
  <cols>
    <col min="1" max="1" width="26.5703125" style="1" customWidth="1"/>
    <col min="2" max="2" width="18.28515625" style="19" customWidth="1"/>
    <col min="3" max="3" width="12" style="19" customWidth="1"/>
    <col min="4" max="4" width="9.7109375" style="20" bestFit="1" customWidth="1"/>
    <col min="5" max="5" width="13.28515625" style="21" bestFit="1" customWidth="1"/>
    <col min="6" max="8" width="12" style="20" customWidth="1"/>
    <col min="9" max="9" width="12" style="20" bestFit="1" customWidth="1"/>
    <col min="10" max="10" width="13.140625" style="21" bestFit="1" customWidth="1"/>
    <col min="11" max="11" width="12.28515625" style="20" bestFit="1" customWidth="1"/>
    <col min="12" max="12" width="14.85546875" style="2" bestFit="1" customWidth="1"/>
    <col min="13" max="13" width="15.5703125" style="18" bestFit="1" customWidth="1"/>
    <col min="14" max="14" width="27.85546875" style="18" customWidth="1"/>
    <col min="15" max="15" width="33.28515625" bestFit="1" customWidth="1"/>
    <col min="16" max="16" width="6.7109375" bestFit="1" customWidth="1"/>
    <col min="18" max="18" width="5.42578125" bestFit="1" customWidth="1"/>
    <col min="19" max="19" width="16.85546875" bestFit="1" customWidth="1"/>
    <col min="20" max="20" width="9.28515625" bestFit="1" customWidth="1"/>
    <col min="21" max="21" width="8.28515625" bestFit="1" customWidth="1"/>
    <col min="22" max="22" width="9.7109375" bestFit="1" customWidth="1"/>
    <col min="23" max="24" width="11.85546875" bestFit="1" customWidth="1"/>
    <col min="25" max="25" width="11.7109375" bestFit="1" customWidth="1"/>
    <col min="26" max="26" width="12.5703125" bestFit="1" customWidth="1"/>
    <col min="27" max="27" width="12.42578125" bestFit="1" customWidth="1"/>
    <col min="28" max="28" width="12.5703125" bestFit="1" customWidth="1"/>
    <col min="29" max="29" width="12.42578125" bestFit="1" customWidth="1"/>
    <col min="30" max="30" width="12" bestFit="1" customWidth="1"/>
    <col min="31" max="31" width="9.7109375" bestFit="1" customWidth="1"/>
    <col min="32" max="32" width="11.7109375" bestFit="1" customWidth="1"/>
    <col min="33" max="33" width="3.42578125" bestFit="1" customWidth="1"/>
    <col min="34" max="34" width="11.5703125" bestFit="1" customWidth="1"/>
    <col min="35" max="35" width="5" bestFit="1" customWidth="1"/>
    <col min="36" max="36" width="11.140625" bestFit="1" customWidth="1"/>
  </cols>
  <sheetData>
    <row r="1" spans="1:14" ht="21.75" thickBot="1" x14ac:dyDescent="0.4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5"/>
    </row>
    <row r="2" spans="1:14" ht="15.75" thickBot="1" x14ac:dyDescent="0.3">
      <c r="A2" s="86"/>
      <c r="B2" s="3" t="s">
        <v>3</v>
      </c>
      <c r="C2" s="4" t="s">
        <v>76</v>
      </c>
      <c r="D2" s="4" t="s">
        <v>75</v>
      </c>
      <c r="E2" s="5" t="s">
        <v>74</v>
      </c>
      <c r="F2" s="49" t="s">
        <v>73</v>
      </c>
      <c r="G2" s="48" t="s">
        <v>72</v>
      </c>
      <c r="H2" s="48" t="s">
        <v>71</v>
      </c>
      <c r="I2" s="48" t="s">
        <v>66</v>
      </c>
      <c r="J2" s="22" t="s">
        <v>14</v>
      </c>
      <c r="K2" s="6" t="s">
        <v>0</v>
      </c>
      <c r="L2" s="30" t="s">
        <v>12</v>
      </c>
      <c r="M2" s="7" t="s">
        <v>30</v>
      </c>
      <c r="N2" s="7" t="s">
        <v>13</v>
      </c>
    </row>
    <row r="3" spans="1:14" ht="15.75" x14ac:dyDescent="0.25">
      <c r="A3" s="17" t="s">
        <v>23</v>
      </c>
      <c r="B3" s="14">
        <v>53062667000185</v>
      </c>
      <c r="C3" s="23"/>
      <c r="D3" s="14"/>
      <c r="E3" s="23">
        <v>20</v>
      </c>
      <c r="F3" s="14">
        <v>72</v>
      </c>
      <c r="G3" s="14"/>
      <c r="H3" s="14"/>
      <c r="I3" s="14"/>
      <c r="J3" s="178">
        <v>46027</v>
      </c>
      <c r="K3" s="52">
        <v>59349</v>
      </c>
      <c r="L3" s="102"/>
      <c r="M3" s="152"/>
      <c r="N3" s="153"/>
    </row>
    <row r="4" spans="1:14" ht="15.75" x14ac:dyDescent="0.25">
      <c r="A4" s="8" t="s">
        <v>24</v>
      </c>
      <c r="B4" s="9">
        <v>73073165000167</v>
      </c>
      <c r="C4" s="24"/>
      <c r="D4" s="9"/>
      <c r="E4" s="24">
        <v>20</v>
      </c>
      <c r="F4" s="9">
        <v>60</v>
      </c>
      <c r="G4" s="9">
        <v>36</v>
      </c>
      <c r="H4" s="9"/>
      <c r="I4" s="9"/>
      <c r="J4" s="179"/>
      <c r="K4" s="53">
        <v>59351</v>
      </c>
      <c r="L4" s="54"/>
      <c r="M4" s="66"/>
      <c r="N4" s="101"/>
    </row>
    <row r="5" spans="1:14" ht="15.75" x14ac:dyDescent="0.25">
      <c r="A5" s="8" t="s">
        <v>25</v>
      </c>
      <c r="B5" s="9">
        <v>2274188000191</v>
      </c>
      <c r="C5" s="24" t="s">
        <v>80</v>
      </c>
      <c r="D5" s="9" t="s">
        <v>80</v>
      </c>
      <c r="E5" s="24" t="s">
        <v>80</v>
      </c>
      <c r="F5" s="9" t="s">
        <v>80</v>
      </c>
      <c r="G5" s="9" t="s">
        <v>80</v>
      </c>
      <c r="H5" s="9" t="s">
        <v>80</v>
      </c>
      <c r="I5" s="9"/>
      <c r="J5" s="179"/>
      <c r="K5" s="53"/>
      <c r="L5" s="54"/>
      <c r="M5" s="66"/>
      <c r="N5" s="16"/>
    </row>
    <row r="6" spans="1:14" ht="15.75" x14ac:dyDescent="0.25">
      <c r="A6" s="8" t="s">
        <v>27</v>
      </c>
      <c r="B6" s="9">
        <v>11646469000119</v>
      </c>
      <c r="C6" s="24"/>
      <c r="D6" s="9"/>
      <c r="E6" s="24"/>
      <c r="F6" s="9">
        <v>36</v>
      </c>
      <c r="G6" s="9">
        <v>12</v>
      </c>
      <c r="H6" s="9"/>
      <c r="I6" s="9"/>
      <c r="J6" s="179"/>
      <c r="K6" s="53">
        <v>59353</v>
      </c>
      <c r="L6" s="54"/>
      <c r="M6" s="66"/>
      <c r="N6" s="50"/>
    </row>
    <row r="7" spans="1:14" ht="15.75" x14ac:dyDescent="0.25">
      <c r="A7" s="8" t="s">
        <v>28</v>
      </c>
      <c r="B7" s="9">
        <v>53062667000509</v>
      </c>
      <c r="C7" s="24"/>
      <c r="D7" s="9"/>
      <c r="E7" s="24">
        <v>20</v>
      </c>
      <c r="F7" s="9">
        <v>36</v>
      </c>
      <c r="G7" s="9">
        <v>12</v>
      </c>
      <c r="H7" s="9">
        <v>12</v>
      </c>
      <c r="I7" s="9"/>
      <c r="J7" s="179"/>
      <c r="K7" s="53">
        <v>59350</v>
      </c>
      <c r="L7" s="54"/>
      <c r="M7" s="66"/>
      <c r="N7" s="16"/>
    </row>
    <row r="8" spans="1:14" ht="15.75" x14ac:dyDescent="0.25">
      <c r="A8" s="8" t="s">
        <v>29</v>
      </c>
      <c r="B8" s="9">
        <v>23602054000122</v>
      </c>
      <c r="C8" s="24" t="s">
        <v>80</v>
      </c>
      <c r="D8" s="9" t="s">
        <v>80</v>
      </c>
      <c r="E8" s="24" t="s">
        <v>80</v>
      </c>
      <c r="F8" s="9" t="s">
        <v>80</v>
      </c>
      <c r="G8" s="9" t="s">
        <v>80</v>
      </c>
      <c r="H8" s="9" t="s">
        <v>80</v>
      </c>
      <c r="I8" s="9"/>
      <c r="J8" s="179"/>
      <c r="K8" s="53"/>
      <c r="L8" s="54"/>
      <c r="M8" s="68"/>
      <c r="N8" s="16"/>
    </row>
    <row r="9" spans="1:14" ht="15.75" x14ac:dyDescent="0.25">
      <c r="A9" s="8" t="s">
        <v>31</v>
      </c>
      <c r="B9" s="9">
        <v>31931045000103</v>
      </c>
      <c r="C9" s="24"/>
      <c r="D9" s="9">
        <v>20</v>
      </c>
      <c r="E9" s="24">
        <v>40</v>
      </c>
      <c r="F9" s="9">
        <v>48</v>
      </c>
      <c r="G9" s="9">
        <v>24</v>
      </c>
      <c r="H9" s="9">
        <v>6</v>
      </c>
      <c r="I9" s="9"/>
      <c r="J9" s="179"/>
      <c r="K9" s="53">
        <v>59354</v>
      </c>
      <c r="L9" s="54"/>
      <c r="M9" s="68"/>
      <c r="N9" s="16"/>
    </row>
    <row r="10" spans="1:14" ht="15.75" x14ac:dyDescent="0.25">
      <c r="A10" s="8" t="s">
        <v>34</v>
      </c>
      <c r="B10" s="9">
        <v>43161439000109</v>
      </c>
      <c r="C10" s="24"/>
      <c r="D10" s="9"/>
      <c r="E10" s="24"/>
      <c r="F10" s="9">
        <v>60</v>
      </c>
      <c r="G10" s="9"/>
      <c r="H10" s="9"/>
      <c r="I10" s="9"/>
      <c r="J10" s="179"/>
      <c r="K10" s="57">
        <v>59355</v>
      </c>
      <c r="L10" s="54"/>
      <c r="M10" s="68"/>
      <c r="N10" s="16"/>
    </row>
    <row r="11" spans="1:14" ht="15.75" x14ac:dyDescent="0.25">
      <c r="A11" s="8" t="s">
        <v>40</v>
      </c>
      <c r="B11" s="9">
        <v>23602054000203</v>
      </c>
      <c r="C11" s="24"/>
      <c r="D11" s="9"/>
      <c r="E11" s="24"/>
      <c r="F11" s="9">
        <v>48</v>
      </c>
      <c r="G11" s="9"/>
      <c r="H11" s="9">
        <v>6</v>
      </c>
      <c r="I11" s="9"/>
      <c r="J11" s="179"/>
      <c r="K11" s="57">
        <v>59356</v>
      </c>
      <c r="L11" s="54"/>
      <c r="M11" s="68"/>
      <c r="N11" s="16"/>
    </row>
    <row r="12" spans="1:14" ht="16.5" thickBot="1" x14ac:dyDescent="0.3">
      <c r="A12" s="12" t="s">
        <v>64</v>
      </c>
      <c r="B12" s="13">
        <v>31931045000294</v>
      </c>
      <c r="C12" s="25" t="s">
        <v>80</v>
      </c>
      <c r="D12" s="13" t="s">
        <v>80</v>
      </c>
      <c r="E12" s="25" t="s">
        <v>80</v>
      </c>
      <c r="F12" s="13" t="s">
        <v>80</v>
      </c>
      <c r="G12" s="13" t="s">
        <v>80</v>
      </c>
      <c r="H12" s="13" t="s">
        <v>80</v>
      </c>
      <c r="I12" s="13"/>
      <c r="J12" s="180"/>
      <c r="K12" s="154"/>
      <c r="L12" s="155"/>
      <c r="M12" s="156"/>
      <c r="N12" s="157"/>
    </row>
    <row r="13" spans="1:14" ht="15.75" x14ac:dyDescent="0.25">
      <c r="A13" s="17" t="s">
        <v>23</v>
      </c>
      <c r="B13" s="14">
        <v>53062667000185</v>
      </c>
      <c r="C13" s="23"/>
      <c r="D13" s="14">
        <v>20</v>
      </c>
      <c r="E13" s="23"/>
      <c r="F13" s="14">
        <v>72</v>
      </c>
      <c r="G13" s="14">
        <v>12</v>
      </c>
      <c r="H13" s="14"/>
      <c r="I13" s="14"/>
      <c r="J13" s="178">
        <v>46034</v>
      </c>
      <c r="K13" s="52">
        <v>59415</v>
      </c>
      <c r="L13" s="102"/>
      <c r="M13" s="152"/>
      <c r="N13" s="153"/>
    </row>
    <row r="14" spans="1:14" ht="15.75" x14ac:dyDescent="0.25">
      <c r="A14" s="8" t="s">
        <v>24</v>
      </c>
      <c r="B14" s="9">
        <v>73073165000167</v>
      </c>
      <c r="C14" s="24"/>
      <c r="D14" s="9">
        <v>20</v>
      </c>
      <c r="E14" s="24"/>
      <c r="F14" s="9">
        <v>60</v>
      </c>
      <c r="G14" s="9"/>
      <c r="H14" s="9"/>
      <c r="I14" s="9"/>
      <c r="J14" s="179"/>
      <c r="K14" s="53">
        <v>59416</v>
      </c>
      <c r="L14" s="54"/>
      <c r="M14" s="66"/>
      <c r="N14" s="101"/>
    </row>
    <row r="15" spans="1:14" ht="15.75" x14ac:dyDescent="0.25">
      <c r="A15" s="8" t="s">
        <v>25</v>
      </c>
      <c r="B15" s="9">
        <v>2274188000191</v>
      </c>
      <c r="C15" s="24"/>
      <c r="D15" s="9"/>
      <c r="E15" s="24">
        <v>40</v>
      </c>
      <c r="F15" s="9">
        <v>48</v>
      </c>
      <c r="G15" s="9">
        <v>24</v>
      </c>
      <c r="H15" s="9">
        <v>6</v>
      </c>
      <c r="I15" s="9"/>
      <c r="J15" s="179"/>
      <c r="K15" s="53">
        <v>59445</v>
      </c>
      <c r="L15" s="54"/>
      <c r="M15" s="66"/>
      <c r="N15" s="16"/>
    </row>
    <row r="16" spans="1:14" ht="15.75" x14ac:dyDescent="0.25">
      <c r="A16" s="8" t="s">
        <v>27</v>
      </c>
      <c r="B16" s="9">
        <v>11646469000119</v>
      </c>
      <c r="C16" s="24"/>
      <c r="D16" s="9"/>
      <c r="E16" s="24"/>
      <c r="F16" s="9">
        <v>72</v>
      </c>
      <c r="G16" s="9">
        <v>12</v>
      </c>
      <c r="H16" s="9">
        <v>2</v>
      </c>
      <c r="I16" s="9"/>
      <c r="J16" s="179"/>
      <c r="K16" s="53">
        <v>59418</v>
      </c>
      <c r="L16" s="54"/>
      <c r="M16" s="66"/>
      <c r="N16" s="50"/>
    </row>
    <row r="17" spans="1:14" ht="15.75" x14ac:dyDescent="0.25">
      <c r="A17" s="8" t="s">
        <v>28</v>
      </c>
      <c r="B17" s="9">
        <v>53062667000509</v>
      </c>
      <c r="C17" s="24"/>
      <c r="D17" s="9"/>
      <c r="E17" s="24"/>
      <c r="F17" s="9">
        <v>48</v>
      </c>
      <c r="G17" s="9"/>
      <c r="H17" s="9"/>
      <c r="I17" s="9"/>
      <c r="J17" s="179"/>
      <c r="K17" s="53">
        <v>59419</v>
      </c>
      <c r="L17" s="54"/>
      <c r="M17" s="66"/>
      <c r="N17" s="16"/>
    </row>
    <row r="18" spans="1:14" ht="15.75" x14ac:dyDescent="0.25">
      <c r="A18" s="8" t="s">
        <v>29</v>
      </c>
      <c r="B18" s="9">
        <v>23602054000122</v>
      </c>
      <c r="C18" s="24"/>
      <c r="D18" s="9"/>
      <c r="E18" s="24">
        <v>20</v>
      </c>
      <c r="F18" s="9">
        <v>12</v>
      </c>
      <c r="G18" s="9">
        <v>12</v>
      </c>
      <c r="H18" s="9"/>
      <c r="I18" s="9"/>
      <c r="J18" s="179"/>
      <c r="K18" s="53">
        <v>59420</v>
      </c>
      <c r="L18" s="54"/>
      <c r="M18" s="68"/>
      <c r="N18" s="16"/>
    </row>
    <row r="19" spans="1:14" ht="15.75" x14ac:dyDescent="0.25">
      <c r="A19" s="8" t="s">
        <v>31</v>
      </c>
      <c r="B19" s="9">
        <v>31931045000103</v>
      </c>
      <c r="C19" s="24"/>
      <c r="D19" s="9"/>
      <c r="E19" s="24">
        <v>10</v>
      </c>
      <c r="F19" s="9">
        <v>72</v>
      </c>
      <c r="G19" s="9">
        <v>12</v>
      </c>
      <c r="H19" s="9">
        <v>6</v>
      </c>
      <c r="I19" s="9"/>
      <c r="J19" s="179"/>
      <c r="K19" s="53">
        <v>59444</v>
      </c>
      <c r="L19" s="54"/>
      <c r="M19" s="68"/>
      <c r="N19" s="16"/>
    </row>
    <row r="20" spans="1:14" ht="15.75" x14ac:dyDescent="0.25">
      <c r="A20" s="8" t="s">
        <v>34</v>
      </c>
      <c r="B20" s="9">
        <v>43161439000109</v>
      </c>
      <c r="C20" s="24"/>
      <c r="D20" s="9"/>
      <c r="E20" s="24"/>
      <c r="F20" s="9">
        <v>60</v>
      </c>
      <c r="G20" s="9"/>
      <c r="H20" s="9"/>
      <c r="I20" s="9"/>
      <c r="J20" s="179"/>
      <c r="K20" s="57">
        <v>59421</v>
      </c>
      <c r="L20" s="54"/>
      <c r="M20" s="68"/>
      <c r="N20" s="16"/>
    </row>
    <row r="21" spans="1:14" ht="15.75" x14ac:dyDescent="0.25">
      <c r="A21" s="8" t="s">
        <v>40</v>
      </c>
      <c r="B21" s="9">
        <v>23602054000203</v>
      </c>
      <c r="C21" s="24"/>
      <c r="D21" s="9">
        <v>20</v>
      </c>
      <c r="E21" s="24">
        <v>20</v>
      </c>
      <c r="F21" s="9">
        <v>48</v>
      </c>
      <c r="G21" s="9">
        <v>12</v>
      </c>
      <c r="H21" s="9"/>
      <c r="I21" s="9"/>
      <c r="J21" s="179"/>
      <c r="K21" s="57">
        <v>59422</v>
      </c>
      <c r="L21" s="54"/>
      <c r="M21" s="68"/>
      <c r="N21" s="16"/>
    </row>
    <row r="22" spans="1:14" ht="16.5" thickBot="1" x14ac:dyDescent="0.3">
      <c r="A22" s="12" t="s">
        <v>64</v>
      </c>
      <c r="B22" s="13">
        <v>31931045000294</v>
      </c>
      <c r="C22" s="25"/>
      <c r="D22" s="13">
        <v>10</v>
      </c>
      <c r="E22" s="25">
        <v>20</v>
      </c>
      <c r="F22" s="13">
        <v>120</v>
      </c>
      <c r="G22" s="13"/>
      <c r="H22" s="13"/>
      <c r="I22" s="13"/>
      <c r="J22" s="180"/>
      <c r="K22" s="154">
        <v>59423</v>
      </c>
      <c r="L22" s="155"/>
      <c r="M22" s="156"/>
      <c r="N22" s="157"/>
    </row>
    <row r="23" spans="1:14" ht="15.75" x14ac:dyDescent="0.25">
      <c r="A23" s="17" t="s">
        <v>23</v>
      </c>
      <c r="B23" s="14">
        <v>53062667000185</v>
      </c>
      <c r="C23" s="23"/>
      <c r="D23" s="14"/>
      <c r="E23" s="23">
        <v>20</v>
      </c>
      <c r="F23" s="14">
        <v>72</v>
      </c>
      <c r="G23" s="14"/>
      <c r="H23" s="14"/>
      <c r="I23" s="14"/>
      <c r="J23" s="178">
        <v>46041</v>
      </c>
      <c r="K23" s="52">
        <v>59479</v>
      </c>
      <c r="L23" s="102"/>
      <c r="M23" s="152"/>
      <c r="N23" s="153"/>
    </row>
    <row r="24" spans="1:14" ht="15.75" x14ac:dyDescent="0.25">
      <c r="A24" s="8" t="s">
        <v>24</v>
      </c>
      <c r="B24" s="9">
        <v>73073165000167</v>
      </c>
      <c r="C24" s="24"/>
      <c r="D24" s="9"/>
      <c r="E24" s="24"/>
      <c r="F24" s="9">
        <v>84</v>
      </c>
      <c r="G24" s="9"/>
      <c r="H24" s="9"/>
      <c r="I24" s="9"/>
      <c r="J24" s="179"/>
      <c r="K24" s="53">
        <v>59480</v>
      </c>
      <c r="L24" s="54"/>
      <c r="M24" s="66"/>
      <c r="N24" s="101"/>
    </row>
    <row r="25" spans="1:14" ht="15.75" x14ac:dyDescent="0.25">
      <c r="A25" s="8" t="s">
        <v>25</v>
      </c>
      <c r="B25" s="9">
        <v>2274188000191</v>
      </c>
      <c r="C25" s="24"/>
      <c r="D25" s="9"/>
      <c r="E25" s="24"/>
      <c r="F25" s="9">
        <v>48</v>
      </c>
      <c r="G25" s="9">
        <v>12</v>
      </c>
      <c r="H25" s="9"/>
      <c r="I25" s="9"/>
      <c r="J25" s="179"/>
      <c r="K25" s="53">
        <v>59481</v>
      </c>
      <c r="L25" s="54"/>
      <c r="M25" s="66"/>
      <c r="N25" s="16"/>
    </row>
    <row r="26" spans="1:14" ht="15.75" x14ac:dyDescent="0.25">
      <c r="A26" s="8" t="s">
        <v>27</v>
      </c>
      <c r="B26" s="9">
        <v>11646469000119</v>
      </c>
      <c r="C26" s="24">
        <v>3</v>
      </c>
      <c r="D26" s="9"/>
      <c r="E26" s="24">
        <v>10</v>
      </c>
      <c r="F26" s="9">
        <v>72</v>
      </c>
      <c r="G26" s="9"/>
      <c r="H26" s="9"/>
      <c r="I26" s="9"/>
      <c r="J26" s="179"/>
      <c r="K26" s="53">
        <v>59482</v>
      </c>
      <c r="L26" s="54"/>
      <c r="M26" s="66"/>
      <c r="N26" s="50"/>
    </row>
    <row r="27" spans="1:14" ht="15.75" x14ac:dyDescent="0.25">
      <c r="A27" s="8" t="s">
        <v>28</v>
      </c>
      <c r="B27" s="9">
        <v>53062667000509</v>
      </c>
      <c r="C27" s="24"/>
      <c r="D27" s="9"/>
      <c r="E27" s="24">
        <v>20</v>
      </c>
      <c r="F27" s="9">
        <v>48</v>
      </c>
      <c r="G27" s="9">
        <v>12</v>
      </c>
      <c r="H27" s="9"/>
      <c r="I27" s="9"/>
      <c r="J27" s="179"/>
      <c r="K27" s="53">
        <v>59483</v>
      </c>
      <c r="L27" s="54"/>
      <c r="M27" s="66"/>
      <c r="N27" s="16"/>
    </row>
    <row r="28" spans="1:14" ht="15.75" x14ac:dyDescent="0.25">
      <c r="A28" s="8" t="s">
        <v>29</v>
      </c>
      <c r="B28" s="9">
        <v>23602054000122</v>
      </c>
      <c r="C28" s="24"/>
      <c r="D28" s="9"/>
      <c r="E28" s="24"/>
      <c r="F28" s="9">
        <v>60</v>
      </c>
      <c r="G28" s="9"/>
      <c r="H28" s="9"/>
      <c r="I28" s="9"/>
      <c r="J28" s="179"/>
      <c r="K28" s="53">
        <v>59484</v>
      </c>
      <c r="L28" s="54"/>
      <c r="M28" s="68"/>
      <c r="N28" s="16"/>
    </row>
    <row r="29" spans="1:14" ht="15.75" x14ac:dyDescent="0.25">
      <c r="A29" s="8" t="s">
        <v>31</v>
      </c>
      <c r="B29" s="9">
        <v>31931045000103</v>
      </c>
      <c r="C29" s="24"/>
      <c r="D29" s="9">
        <v>20</v>
      </c>
      <c r="E29" s="24"/>
      <c r="F29" s="9">
        <v>24</v>
      </c>
      <c r="G29" s="9"/>
      <c r="H29" s="9"/>
      <c r="I29" s="9"/>
      <c r="J29" s="179"/>
      <c r="K29" s="53">
        <v>59485</v>
      </c>
      <c r="L29" s="54"/>
      <c r="M29" s="68"/>
      <c r="N29" s="16"/>
    </row>
    <row r="30" spans="1:14" ht="15.75" x14ac:dyDescent="0.25">
      <c r="A30" s="8" t="s">
        <v>34</v>
      </c>
      <c r="B30" s="9">
        <v>43161439000109</v>
      </c>
      <c r="C30" s="24"/>
      <c r="D30" s="9"/>
      <c r="E30" s="24">
        <v>30</v>
      </c>
      <c r="F30" s="9">
        <v>60</v>
      </c>
      <c r="G30" s="9">
        <v>12</v>
      </c>
      <c r="H30" s="9">
        <v>6</v>
      </c>
      <c r="I30" s="9"/>
      <c r="J30" s="179"/>
      <c r="K30" s="57">
        <v>59486</v>
      </c>
      <c r="L30" s="54"/>
      <c r="M30" s="68"/>
      <c r="N30" s="16"/>
    </row>
    <row r="31" spans="1:14" ht="15.75" x14ac:dyDescent="0.25">
      <c r="A31" s="8" t="s">
        <v>40</v>
      </c>
      <c r="B31" s="9">
        <v>23602054000203</v>
      </c>
      <c r="C31" s="24"/>
      <c r="D31" s="9"/>
      <c r="E31" s="24"/>
      <c r="F31" s="9">
        <v>60</v>
      </c>
      <c r="G31" s="9">
        <v>12</v>
      </c>
      <c r="H31" s="9"/>
      <c r="I31" s="9"/>
      <c r="J31" s="179"/>
      <c r="K31" s="57">
        <v>59487</v>
      </c>
      <c r="L31" s="54"/>
      <c r="M31" s="68"/>
      <c r="N31" s="16"/>
    </row>
    <row r="32" spans="1:14" ht="16.5" thickBot="1" x14ac:dyDescent="0.3">
      <c r="A32" s="12" t="s">
        <v>64</v>
      </c>
      <c r="B32" s="13">
        <v>31931045000294</v>
      </c>
      <c r="C32" s="25"/>
      <c r="D32" s="13">
        <v>5</v>
      </c>
      <c r="E32" s="25">
        <v>10</v>
      </c>
      <c r="F32" s="13">
        <v>72</v>
      </c>
      <c r="G32" s="13">
        <v>24</v>
      </c>
      <c r="H32" s="13"/>
      <c r="I32" s="13"/>
      <c r="J32" s="180"/>
      <c r="K32" s="154">
        <v>59488</v>
      </c>
      <c r="L32" s="155"/>
      <c r="M32" s="156"/>
      <c r="N32" s="157"/>
    </row>
    <row r="33" spans="1:14" ht="15.75" x14ac:dyDescent="0.25">
      <c r="A33" s="17" t="s">
        <v>23</v>
      </c>
      <c r="B33" s="14">
        <v>53062667000185</v>
      </c>
      <c r="C33" s="23"/>
      <c r="D33" s="14"/>
      <c r="E33" s="23"/>
      <c r="F33" s="14">
        <v>72</v>
      </c>
      <c r="G33" s="14">
        <v>12</v>
      </c>
      <c r="H33" s="14"/>
      <c r="I33" s="14"/>
      <c r="J33" s="178">
        <v>46048</v>
      </c>
      <c r="K33" s="52">
        <v>59553</v>
      </c>
      <c r="L33" s="102"/>
      <c r="M33" s="152"/>
      <c r="N33" s="153"/>
    </row>
    <row r="34" spans="1:14" ht="15.75" x14ac:dyDescent="0.25">
      <c r="A34" s="8" t="s">
        <v>24</v>
      </c>
      <c r="B34" s="9">
        <v>73073165000167</v>
      </c>
      <c r="C34" s="24"/>
      <c r="D34" s="9"/>
      <c r="E34" s="24"/>
      <c r="F34" s="9">
        <v>96</v>
      </c>
      <c r="G34" s="9"/>
      <c r="H34" s="9"/>
      <c r="I34" s="9"/>
      <c r="J34" s="179"/>
      <c r="K34" s="53">
        <v>59526</v>
      </c>
      <c r="L34" s="54"/>
      <c r="M34" s="66"/>
      <c r="N34" s="101"/>
    </row>
    <row r="35" spans="1:14" ht="15.75" x14ac:dyDescent="0.25">
      <c r="A35" s="8" t="s">
        <v>25</v>
      </c>
      <c r="B35" s="9">
        <v>2274188000191</v>
      </c>
      <c r="C35" s="24" t="s">
        <v>80</v>
      </c>
      <c r="D35" s="9" t="s">
        <v>80</v>
      </c>
      <c r="E35" s="24" t="s">
        <v>80</v>
      </c>
      <c r="F35" s="9" t="s">
        <v>80</v>
      </c>
      <c r="G35" s="9" t="s">
        <v>80</v>
      </c>
      <c r="H35" s="9" t="s">
        <v>80</v>
      </c>
      <c r="I35" s="9"/>
      <c r="J35" s="179"/>
      <c r="K35" s="53"/>
      <c r="L35" s="54"/>
      <c r="M35" s="66"/>
      <c r="N35" s="16"/>
    </row>
    <row r="36" spans="1:14" ht="15.75" x14ac:dyDescent="0.25">
      <c r="A36" s="8" t="s">
        <v>27</v>
      </c>
      <c r="B36" s="9">
        <v>11646469000119</v>
      </c>
      <c r="C36" s="24">
        <v>3</v>
      </c>
      <c r="D36" s="9"/>
      <c r="E36" s="24">
        <v>10</v>
      </c>
      <c r="F36" s="9">
        <v>60</v>
      </c>
      <c r="G36" s="9">
        <v>12</v>
      </c>
      <c r="H36" s="9">
        <v>2</v>
      </c>
      <c r="I36" s="9"/>
      <c r="J36" s="179"/>
      <c r="K36" s="53">
        <v>59527</v>
      </c>
      <c r="L36" s="54"/>
      <c r="M36" s="66"/>
      <c r="N36" s="50"/>
    </row>
    <row r="37" spans="1:14" ht="15.75" x14ac:dyDescent="0.25">
      <c r="A37" s="8" t="s">
        <v>28</v>
      </c>
      <c r="B37" s="9">
        <v>53062667000509</v>
      </c>
      <c r="C37" s="24"/>
      <c r="D37" s="9">
        <v>20</v>
      </c>
      <c r="E37" s="24"/>
      <c r="F37" s="9">
        <v>60</v>
      </c>
      <c r="G37" s="9">
        <v>12</v>
      </c>
      <c r="H37" s="9">
        <v>12</v>
      </c>
      <c r="I37" s="9"/>
      <c r="J37" s="179"/>
      <c r="K37" s="53">
        <v>59528</v>
      </c>
      <c r="L37" s="54"/>
      <c r="M37" s="66"/>
      <c r="N37" s="16"/>
    </row>
    <row r="38" spans="1:14" ht="15.75" x14ac:dyDescent="0.25">
      <c r="A38" s="8" t="s">
        <v>29</v>
      </c>
      <c r="B38" s="9">
        <v>23602054000122</v>
      </c>
      <c r="C38" s="24"/>
      <c r="D38" s="9"/>
      <c r="E38" s="24"/>
      <c r="F38" s="9">
        <v>36</v>
      </c>
      <c r="G38" s="9">
        <v>12</v>
      </c>
      <c r="H38" s="9">
        <v>6</v>
      </c>
      <c r="I38" s="9"/>
      <c r="J38" s="179"/>
      <c r="K38" s="53">
        <v>59529</v>
      </c>
      <c r="L38" s="54"/>
      <c r="M38" s="68"/>
      <c r="N38" s="16"/>
    </row>
    <row r="39" spans="1:14" ht="15.75" x14ac:dyDescent="0.25">
      <c r="A39" s="8" t="s">
        <v>31</v>
      </c>
      <c r="B39" s="9">
        <v>31931045000103</v>
      </c>
      <c r="C39" s="24"/>
      <c r="D39" s="9"/>
      <c r="E39" s="24"/>
      <c r="F39" s="9">
        <v>72</v>
      </c>
      <c r="G39" s="9"/>
      <c r="H39" s="9"/>
      <c r="I39" s="9"/>
      <c r="J39" s="179"/>
      <c r="K39" s="53">
        <v>59519</v>
      </c>
      <c r="L39" s="54"/>
      <c r="M39" s="68"/>
      <c r="N39" s="16"/>
    </row>
    <row r="40" spans="1:14" ht="15.75" x14ac:dyDescent="0.25">
      <c r="A40" s="8" t="s">
        <v>31</v>
      </c>
      <c r="B40" s="9">
        <v>31931045000103</v>
      </c>
      <c r="C40" s="24"/>
      <c r="D40" s="9"/>
      <c r="E40" s="24"/>
      <c r="F40" s="9">
        <v>48</v>
      </c>
      <c r="G40" s="9">
        <v>24</v>
      </c>
      <c r="H40" s="9">
        <v>6</v>
      </c>
      <c r="I40" s="9"/>
      <c r="J40" s="179"/>
      <c r="K40" s="53">
        <v>59571</v>
      </c>
      <c r="L40" s="54"/>
      <c r="M40" s="68"/>
      <c r="N40" s="16"/>
    </row>
    <row r="41" spans="1:14" ht="15.75" x14ac:dyDescent="0.25">
      <c r="A41" s="8" t="s">
        <v>34</v>
      </c>
      <c r="B41" s="9">
        <v>43161439000109</v>
      </c>
      <c r="C41" s="24"/>
      <c r="D41" s="9"/>
      <c r="E41" s="24"/>
      <c r="F41" s="9">
        <v>60</v>
      </c>
      <c r="G41" s="9">
        <v>12</v>
      </c>
      <c r="H41" s="9">
        <v>6</v>
      </c>
      <c r="I41" s="9"/>
      <c r="J41" s="179"/>
      <c r="K41" s="57">
        <v>59530</v>
      </c>
      <c r="L41" s="54"/>
      <c r="M41" s="68"/>
      <c r="N41" s="16"/>
    </row>
    <row r="42" spans="1:14" ht="15.75" x14ac:dyDescent="0.25">
      <c r="A42" s="8" t="s">
        <v>40</v>
      </c>
      <c r="B42" s="9">
        <v>23602054000203</v>
      </c>
      <c r="C42" s="24"/>
      <c r="D42" s="9"/>
      <c r="E42" s="24"/>
      <c r="F42" s="9">
        <v>60</v>
      </c>
      <c r="G42" s="9">
        <v>12</v>
      </c>
      <c r="H42" s="9"/>
      <c r="I42" s="9"/>
      <c r="J42" s="179"/>
      <c r="K42" s="57">
        <v>59523</v>
      </c>
      <c r="L42" s="54"/>
      <c r="M42" s="68"/>
      <c r="N42" s="16"/>
    </row>
    <row r="43" spans="1:14" ht="16.5" thickBot="1" x14ac:dyDescent="0.3">
      <c r="A43" s="12" t="s">
        <v>64</v>
      </c>
      <c r="B43" s="13">
        <v>31931045000294</v>
      </c>
      <c r="C43" s="25" t="s">
        <v>80</v>
      </c>
      <c r="D43" s="13" t="s">
        <v>80</v>
      </c>
      <c r="E43" s="25" t="s">
        <v>80</v>
      </c>
      <c r="F43" s="13" t="s">
        <v>80</v>
      </c>
      <c r="G43" s="13" t="s">
        <v>80</v>
      </c>
      <c r="H43" s="13" t="s">
        <v>80</v>
      </c>
      <c r="I43" s="13"/>
      <c r="J43" s="180"/>
      <c r="K43" s="154"/>
      <c r="L43" s="155"/>
      <c r="M43" s="156"/>
      <c r="N43" s="157"/>
    </row>
    <row r="44" spans="1:14" ht="15.75" x14ac:dyDescent="0.25">
      <c r="A44" s="17" t="s">
        <v>23</v>
      </c>
      <c r="B44" s="14">
        <v>53062667000185</v>
      </c>
      <c r="C44" s="23"/>
      <c r="D44" s="14"/>
      <c r="E44" s="23">
        <v>20</v>
      </c>
      <c r="F44" s="14">
        <v>72</v>
      </c>
      <c r="G44" s="14">
        <v>12</v>
      </c>
      <c r="H44" s="14">
        <v>6</v>
      </c>
      <c r="I44" s="14"/>
      <c r="J44" s="178">
        <v>46055</v>
      </c>
      <c r="K44" s="52">
        <v>59594</v>
      </c>
      <c r="L44" s="102"/>
      <c r="M44" s="152"/>
      <c r="N44" s="153"/>
    </row>
    <row r="45" spans="1:14" ht="15.75" x14ac:dyDescent="0.25">
      <c r="A45" s="8" t="s">
        <v>24</v>
      </c>
      <c r="B45" s="9">
        <v>73073165000167</v>
      </c>
      <c r="C45" s="24"/>
      <c r="D45" s="9">
        <v>10</v>
      </c>
      <c r="E45" s="24">
        <v>20</v>
      </c>
      <c r="F45" s="9">
        <v>96</v>
      </c>
      <c r="G45" s="9">
        <v>24</v>
      </c>
      <c r="H45" s="9">
        <v>6</v>
      </c>
      <c r="I45" s="9"/>
      <c r="J45" s="179"/>
      <c r="K45" s="53">
        <v>59596</v>
      </c>
      <c r="L45" s="54"/>
      <c r="M45" s="66"/>
      <c r="N45" s="101"/>
    </row>
    <row r="46" spans="1:14" ht="15.75" x14ac:dyDescent="0.25">
      <c r="A46" s="8" t="s">
        <v>25</v>
      </c>
      <c r="B46" s="9">
        <v>2274188000191</v>
      </c>
      <c r="C46" s="24"/>
      <c r="D46" s="9"/>
      <c r="E46" s="24"/>
      <c r="F46" s="9">
        <v>48</v>
      </c>
      <c r="G46" s="9">
        <v>12</v>
      </c>
      <c r="H46" s="9"/>
      <c r="I46" s="9"/>
      <c r="J46" s="179"/>
      <c r="K46" s="53">
        <v>59597</v>
      </c>
      <c r="L46" s="54"/>
      <c r="M46" s="66"/>
      <c r="N46" s="16"/>
    </row>
    <row r="47" spans="1:14" ht="15.75" x14ac:dyDescent="0.25">
      <c r="A47" s="8" t="s">
        <v>27</v>
      </c>
      <c r="B47" s="9">
        <v>11646469000119</v>
      </c>
      <c r="C47" s="24">
        <v>3</v>
      </c>
      <c r="D47" s="9"/>
      <c r="E47" s="24">
        <v>10</v>
      </c>
      <c r="F47" s="9">
        <v>72</v>
      </c>
      <c r="G47" s="9">
        <v>12</v>
      </c>
      <c r="H47" s="9">
        <v>2</v>
      </c>
      <c r="I47" s="9"/>
      <c r="J47" s="179"/>
      <c r="K47" s="53">
        <v>59598</v>
      </c>
      <c r="L47" s="54"/>
      <c r="M47" s="66"/>
      <c r="N47" s="50"/>
    </row>
    <row r="48" spans="1:14" ht="15.75" x14ac:dyDescent="0.25">
      <c r="A48" s="8" t="s">
        <v>28</v>
      </c>
      <c r="B48" s="9">
        <v>53062667000509</v>
      </c>
      <c r="C48" s="24"/>
      <c r="D48" s="9"/>
      <c r="E48" s="24">
        <v>20</v>
      </c>
      <c r="F48" s="9">
        <v>48</v>
      </c>
      <c r="G48" s="9">
        <v>12</v>
      </c>
      <c r="H48" s="9">
        <v>12</v>
      </c>
      <c r="I48" s="9"/>
      <c r="J48" s="179"/>
      <c r="K48" s="53">
        <v>59599</v>
      </c>
      <c r="L48" s="54"/>
      <c r="M48" s="66"/>
      <c r="N48" s="16"/>
    </row>
    <row r="49" spans="1:14" ht="15.75" x14ac:dyDescent="0.25">
      <c r="A49" s="8" t="s">
        <v>29</v>
      </c>
      <c r="B49" s="9">
        <v>23602054000122</v>
      </c>
      <c r="C49" s="24"/>
      <c r="D49" s="9"/>
      <c r="E49" s="24">
        <v>20</v>
      </c>
      <c r="F49" s="9">
        <v>36</v>
      </c>
      <c r="G49" s="9">
        <v>24</v>
      </c>
      <c r="H49" s="9"/>
      <c r="I49" s="9"/>
      <c r="J49" s="179"/>
      <c r="K49" s="53">
        <v>59600</v>
      </c>
      <c r="L49" s="54"/>
      <c r="M49" s="68"/>
      <c r="N49" s="16"/>
    </row>
    <row r="50" spans="1:14" ht="15.75" x14ac:dyDescent="0.25">
      <c r="A50" s="8" t="s">
        <v>31</v>
      </c>
      <c r="B50" s="9">
        <v>31931045000103</v>
      </c>
      <c r="C50" s="24"/>
      <c r="D50" s="9"/>
      <c r="E50" s="24">
        <v>40</v>
      </c>
      <c r="F50" s="9">
        <v>60</v>
      </c>
      <c r="G50" s="9">
        <v>24</v>
      </c>
      <c r="H50" s="9"/>
      <c r="I50" s="9"/>
      <c r="J50" s="179"/>
      <c r="K50" s="53">
        <v>59601</v>
      </c>
      <c r="L50" s="54"/>
      <c r="M50" s="68"/>
      <c r="N50" s="16"/>
    </row>
    <row r="51" spans="1:14" ht="15.75" x14ac:dyDescent="0.25">
      <c r="A51" s="8" t="s">
        <v>34</v>
      </c>
      <c r="B51" s="9">
        <v>43161439000109</v>
      </c>
      <c r="C51" s="24"/>
      <c r="D51" s="9"/>
      <c r="E51" s="24">
        <v>40</v>
      </c>
      <c r="F51" s="9">
        <v>60</v>
      </c>
      <c r="G51" s="9">
        <v>12</v>
      </c>
      <c r="H51" s="9">
        <v>7</v>
      </c>
      <c r="I51" s="9"/>
      <c r="J51" s="179"/>
      <c r="K51" s="57">
        <v>59602</v>
      </c>
      <c r="L51" s="54"/>
      <c r="M51" s="68"/>
      <c r="N51" s="16"/>
    </row>
    <row r="52" spans="1:14" ht="15.75" x14ac:dyDescent="0.25">
      <c r="A52" s="8" t="s">
        <v>40</v>
      </c>
      <c r="B52" s="9">
        <v>23602054000203</v>
      </c>
      <c r="C52" s="24"/>
      <c r="D52" s="9"/>
      <c r="E52" s="24"/>
      <c r="F52" s="9">
        <v>60</v>
      </c>
      <c r="G52" s="9"/>
      <c r="H52" s="9">
        <v>6</v>
      </c>
      <c r="I52" s="9"/>
      <c r="J52" s="179"/>
      <c r="K52" s="57">
        <v>59604</v>
      </c>
      <c r="L52" s="54"/>
      <c r="M52" s="68"/>
      <c r="N52" s="16"/>
    </row>
    <row r="53" spans="1:14" ht="16.5" thickBot="1" x14ac:dyDescent="0.3">
      <c r="A53" s="12" t="s">
        <v>64</v>
      </c>
      <c r="B53" s="13">
        <v>31931045000294</v>
      </c>
      <c r="C53" s="25"/>
      <c r="D53" s="13"/>
      <c r="E53" s="25"/>
      <c r="F53" s="13">
        <v>72</v>
      </c>
      <c r="G53" s="13">
        <v>12</v>
      </c>
      <c r="H53" s="13">
        <v>6</v>
      </c>
      <c r="I53" s="13"/>
      <c r="J53" s="180"/>
      <c r="K53" s="154">
        <v>59605</v>
      </c>
      <c r="L53" s="155"/>
      <c r="M53" s="156"/>
      <c r="N53" s="157"/>
    </row>
    <row r="54" spans="1:14" ht="15.75" x14ac:dyDescent="0.25">
      <c r="A54" s="17" t="s">
        <v>23</v>
      </c>
      <c r="B54" s="14">
        <v>53062667000185</v>
      </c>
      <c r="C54" s="23"/>
      <c r="D54" s="14"/>
      <c r="E54" s="23"/>
      <c r="F54" s="14"/>
      <c r="G54" s="14"/>
      <c r="H54" s="14"/>
      <c r="I54" s="14"/>
      <c r="J54" s="178">
        <v>46062</v>
      </c>
      <c r="K54" s="52"/>
      <c r="L54" s="102"/>
      <c r="M54" s="152"/>
      <c r="N54" s="153"/>
    </row>
    <row r="55" spans="1:14" ht="15.75" x14ac:dyDescent="0.25">
      <c r="A55" s="8" t="s">
        <v>24</v>
      </c>
      <c r="B55" s="9">
        <v>73073165000167</v>
      </c>
      <c r="C55" s="24"/>
      <c r="D55" s="9"/>
      <c r="E55" s="24"/>
      <c r="F55" s="9"/>
      <c r="G55" s="9"/>
      <c r="H55" s="9"/>
      <c r="I55" s="9"/>
      <c r="J55" s="179"/>
      <c r="K55" s="53"/>
      <c r="L55" s="54"/>
      <c r="M55" s="66"/>
      <c r="N55" s="101"/>
    </row>
    <row r="56" spans="1:14" ht="15.75" x14ac:dyDescent="0.25">
      <c r="A56" s="8" t="s">
        <v>25</v>
      </c>
      <c r="B56" s="9">
        <v>2274188000191</v>
      </c>
      <c r="C56" s="24"/>
      <c r="D56" s="9"/>
      <c r="E56" s="24"/>
      <c r="F56" s="9"/>
      <c r="G56" s="9"/>
      <c r="H56" s="9"/>
      <c r="I56" s="9"/>
      <c r="J56" s="179"/>
      <c r="K56" s="53"/>
      <c r="L56" s="54"/>
      <c r="M56" s="66"/>
      <c r="N56" s="16"/>
    </row>
    <row r="57" spans="1:14" ht="15.75" x14ac:dyDescent="0.25">
      <c r="A57" s="8" t="s">
        <v>27</v>
      </c>
      <c r="B57" s="9">
        <v>11646469000119</v>
      </c>
      <c r="C57" s="24"/>
      <c r="D57" s="9"/>
      <c r="E57" s="24"/>
      <c r="F57" s="9"/>
      <c r="G57" s="9"/>
      <c r="H57" s="9"/>
      <c r="I57" s="9"/>
      <c r="J57" s="179"/>
      <c r="K57" s="53"/>
      <c r="L57" s="54"/>
      <c r="M57" s="66"/>
      <c r="N57" s="50"/>
    </row>
    <row r="58" spans="1:14" ht="15.75" x14ac:dyDescent="0.25">
      <c r="A58" s="8" t="s">
        <v>28</v>
      </c>
      <c r="B58" s="9">
        <v>53062667000509</v>
      </c>
      <c r="C58" s="24"/>
      <c r="D58" s="9"/>
      <c r="E58" s="24"/>
      <c r="F58" s="9"/>
      <c r="G58" s="9"/>
      <c r="H58" s="9"/>
      <c r="I58" s="9"/>
      <c r="J58" s="179"/>
      <c r="K58" s="53"/>
      <c r="L58" s="54"/>
      <c r="M58" s="66"/>
      <c r="N58" s="16"/>
    </row>
    <row r="59" spans="1:14" ht="15.75" x14ac:dyDescent="0.25">
      <c r="A59" s="8" t="s">
        <v>29</v>
      </c>
      <c r="B59" s="9">
        <v>23602054000122</v>
      </c>
      <c r="C59" s="24"/>
      <c r="D59" s="9"/>
      <c r="E59" s="24"/>
      <c r="F59" s="9"/>
      <c r="G59" s="9"/>
      <c r="H59" s="9"/>
      <c r="I59" s="9"/>
      <c r="J59" s="179"/>
      <c r="K59" s="53"/>
      <c r="L59" s="54"/>
      <c r="M59" s="68"/>
      <c r="N59" s="16"/>
    </row>
    <row r="60" spans="1:14" ht="15.75" x14ac:dyDescent="0.25">
      <c r="A60" s="8" t="s">
        <v>31</v>
      </c>
      <c r="B60" s="9">
        <v>31931045000103</v>
      </c>
      <c r="C60" s="24"/>
      <c r="D60" s="9"/>
      <c r="E60" s="24"/>
      <c r="F60" s="9"/>
      <c r="G60" s="9"/>
      <c r="H60" s="9"/>
      <c r="I60" s="9"/>
      <c r="J60" s="179"/>
      <c r="K60" s="53"/>
      <c r="L60" s="54"/>
      <c r="M60" s="68"/>
      <c r="N60" s="16"/>
    </row>
    <row r="61" spans="1:14" ht="15.75" x14ac:dyDescent="0.25">
      <c r="A61" s="8" t="s">
        <v>34</v>
      </c>
      <c r="B61" s="9">
        <v>43161439000109</v>
      </c>
      <c r="C61" s="24"/>
      <c r="D61" s="9"/>
      <c r="E61" s="24"/>
      <c r="F61" s="9"/>
      <c r="G61" s="9"/>
      <c r="H61" s="9"/>
      <c r="I61" s="9"/>
      <c r="J61" s="179"/>
      <c r="K61" s="57"/>
      <c r="L61" s="54"/>
      <c r="M61" s="68"/>
      <c r="N61" s="16"/>
    </row>
    <row r="62" spans="1:14" ht="15.75" x14ac:dyDescent="0.25">
      <c r="A62" s="8" t="s">
        <v>40</v>
      </c>
      <c r="B62" s="9">
        <v>23602054000203</v>
      </c>
      <c r="C62" s="24"/>
      <c r="D62" s="9"/>
      <c r="E62" s="24"/>
      <c r="F62" s="9"/>
      <c r="G62" s="9"/>
      <c r="H62" s="9"/>
      <c r="I62" s="9"/>
      <c r="J62" s="179"/>
      <c r="K62" s="57"/>
      <c r="L62" s="54"/>
      <c r="M62" s="68"/>
      <c r="N62" s="16"/>
    </row>
    <row r="63" spans="1:14" ht="16.5" thickBot="1" x14ac:dyDescent="0.3">
      <c r="A63" s="12" t="s">
        <v>64</v>
      </c>
      <c r="B63" s="13">
        <v>31931045000294</v>
      </c>
      <c r="C63" s="25"/>
      <c r="D63" s="13"/>
      <c r="E63" s="25"/>
      <c r="F63" s="13"/>
      <c r="G63" s="13"/>
      <c r="H63" s="13"/>
      <c r="I63" s="13"/>
      <c r="J63" s="180"/>
      <c r="K63" s="154"/>
      <c r="L63" s="155"/>
      <c r="M63" s="156"/>
      <c r="N63" s="157"/>
    </row>
  </sheetData>
  <mergeCells count="7">
    <mergeCell ref="J54:J63"/>
    <mergeCell ref="J44:J53"/>
    <mergeCell ref="A1:N1"/>
    <mergeCell ref="J3:J12"/>
    <mergeCell ref="J13:J22"/>
    <mergeCell ref="J23:J32"/>
    <mergeCell ref="J33:J43"/>
  </mergeCells>
  <printOptions horizontalCentered="1"/>
  <pageMargins left="0.16" right="0.16" top="0.51" bottom="0.78740157480314965" header="0.31496062992125984" footer="0.31496062992125984"/>
  <pageSetup paperSize="9" scale="6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N38"/>
  <sheetViews>
    <sheetView tabSelected="1" topLeftCell="A20" zoomScale="60" zoomScaleNormal="60" workbookViewId="0">
      <selection activeCell="G47" sqref="G47"/>
    </sheetView>
  </sheetViews>
  <sheetFormatPr defaultRowHeight="15" x14ac:dyDescent="0.25"/>
  <cols>
    <col min="1" max="1" width="64.7109375" bestFit="1" customWidth="1"/>
    <col min="2" max="2" width="37.28515625" customWidth="1"/>
    <col min="3" max="3" width="35.85546875" customWidth="1"/>
    <col min="4" max="4" width="31.140625" customWidth="1"/>
    <col min="5" max="5" width="33.5703125" customWidth="1"/>
    <col min="6" max="6" width="39.7109375" customWidth="1"/>
    <col min="7" max="7" width="31.28515625" customWidth="1"/>
    <col min="8" max="8" width="48" customWidth="1"/>
    <col min="9" max="9" width="48" hidden="1" customWidth="1"/>
    <col min="10" max="10" width="46.140625" customWidth="1"/>
    <col min="11" max="11" width="43.28515625" customWidth="1"/>
    <col min="12" max="12" width="34.140625" customWidth="1"/>
    <col min="13" max="13" width="37.28515625" bestFit="1" customWidth="1"/>
    <col min="14" max="14" width="17.42578125" customWidth="1"/>
    <col min="17" max="17" width="6" bestFit="1" customWidth="1"/>
    <col min="18" max="18" width="10.7109375" bestFit="1" customWidth="1"/>
    <col min="19" max="19" width="10.5703125" bestFit="1" customWidth="1"/>
  </cols>
  <sheetData>
    <row r="2" spans="1:14" ht="27.75" thickBot="1" x14ac:dyDescent="0.3">
      <c r="A2" s="190" t="s">
        <v>42</v>
      </c>
      <c r="B2" s="190"/>
      <c r="C2" s="190"/>
      <c r="D2" s="190"/>
      <c r="E2" s="105"/>
      <c r="F2" s="191"/>
      <c r="G2" s="191"/>
      <c r="H2" s="105" t="s">
        <v>51</v>
      </c>
      <c r="I2" s="105"/>
      <c r="J2" s="106">
        <v>0.05</v>
      </c>
      <c r="K2" s="105"/>
      <c r="L2" s="107"/>
      <c r="M2" s="107"/>
    </row>
    <row r="3" spans="1:14" ht="24" thickBot="1" x14ac:dyDescent="0.35">
      <c r="A3" s="105"/>
      <c r="B3" s="128" t="s">
        <v>52</v>
      </c>
      <c r="C3" s="129">
        <v>9</v>
      </c>
      <c r="D3" s="129">
        <v>6.5</v>
      </c>
      <c r="E3" s="129"/>
      <c r="F3" s="129"/>
      <c r="G3" s="129"/>
      <c r="H3" s="129"/>
      <c r="I3" s="130"/>
      <c r="J3" s="131"/>
      <c r="K3" s="184" t="s">
        <v>0</v>
      </c>
      <c r="L3" s="186" t="s">
        <v>5</v>
      </c>
      <c r="M3" s="186" t="s">
        <v>53</v>
      </c>
      <c r="N3" s="188" t="s">
        <v>54</v>
      </c>
    </row>
    <row r="4" spans="1:14" ht="19.5" thickBot="1" x14ac:dyDescent="0.35">
      <c r="A4" s="125" t="s">
        <v>4</v>
      </c>
      <c r="B4" s="132" t="s">
        <v>3</v>
      </c>
      <c r="C4" s="133" t="s">
        <v>55</v>
      </c>
      <c r="D4" s="134" t="s">
        <v>56</v>
      </c>
      <c r="E4" s="134"/>
      <c r="F4" s="134"/>
      <c r="G4" s="134"/>
      <c r="H4" s="134"/>
      <c r="I4" s="135"/>
      <c r="J4" s="136"/>
      <c r="K4" s="185"/>
      <c r="L4" s="187"/>
      <c r="M4" s="187"/>
      <c r="N4" s="189"/>
    </row>
    <row r="5" spans="1:14" ht="28.5" customHeight="1" x14ac:dyDescent="0.5">
      <c r="A5" s="126" t="s">
        <v>16</v>
      </c>
      <c r="B5" s="122">
        <v>53062667000185</v>
      </c>
      <c r="C5" s="138"/>
      <c r="D5" s="139"/>
      <c r="E5" s="139"/>
      <c r="F5" s="139"/>
      <c r="G5" s="139"/>
      <c r="H5" s="139"/>
      <c r="I5" s="140"/>
      <c r="J5" s="141"/>
      <c r="K5" s="142"/>
      <c r="L5" s="143"/>
      <c r="M5" s="112">
        <f>L5-J2*L5</f>
        <v>0</v>
      </c>
      <c r="N5" s="113"/>
    </row>
    <row r="6" spans="1:14" ht="30" customHeight="1" x14ac:dyDescent="0.5">
      <c r="A6" s="127" t="s">
        <v>17</v>
      </c>
      <c r="B6" s="121">
        <v>73073165000167</v>
      </c>
      <c r="C6" s="138"/>
      <c r="D6" s="139"/>
      <c r="E6" s="139"/>
      <c r="F6" s="139"/>
      <c r="G6" s="139"/>
      <c r="H6" s="139"/>
      <c r="I6" s="140"/>
      <c r="J6" s="141"/>
      <c r="K6" s="142"/>
      <c r="L6" s="143"/>
      <c r="M6" s="112">
        <f>L6-J2*L6</f>
        <v>0</v>
      </c>
      <c r="N6" s="113"/>
    </row>
    <row r="7" spans="1:14" ht="28.5" customHeight="1" x14ac:dyDescent="0.5">
      <c r="A7" s="127" t="s">
        <v>18</v>
      </c>
      <c r="B7" s="121">
        <v>2274188000191</v>
      </c>
      <c r="C7" s="138"/>
      <c r="D7" s="139"/>
      <c r="E7" s="139"/>
      <c r="F7" s="139"/>
      <c r="G7" s="139"/>
      <c r="H7" s="139"/>
      <c r="I7" s="140"/>
      <c r="J7" s="141"/>
      <c r="K7" s="142"/>
      <c r="L7" s="143"/>
      <c r="M7" s="112">
        <f>L7-J2*L7</f>
        <v>0</v>
      </c>
      <c r="N7" s="113"/>
    </row>
    <row r="8" spans="1:14" ht="30" customHeight="1" x14ac:dyDescent="0.5">
      <c r="A8" s="127" t="s">
        <v>19</v>
      </c>
      <c r="B8" s="121">
        <v>43161439000109</v>
      </c>
      <c r="C8" s="138"/>
      <c r="D8" s="139"/>
      <c r="E8" s="139"/>
      <c r="F8" s="139"/>
      <c r="G8" s="139"/>
      <c r="H8" s="139"/>
      <c r="I8" s="140"/>
      <c r="J8" s="141"/>
      <c r="K8" s="142"/>
      <c r="L8" s="143"/>
      <c r="M8" s="112">
        <f>L8-J2*L8</f>
        <v>0</v>
      </c>
      <c r="N8" s="113"/>
    </row>
    <row r="9" spans="1:14" ht="27" customHeight="1" x14ac:dyDescent="0.5">
      <c r="A9" s="127" t="s">
        <v>35</v>
      </c>
      <c r="B9" s="114">
        <v>11646469000119</v>
      </c>
      <c r="C9" s="138"/>
      <c r="D9" s="139"/>
      <c r="E9" s="139"/>
      <c r="F9" s="139"/>
      <c r="G9" s="139"/>
      <c r="H9" s="139"/>
      <c r="I9" s="140"/>
      <c r="J9" s="141"/>
      <c r="K9" s="142"/>
      <c r="L9" s="143"/>
      <c r="M9" s="112">
        <f>L9-J2*L9</f>
        <v>0</v>
      </c>
      <c r="N9" s="113"/>
    </row>
    <row r="10" spans="1:14" ht="28.5" customHeight="1" x14ac:dyDescent="0.5">
      <c r="A10" s="127" t="s">
        <v>20</v>
      </c>
      <c r="B10" s="114">
        <v>53062667000509</v>
      </c>
      <c r="C10" s="138"/>
      <c r="D10" s="139"/>
      <c r="E10" s="139"/>
      <c r="F10" s="139"/>
      <c r="G10" s="139"/>
      <c r="H10" s="139"/>
      <c r="I10" s="140"/>
      <c r="J10" s="141"/>
      <c r="K10" s="142"/>
      <c r="L10" s="143"/>
      <c r="M10" s="112">
        <f>L10-J2*L10</f>
        <v>0</v>
      </c>
      <c r="N10" s="113"/>
    </row>
    <row r="11" spans="1:14" ht="27" customHeight="1" x14ac:dyDescent="0.5">
      <c r="A11" s="127" t="s">
        <v>21</v>
      </c>
      <c r="B11" s="114">
        <v>23602054000122</v>
      </c>
      <c r="C11" s="138"/>
      <c r="D11" s="139"/>
      <c r="E11" s="139"/>
      <c r="F11" s="139"/>
      <c r="G11" s="139"/>
      <c r="H11" s="139"/>
      <c r="I11" s="140"/>
      <c r="J11" s="141"/>
      <c r="K11" s="142"/>
      <c r="L11" s="143"/>
      <c r="M11" s="112">
        <f>L11-J2*L11</f>
        <v>0</v>
      </c>
      <c r="N11" s="113"/>
    </row>
    <row r="12" spans="1:14" ht="27" customHeight="1" x14ac:dyDescent="0.5">
      <c r="A12" s="127" t="s">
        <v>32</v>
      </c>
      <c r="B12" s="121">
        <v>31931045000103</v>
      </c>
      <c r="C12" s="138"/>
      <c r="D12" s="139"/>
      <c r="E12" s="139"/>
      <c r="F12" s="139"/>
      <c r="G12" s="139"/>
      <c r="H12" s="139"/>
      <c r="I12" s="140"/>
      <c r="J12" s="141"/>
      <c r="K12" s="142"/>
      <c r="L12" s="143"/>
      <c r="M12" s="112">
        <f>L12-J2*L12</f>
        <v>0</v>
      </c>
      <c r="N12" s="113"/>
    </row>
    <row r="13" spans="1:14" ht="26.25" customHeight="1" x14ac:dyDescent="0.5">
      <c r="A13" s="127" t="s">
        <v>34</v>
      </c>
      <c r="B13" s="114">
        <v>23602054000203</v>
      </c>
      <c r="C13" s="138"/>
      <c r="D13" s="139"/>
      <c r="E13" s="139"/>
      <c r="F13" s="139"/>
      <c r="G13" s="139"/>
      <c r="H13" s="139"/>
      <c r="I13" s="140"/>
      <c r="J13" s="141"/>
      <c r="K13" s="142"/>
      <c r="L13" s="143"/>
      <c r="M13" s="112">
        <f>L13-J2*L13</f>
        <v>0</v>
      </c>
      <c r="N13" s="113"/>
    </row>
    <row r="14" spans="1:14" ht="26.25" customHeight="1" x14ac:dyDescent="0.5">
      <c r="A14" s="127" t="s">
        <v>40</v>
      </c>
      <c r="B14" s="114">
        <v>43161439000109</v>
      </c>
      <c r="C14" s="138"/>
      <c r="D14" s="139"/>
      <c r="E14" s="139"/>
      <c r="F14" s="139"/>
      <c r="G14" s="139"/>
      <c r="H14" s="139"/>
      <c r="I14" s="140"/>
      <c r="J14" s="141"/>
      <c r="K14" s="142"/>
      <c r="L14" s="143"/>
      <c r="M14" s="112">
        <f t="shared" ref="M14" si="0">L14-J3*L14</f>
        <v>0</v>
      </c>
      <c r="N14" s="113"/>
    </row>
    <row r="15" spans="1:14" ht="33" customHeight="1" thickBot="1" x14ac:dyDescent="0.55000000000000004">
      <c r="A15" s="127" t="s">
        <v>62</v>
      </c>
      <c r="B15" s="114">
        <v>31931045000294</v>
      </c>
      <c r="C15" s="138"/>
      <c r="D15" s="139"/>
      <c r="E15" s="139"/>
      <c r="F15" s="139"/>
      <c r="G15" s="139"/>
      <c r="H15" s="139"/>
      <c r="I15" s="140"/>
      <c r="J15" s="141"/>
      <c r="K15" s="142"/>
      <c r="L15" s="143"/>
      <c r="M15" s="112">
        <f>L15-J2*L15</f>
        <v>0</v>
      </c>
      <c r="N15" s="113"/>
    </row>
    <row r="16" spans="1:14" ht="25.5" customHeight="1" thickBot="1" x14ac:dyDescent="0.45">
      <c r="A16" s="1"/>
      <c r="B16" s="137" t="s">
        <v>57</v>
      </c>
      <c r="C16" s="115">
        <f t="shared" ref="C16:J16" si="1">SUM(C5:C15)</f>
        <v>0</v>
      </c>
      <c r="D16" s="116">
        <f t="shared" si="1"/>
        <v>0</v>
      </c>
      <c r="E16" s="116">
        <f t="shared" si="1"/>
        <v>0</v>
      </c>
      <c r="F16" s="116">
        <f t="shared" si="1"/>
        <v>0</v>
      </c>
      <c r="G16" s="116">
        <f t="shared" si="1"/>
        <v>0</v>
      </c>
      <c r="H16" s="116">
        <f t="shared" si="1"/>
        <v>0</v>
      </c>
      <c r="I16" s="116">
        <f t="shared" si="1"/>
        <v>0</v>
      </c>
      <c r="J16" s="116">
        <f t="shared" si="1"/>
        <v>0</v>
      </c>
      <c r="K16" s="117" t="s">
        <v>58</v>
      </c>
      <c r="L16" s="118">
        <f>SUM(L6:L15)</f>
        <v>0</v>
      </c>
      <c r="M16" s="118">
        <f>SUM(M6:M15)</f>
        <v>0</v>
      </c>
    </row>
    <row r="17" spans="1:14" ht="26.25" customHeight="1" thickBot="1" x14ac:dyDescent="0.45">
      <c r="B17" s="137" t="s">
        <v>59</v>
      </c>
      <c r="C17" s="119">
        <f>C16*C3+(C16*C3*7%*35.68%)</f>
        <v>0</v>
      </c>
      <c r="D17" s="120">
        <f>D16*D3</f>
        <v>0</v>
      </c>
      <c r="E17" s="120">
        <f>E16*E3</f>
        <v>0</v>
      </c>
      <c r="F17" s="120">
        <f>F16*F3</f>
        <v>0</v>
      </c>
      <c r="G17" s="120">
        <f>G16*G3</f>
        <v>0</v>
      </c>
      <c r="H17" s="120">
        <f>H16*H3</f>
        <v>0</v>
      </c>
      <c r="I17" s="120">
        <f t="shared" ref="I17:J17" si="2">I16*I3</f>
        <v>0</v>
      </c>
      <c r="J17" s="120">
        <f t="shared" si="2"/>
        <v>0</v>
      </c>
      <c r="K17" s="118">
        <f>SUM(C17:J17)</f>
        <v>0</v>
      </c>
    </row>
    <row r="18" spans="1:14" ht="24" customHeight="1" thickBot="1" x14ac:dyDescent="0.45">
      <c r="B18" s="137" t="s">
        <v>60</v>
      </c>
      <c r="C18" s="119">
        <f>C17-J2*C17</f>
        <v>0</v>
      </c>
      <c r="D18" s="119">
        <f>D17-J2*D17</f>
        <v>0</v>
      </c>
      <c r="E18" s="119">
        <f>E17-J2*E17</f>
        <v>0</v>
      </c>
      <c r="F18" s="119">
        <f>F17-J2*F17</f>
        <v>0</v>
      </c>
      <c r="G18" s="119">
        <f>G17-J2*G17</f>
        <v>0</v>
      </c>
      <c r="H18" s="119">
        <f>H17-J2*H17</f>
        <v>0</v>
      </c>
      <c r="I18" s="119">
        <f t="shared" ref="I18:J18" si="3">I17-K2*I17</f>
        <v>0</v>
      </c>
      <c r="J18" s="119">
        <f t="shared" si="3"/>
        <v>0</v>
      </c>
      <c r="K18" s="118">
        <f>SUM(C18:J18)</f>
        <v>0</v>
      </c>
    </row>
    <row r="22" spans="1:14" ht="42.75" customHeight="1" thickBot="1" x14ac:dyDescent="0.3">
      <c r="A22" s="190" t="s">
        <v>81</v>
      </c>
      <c r="B22" s="190"/>
      <c r="C22" s="190"/>
      <c r="D22" s="190"/>
      <c r="E22" s="158"/>
      <c r="F22" s="191"/>
      <c r="G22" s="191"/>
      <c r="H22" s="105" t="s">
        <v>51</v>
      </c>
      <c r="I22" s="105"/>
      <c r="J22" s="106">
        <v>0.03</v>
      </c>
      <c r="K22" s="105"/>
      <c r="L22" s="107"/>
      <c r="M22" s="107"/>
    </row>
    <row r="23" spans="1:14" ht="24" thickBot="1" x14ac:dyDescent="0.35">
      <c r="A23" s="105"/>
      <c r="B23" s="128" t="s">
        <v>52</v>
      </c>
      <c r="C23" s="129">
        <v>24.5</v>
      </c>
      <c r="D23" s="129">
        <v>12.5</v>
      </c>
      <c r="E23" s="129">
        <v>22</v>
      </c>
      <c r="F23" s="129">
        <v>20.5</v>
      </c>
      <c r="G23" s="129">
        <v>37.5</v>
      </c>
      <c r="H23" s="129">
        <v>19</v>
      </c>
      <c r="I23" s="130">
        <v>15.5</v>
      </c>
      <c r="J23" s="131"/>
      <c r="K23" s="184" t="s">
        <v>0</v>
      </c>
      <c r="L23" s="186" t="s">
        <v>5</v>
      </c>
      <c r="M23" s="186" t="s">
        <v>53</v>
      </c>
      <c r="N23" s="188" t="s">
        <v>54</v>
      </c>
    </row>
    <row r="24" spans="1:14" ht="19.5" thickBot="1" x14ac:dyDescent="0.35">
      <c r="A24" s="125" t="s">
        <v>4</v>
      </c>
      <c r="B24" s="132" t="s">
        <v>3</v>
      </c>
      <c r="C24" s="133" t="s">
        <v>77</v>
      </c>
      <c r="D24" s="134" t="s">
        <v>78</v>
      </c>
      <c r="E24" s="134" t="s">
        <v>79</v>
      </c>
      <c r="F24" s="134" t="s">
        <v>69</v>
      </c>
      <c r="G24" s="134" t="s">
        <v>70</v>
      </c>
      <c r="H24" s="134" t="s">
        <v>68</v>
      </c>
      <c r="I24" s="135" t="s">
        <v>39</v>
      </c>
      <c r="J24" s="136"/>
      <c r="K24" s="185"/>
      <c r="L24" s="187"/>
      <c r="M24" s="187"/>
      <c r="N24" s="189"/>
    </row>
    <row r="25" spans="1:14" ht="34.5" customHeight="1" x14ac:dyDescent="0.5">
      <c r="A25" s="126" t="s">
        <v>16</v>
      </c>
      <c r="B25" s="122">
        <v>53062667000185</v>
      </c>
      <c r="C25" s="170"/>
      <c r="D25" s="164"/>
      <c r="E25" s="164"/>
      <c r="F25" s="164">
        <v>60</v>
      </c>
      <c r="G25" s="164"/>
      <c r="H25" s="164"/>
      <c r="I25" s="165"/>
      <c r="J25" s="166"/>
      <c r="K25" s="142">
        <v>59658</v>
      </c>
      <c r="L25" s="143">
        <v>1230</v>
      </c>
      <c r="M25" s="112">
        <f>L25-J22*L25</f>
        <v>1193.0999999999999</v>
      </c>
      <c r="N25" s="113"/>
    </row>
    <row r="26" spans="1:14" ht="30" customHeight="1" x14ac:dyDescent="0.5">
      <c r="A26" s="127" t="s">
        <v>17</v>
      </c>
      <c r="B26" s="121">
        <v>73073165000167</v>
      </c>
      <c r="C26" s="171"/>
      <c r="D26" s="171">
        <v>10</v>
      </c>
      <c r="E26" s="164">
        <v>30</v>
      </c>
      <c r="F26" s="164">
        <v>36</v>
      </c>
      <c r="G26" s="164">
        <v>24</v>
      </c>
      <c r="H26" s="164"/>
      <c r="I26" s="165"/>
      <c r="J26" s="166"/>
      <c r="K26" s="142">
        <v>59660</v>
      </c>
      <c r="L26" s="143">
        <v>2423</v>
      </c>
      <c r="M26" s="112">
        <f>L26-J22*L26</f>
        <v>2350.31</v>
      </c>
      <c r="N26" s="113"/>
    </row>
    <row r="27" spans="1:14" ht="27" customHeight="1" x14ac:dyDescent="0.5">
      <c r="A27" s="127" t="s">
        <v>18</v>
      </c>
      <c r="B27" s="121">
        <v>2274188000191</v>
      </c>
      <c r="C27" s="171"/>
      <c r="D27" s="164">
        <v>20</v>
      </c>
      <c r="E27" s="164">
        <v>20</v>
      </c>
      <c r="F27" s="164">
        <v>48</v>
      </c>
      <c r="G27" s="164"/>
      <c r="H27" s="164">
        <v>6</v>
      </c>
      <c r="I27" s="165"/>
      <c r="J27" s="166"/>
      <c r="K27" s="142">
        <v>59661</v>
      </c>
      <c r="L27" s="143">
        <v>1788</v>
      </c>
      <c r="M27" s="112">
        <f>L27-J22*L27</f>
        <v>1734.36</v>
      </c>
      <c r="N27" s="113"/>
    </row>
    <row r="28" spans="1:14" ht="28.5" customHeight="1" x14ac:dyDescent="0.5">
      <c r="A28" s="127" t="s">
        <v>35</v>
      </c>
      <c r="B28" s="121">
        <v>11646469000119</v>
      </c>
      <c r="C28" s="171">
        <v>3</v>
      </c>
      <c r="D28" s="164"/>
      <c r="E28" s="164">
        <v>10</v>
      </c>
      <c r="F28" s="164">
        <v>72</v>
      </c>
      <c r="G28" s="164">
        <v>12</v>
      </c>
      <c r="H28" s="164"/>
      <c r="I28" s="165"/>
      <c r="J28" s="166"/>
      <c r="K28" s="142">
        <v>59662</v>
      </c>
      <c r="L28" s="143">
        <v>2219.5</v>
      </c>
      <c r="M28" s="112">
        <f>L28-J22*L28</f>
        <v>2152.915</v>
      </c>
      <c r="N28" s="113"/>
    </row>
    <row r="29" spans="1:14" ht="28.5" customHeight="1" x14ac:dyDescent="0.5">
      <c r="A29" s="127" t="s">
        <v>20</v>
      </c>
      <c r="B29" s="114">
        <v>53062667000509</v>
      </c>
      <c r="C29" s="171"/>
      <c r="D29" s="164"/>
      <c r="E29" s="164"/>
      <c r="F29" s="164">
        <v>72</v>
      </c>
      <c r="G29" s="164">
        <v>12</v>
      </c>
      <c r="H29" s="164"/>
      <c r="I29" s="165"/>
      <c r="J29" s="166"/>
      <c r="K29" s="142">
        <v>59659</v>
      </c>
      <c r="L29" s="143">
        <v>1926</v>
      </c>
      <c r="M29" s="112">
        <f>L29-J22*L29</f>
        <v>1868.22</v>
      </c>
      <c r="N29" s="113"/>
    </row>
    <row r="30" spans="1:14" ht="30" customHeight="1" x14ac:dyDescent="0.5">
      <c r="A30" s="127" t="s">
        <v>36</v>
      </c>
      <c r="B30" s="114">
        <v>23602054000122</v>
      </c>
      <c r="C30" s="171"/>
      <c r="D30" s="164"/>
      <c r="E30" s="167"/>
      <c r="F30" s="167">
        <v>24</v>
      </c>
      <c r="G30" s="167">
        <v>12</v>
      </c>
      <c r="H30" s="164">
        <v>6</v>
      </c>
      <c r="I30" s="165"/>
      <c r="J30" s="166"/>
      <c r="K30" s="142">
        <v>59663</v>
      </c>
      <c r="L30" s="143">
        <v>1056</v>
      </c>
      <c r="M30" s="112">
        <f>L30-J22*L30</f>
        <v>1024.32</v>
      </c>
      <c r="N30" s="113"/>
    </row>
    <row r="31" spans="1:14" ht="30" customHeight="1" x14ac:dyDescent="0.5">
      <c r="A31" s="127" t="s">
        <v>36</v>
      </c>
      <c r="B31" s="114">
        <v>23602054000122</v>
      </c>
      <c r="C31" s="171"/>
      <c r="D31" s="164"/>
      <c r="E31" s="167"/>
      <c r="F31" s="167">
        <v>12</v>
      </c>
      <c r="G31" s="167"/>
      <c r="H31" s="164"/>
      <c r="I31" s="165"/>
      <c r="J31" s="166"/>
      <c r="K31" s="142">
        <v>59689</v>
      </c>
      <c r="L31" s="143">
        <v>246</v>
      </c>
      <c r="M31" s="112"/>
      <c r="N31" s="113"/>
    </row>
    <row r="32" spans="1:14" s="163" customFormat="1" ht="27" customHeight="1" x14ac:dyDescent="0.5">
      <c r="A32" s="127" t="s">
        <v>32</v>
      </c>
      <c r="B32" s="159">
        <v>31931045000103</v>
      </c>
      <c r="C32" s="172"/>
      <c r="D32" s="167"/>
      <c r="E32" s="167">
        <v>5</v>
      </c>
      <c r="F32" s="167">
        <v>84</v>
      </c>
      <c r="G32" s="167"/>
      <c r="H32" s="167"/>
      <c r="I32" s="168"/>
      <c r="J32" s="169"/>
      <c r="K32" s="142">
        <v>59688</v>
      </c>
      <c r="L32" s="160">
        <v>1832</v>
      </c>
      <c r="M32" s="161">
        <f>L32-J22*L32</f>
        <v>1777.04</v>
      </c>
      <c r="N32" s="162"/>
    </row>
    <row r="33" spans="1:14" ht="32.25" customHeight="1" x14ac:dyDescent="0.5">
      <c r="A33" s="127" t="s">
        <v>34</v>
      </c>
      <c r="B33" s="121">
        <v>23602054000203</v>
      </c>
      <c r="C33" s="171"/>
      <c r="D33" s="164"/>
      <c r="E33" s="164">
        <v>40</v>
      </c>
      <c r="F33" s="164">
        <v>60</v>
      </c>
      <c r="G33" s="164"/>
      <c r="H33" s="164"/>
      <c r="I33" s="165"/>
      <c r="J33" s="166"/>
      <c r="K33" s="142">
        <v>59664</v>
      </c>
      <c r="L33" s="160">
        <v>2110</v>
      </c>
      <c r="M33" s="112">
        <f>L33-J22*L33</f>
        <v>2046.7</v>
      </c>
      <c r="N33" s="113"/>
    </row>
    <row r="34" spans="1:14" ht="32.25" customHeight="1" x14ac:dyDescent="0.5">
      <c r="A34" s="127" t="s">
        <v>67</v>
      </c>
      <c r="B34" s="114">
        <v>43161439000109</v>
      </c>
      <c r="C34" s="171"/>
      <c r="D34" s="164">
        <v>20</v>
      </c>
      <c r="E34" s="164">
        <v>20</v>
      </c>
      <c r="F34" s="164">
        <v>60</v>
      </c>
      <c r="G34" s="139">
        <v>12</v>
      </c>
      <c r="H34" s="164"/>
      <c r="I34" s="165"/>
      <c r="J34" s="166"/>
      <c r="K34" s="142">
        <v>59665</v>
      </c>
      <c r="L34" s="143">
        <v>2370</v>
      </c>
      <c r="M34" s="112">
        <f>L34-J22*L34</f>
        <v>2298.9</v>
      </c>
      <c r="N34" s="113"/>
    </row>
    <row r="35" spans="1:14" ht="31.5" customHeight="1" thickBot="1" x14ac:dyDescent="0.55000000000000004">
      <c r="A35" s="127" t="s">
        <v>62</v>
      </c>
      <c r="B35" s="114">
        <v>31931045000294</v>
      </c>
      <c r="C35" s="171"/>
      <c r="D35" s="164"/>
      <c r="E35" s="164"/>
      <c r="F35" s="164">
        <v>120</v>
      </c>
      <c r="G35" s="164">
        <v>24</v>
      </c>
      <c r="H35" s="164"/>
      <c r="I35" s="165"/>
      <c r="J35" s="166"/>
      <c r="K35" s="142">
        <v>59666</v>
      </c>
      <c r="L35" s="143">
        <v>3360</v>
      </c>
      <c r="M35" s="112">
        <f>L35-J22*L35</f>
        <v>3259.2</v>
      </c>
      <c r="N35" s="113"/>
    </row>
    <row r="36" spans="1:14" ht="24" customHeight="1" thickBot="1" x14ac:dyDescent="0.45">
      <c r="A36" s="1"/>
      <c r="B36" s="137" t="s">
        <v>57</v>
      </c>
      <c r="C36" s="115">
        <f t="shared" ref="C36:J36" si="4">SUM(C25:C35)</f>
        <v>3</v>
      </c>
      <c r="D36" s="116">
        <f t="shared" si="4"/>
        <v>50</v>
      </c>
      <c r="E36" s="116">
        <f t="shared" si="4"/>
        <v>125</v>
      </c>
      <c r="F36" s="116">
        <f t="shared" si="4"/>
        <v>648</v>
      </c>
      <c r="G36" s="116">
        <f t="shared" si="4"/>
        <v>96</v>
      </c>
      <c r="H36" s="116">
        <f t="shared" si="4"/>
        <v>12</v>
      </c>
      <c r="I36" s="116">
        <f t="shared" si="4"/>
        <v>0</v>
      </c>
      <c r="J36" s="116">
        <f t="shared" si="4"/>
        <v>0</v>
      </c>
      <c r="K36" s="117" t="s">
        <v>58</v>
      </c>
      <c r="L36" s="118">
        <f>SUM(L25:L35)</f>
        <v>20560.5</v>
      </c>
      <c r="M36" s="118">
        <f>SUM(M25:M35)</f>
        <v>19705.065000000002</v>
      </c>
    </row>
    <row r="37" spans="1:14" ht="26.25" customHeight="1" thickBot="1" x14ac:dyDescent="0.45">
      <c r="B37" s="137" t="s">
        <v>59</v>
      </c>
      <c r="C37" s="119">
        <f t="shared" ref="C37:J37" si="5">C36*C23</f>
        <v>73.5</v>
      </c>
      <c r="D37" s="120">
        <f t="shared" si="5"/>
        <v>625</v>
      </c>
      <c r="E37" s="120">
        <f t="shared" si="5"/>
        <v>2750</v>
      </c>
      <c r="F37" s="120">
        <f t="shared" si="5"/>
        <v>13284</v>
      </c>
      <c r="G37" s="120">
        <f t="shared" si="5"/>
        <v>3600</v>
      </c>
      <c r="H37" s="120">
        <f t="shared" si="5"/>
        <v>228</v>
      </c>
      <c r="I37" s="120">
        <f t="shared" si="5"/>
        <v>0</v>
      </c>
      <c r="J37" s="120">
        <f t="shared" si="5"/>
        <v>0</v>
      </c>
      <c r="K37" s="118">
        <f>SUM(C37:J37)</f>
        <v>20560.5</v>
      </c>
    </row>
    <row r="38" spans="1:14" ht="25.5" customHeight="1" thickBot="1" x14ac:dyDescent="0.45">
      <c r="B38" s="137" t="s">
        <v>60</v>
      </c>
      <c r="C38" s="119">
        <f>C37-J22*C37</f>
        <v>71.295000000000002</v>
      </c>
      <c r="D38" s="119">
        <f>D37-J22*D37</f>
        <v>606.25</v>
      </c>
      <c r="E38" s="119">
        <f>E37-J22*E37</f>
        <v>2667.5</v>
      </c>
      <c r="F38" s="119">
        <f>F37-J22*F37</f>
        <v>12885.48</v>
      </c>
      <c r="G38" s="119">
        <f>G37-J22*G37</f>
        <v>3492</v>
      </c>
      <c r="H38" s="119">
        <f>H37-J22*H37</f>
        <v>221.16</v>
      </c>
      <c r="I38" s="119">
        <f>I37-K22*I37</f>
        <v>0</v>
      </c>
      <c r="J38" s="119">
        <f>J37-J22*J37</f>
        <v>0</v>
      </c>
      <c r="K38" s="118">
        <f>SUM(C38:J38)</f>
        <v>19943.685000000001</v>
      </c>
    </row>
  </sheetData>
  <mergeCells count="12">
    <mergeCell ref="K23:K24"/>
    <mergeCell ref="L23:L24"/>
    <mergeCell ref="M23:M24"/>
    <mergeCell ref="N23:N24"/>
    <mergeCell ref="A2:D2"/>
    <mergeCell ref="A22:D22"/>
    <mergeCell ref="K3:K4"/>
    <mergeCell ref="L3:L4"/>
    <mergeCell ref="M3:M4"/>
    <mergeCell ref="N3:N4"/>
    <mergeCell ref="F22:G22"/>
    <mergeCell ref="F2:G2"/>
  </mergeCells>
  <pageMargins left="0.511811024" right="0.511811024" top="0.78740157499999996" bottom="0.78740157499999996" header="0.31496062000000002" footer="0.31496062000000002"/>
  <pageSetup paperSize="9" scale="2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63"/>
  <sheetViews>
    <sheetView topLeftCell="A31" zoomScale="60" zoomScaleNormal="60" workbookViewId="0">
      <selection activeCell="C18" sqref="C18:G24"/>
    </sheetView>
  </sheetViews>
  <sheetFormatPr defaultRowHeight="15" x14ac:dyDescent="0.25"/>
  <cols>
    <col min="1" max="1" width="64.7109375" bestFit="1" customWidth="1"/>
    <col min="2" max="2" width="37.28515625" customWidth="1"/>
    <col min="3" max="3" width="35.85546875" customWidth="1"/>
    <col min="4" max="4" width="31.140625" customWidth="1"/>
    <col min="5" max="5" width="33.5703125" customWidth="1"/>
    <col min="6" max="6" width="39.7109375" customWidth="1"/>
    <col min="7" max="7" width="31.28515625" customWidth="1"/>
    <col min="8" max="9" width="48" customWidth="1"/>
    <col min="10" max="10" width="46.140625" customWidth="1"/>
    <col min="11" max="11" width="43.28515625" customWidth="1"/>
    <col min="12" max="12" width="34.140625" customWidth="1"/>
    <col min="13" max="13" width="37.28515625" bestFit="1" customWidth="1"/>
    <col min="14" max="14" width="17.42578125" customWidth="1"/>
    <col min="17" max="17" width="6" bestFit="1" customWidth="1"/>
    <col min="18" max="18" width="10.7109375" bestFit="1" customWidth="1"/>
    <col min="19" max="19" width="10.5703125" bestFit="1" customWidth="1"/>
  </cols>
  <sheetData>
    <row r="1" spans="1:12" ht="29.25" thickBot="1" x14ac:dyDescent="0.3">
      <c r="A1" s="39"/>
      <c r="B1" s="40"/>
      <c r="C1" s="190" t="s">
        <v>42</v>
      </c>
      <c r="D1" s="190"/>
      <c r="E1" s="190"/>
      <c r="F1" s="190"/>
      <c r="G1" s="41"/>
      <c r="H1" s="41"/>
      <c r="I1" s="41"/>
      <c r="J1" s="41"/>
    </row>
    <row r="2" spans="1:12" ht="30.75" customHeight="1" x14ac:dyDescent="0.45">
      <c r="A2" s="58" t="s">
        <v>4</v>
      </c>
      <c r="B2" s="60" t="s">
        <v>3</v>
      </c>
      <c r="C2" s="69" t="s">
        <v>43</v>
      </c>
      <c r="D2" s="69" t="s">
        <v>44</v>
      </c>
      <c r="E2" s="69"/>
      <c r="F2" s="69"/>
      <c r="G2" s="69"/>
      <c r="H2" s="61" t="s">
        <v>0</v>
      </c>
      <c r="I2" s="61"/>
      <c r="J2" s="64" t="s">
        <v>11</v>
      </c>
      <c r="K2" s="65" t="s">
        <v>5</v>
      </c>
    </row>
    <row r="3" spans="1:12" ht="33" x14ac:dyDescent="0.45">
      <c r="A3" s="59" t="s">
        <v>16</v>
      </c>
      <c r="B3" s="36">
        <v>53062667000185</v>
      </c>
      <c r="C3" s="46"/>
      <c r="D3" s="46"/>
      <c r="E3" s="46"/>
      <c r="F3" s="46"/>
      <c r="G3" s="46"/>
      <c r="H3" s="56"/>
      <c r="I3" s="56"/>
      <c r="J3" s="78"/>
      <c r="K3" s="32"/>
    </row>
    <row r="4" spans="1:12" ht="33" x14ac:dyDescent="0.45">
      <c r="A4" s="59" t="s">
        <v>17</v>
      </c>
      <c r="B4" s="36">
        <v>73073165000167</v>
      </c>
      <c r="C4" s="46"/>
      <c r="D4" s="46"/>
      <c r="E4" s="46"/>
      <c r="F4" s="46"/>
      <c r="G4" s="46"/>
      <c r="H4" s="56"/>
      <c r="I4" s="56"/>
      <c r="J4" s="78"/>
      <c r="K4" s="32"/>
    </row>
    <row r="5" spans="1:12" ht="33" x14ac:dyDescent="0.45">
      <c r="A5" s="59" t="s">
        <v>18</v>
      </c>
      <c r="B5" s="36">
        <v>2274188000191</v>
      </c>
      <c r="C5" s="46"/>
      <c r="D5" s="46"/>
      <c r="E5" s="46"/>
      <c r="F5" s="46"/>
      <c r="G5" s="46"/>
      <c r="H5" s="79"/>
      <c r="I5" s="123"/>
      <c r="J5" s="80"/>
      <c r="K5" s="32"/>
    </row>
    <row r="6" spans="1:12" ht="33" x14ac:dyDescent="0.45">
      <c r="A6" s="59" t="s">
        <v>19</v>
      </c>
      <c r="B6" s="36">
        <v>43161439000109</v>
      </c>
      <c r="C6" s="46"/>
      <c r="D6" s="46"/>
      <c r="E6" s="46"/>
      <c r="F6" s="46"/>
      <c r="G6" s="46"/>
      <c r="H6" s="56"/>
      <c r="I6" s="56"/>
      <c r="J6" s="78"/>
      <c r="K6" s="72"/>
    </row>
    <row r="7" spans="1:12" ht="33" x14ac:dyDescent="0.45">
      <c r="A7" s="59" t="s">
        <v>35</v>
      </c>
      <c r="B7" s="36">
        <v>11646469000119</v>
      </c>
      <c r="C7" s="46"/>
      <c r="D7" s="46"/>
      <c r="E7" s="46"/>
      <c r="F7" s="46"/>
      <c r="G7" s="46"/>
      <c r="H7" s="56"/>
      <c r="I7" s="56"/>
      <c r="J7" s="78"/>
      <c r="K7" s="32"/>
    </row>
    <row r="8" spans="1:12" ht="33" x14ac:dyDescent="0.45">
      <c r="A8" s="59" t="s">
        <v>20</v>
      </c>
      <c r="B8" s="36">
        <v>53062667000509</v>
      </c>
      <c r="C8" s="46"/>
      <c r="D8" s="46"/>
      <c r="E8" s="46"/>
      <c r="F8" s="46"/>
      <c r="G8" s="46"/>
      <c r="H8" s="56"/>
      <c r="I8" s="56"/>
      <c r="J8" s="78"/>
      <c r="K8" s="32"/>
    </row>
    <row r="9" spans="1:12" ht="33" x14ac:dyDescent="0.45">
      <c r="A9" s="59" t="s">
        <v>21</v>
      </c>
      <c r="B9" s="55">
        <v>23602054000122</v>
      </c>
      <c r="C9" s="46"/>
      <c r="D9" s="46"/>
      <c r="E9" s="46"/>
      <c r="F9" s="46"/>
      <c r="G9" s="46"/>
      <c r="H9" s="56"/>
      <c r="I9" s="56"/>
      <c r="J9" s="78"/>
      <c r="K9" s="32"/>
    </row>
    <row r="10" spans="1:12" ht="33" x14ac:dyDescent="0.45">
      <c r="A10" s="90" t="s">
        <v>32</v>
      </c>
      <c r="B10" s="36">
        <v>31931045000103</v>
      </c>
      <c r="C10" s="46"/>
      <c r="D10" s="46"/>
      <c r="E10" s="46"/>
      <c r="F10" s="46"/>
      <c r="G10" s="46"/>
      <c r="H10" s="56"/>
      <c r="I10" s="56"/>
      <c r="J10" s="78"/>
      <c r="K10" s="32"/>
    </row>
    <row r="11" spans="1:12" ht="33" x14ac:dyDescent="0.45">
      <c r="A11" s="88" t="s">
        <v>34</v>
      </c>
      <c r="B11" s="89">
        <v>23602054000203</v>
      </c>
      <c r="C11" s="46"/>
      <c r="D11" s="46"/>
      <c r="E11" s="46"/>
      <c r="F11" s="46"/>
      <c r="G11" s="46"/>
      <c r="H11" s="56"/>
      <c r="I11" s="56"/>
      <c r="J11" s="78"/>
      <c r="K11" s="32"/>
    </row>
    <row r="12" spans="1:12" ht="33" x14ac:dyDescent="0.45">
      <c r="A12" s="87" t="s">
        <v>40</v>
      </c>
      <c r="B12" s="36">
        <v>43161439000109</v>
      </c>
      <c r="C12" s="46"/>
      <c r="D12" s="46"/>
      <c r="E12" s="46"/>
      <c r="F12" s="46"/>
      <c r="G12" s="46"/>
      <c r="H12" s="56"/>
      <c r="I12" s="56"/>
      <c r="J12" s="78"/>
      <c r="K12" s="32"/>
    </row>
    <row r="13" spans="1:12" ht="34.5" thickBot="1" x14ac:dyDescent="0.55000000000000004">
      <c r="A13" s="33"/>
      <c r="B13" s="33"/>
      <c r="C13" s="75">
        <f>SUM(C3:C12)</f>
        <v>0</v>
      </c>
      <c r="D13" s="75">
        <f t="shared" ref="D13:G13" si="0">SUM(D3:D12)</f>
        <v>0</v>
      </c>
      <c r="E13" s="75">
        <f t="shared" si="0"/>
        <v>0</v>
      </c>
      <c r="F13" s="75">
        <f t="shared" si="0"/>
        <v>0</v>
      </c>
      <c r="G13" s="75">
        <f t="shared" si="0"/>
        <v>0</v>
      </c>
      <c r="H13" s="74"/>
      <c r="I13" s="74"/>
      <c r="J13" s="74"/>
    </row>
    <row r="14" spans="1:12" ht="33.75" x14ac:dyDescent="0.5">
      <c r="A14" s="33"/>
      <c r="B14" s="33"/>
      <c r="C14" s="74"/>
      <c r="D14" s="74"/>
      <c r="E14" s="74"/>
      <c r="F14" s="74"/>
      <c r="G14" s="74"/>
      <c r="H14" s="74"/>
      <c r="I14" s="74"/>
      <c r="J14" s="74"/>
    </row>
    <row r="15" spans="1:12" ht="28.5" x14ac:dyDescent="0.45">
      <c r="A15" s="28"/>
      <c r="B15" s="192" t="s">
        <v>38</v>
      </c>
      <c r="C15" s="192"/>
      <c r="D15" s="192"/>
      <c r="E15" s="192"/>
      <c r="F15" s="192"/>
      <c r="G15" s="192"/>
      <c r="H15" s="192"/>
      <c r="I15" s="104"/>
      <c r="J15" s="76"/>
    </row>
    <row r="16" spans="1:12" ht="27.75" thickBot="1" x14ac:dyDescent="0.4">
      <c r="C16" s="193" t="s">
        <v>50</v>
      </c>
      <c r="D16" s="193"/>
      <c r="E16" s="193"/>
      <c r="F16" s="193"/>
      <c r="G16" s="193"/>
      <c r="H16" s="193"/>
      <c r="I16" s="103"/>
      <c r="J16" s="103"/>
      <c r="K16" s="34"/>
      <c r="L16" s="34"/>
    </row>
    <row r="17" spans="1:14" ht="28.5" x14ac:dyDescent="0.45">
      <c r="A17" s="37" t="s">
        <v>4</v>
      </c>
      <c r="B17" s="42" t="s">
        <v>3</v>
      </c>
      <c r="C17" s="70" t="s">
        <v>45</v>
      </c>
      <c r="D17" s="71" t="s">
        <v>37</v>
      </c>
      <c r="E17" s="70" t="s">
        <v>46</v>
      </c>
      <c r="F17" s="70" t="s">
        <v>47</v>
      </c>
      <c r="G17" s="70" t="s">
        <v>49</v>
      </c>
      <c r="H17" s="70" t="s">
        <v>48</v>
      </c>
      <c r="I17" s="70"/>
      <c r="J17" s="70" t="s">
        <v>39</v>
      </c>
      <c r="K17" s="43" t="s">
        <v>0</v>
      </c>
      <c r="L17" s="43" t="s">
        <v>11</v>
      </c>
      <c r="M17" s="44" t="s">
        <v>5</v>
      </c>
      <c r="N17" s="63">
        <v>0.08</v>
      </c>
    </row>
    <row r="18" spans="1:14" ht="33" x14ac:dyDescent="0.45">
      <c r="A18" s="38" t="s">
        <v>16</v>
      </c>
      <c r="B18" s="36">
        <v>53062667000185</v>
      </c>
      <c r="C18" s="45"/>
      <c r="D18" s="45"/>
      <c r="E18" s="45"/>
      <c r="F18" s="45"/>
      <c r="G18" s="84"/>
      <c r="H18" s="45"/>
      <c r="I18" s="45"/>
      <c r="J18" s="45"/>
      <c r="K18" s="79"/>
      <c r="L18" s="80"/>
      <c r="M18" s="73"/>
    </row>
    <row r="19" spans="1:14" ht="33" x14ac:dyDescent="0.45">
      <c r="A19" s="38" t="s">
        <v>17</v>
      </c>
      <c r="B19" s="36">
        <v>73073165000167</v>
      </c>
      <c r="C19" s="45"/>
      <c r="D19" s="45"/>
      <c r="E19" s="45"/>
      <c r="F19" s="45"/>
      <c r="G19" s="45"/>
      <c r="H19" s="45"/>
      <c r="I19" s="45"/>
      <c r="J19" s="45"/>
      <c r="K19" s="79"/>
      <c r="L19" s="80"/>
      <c r="M19" s="32"/>
    </row>
    <row r="20" spans="1:14" ht="33" x14ac:dyDescent="0.45">
      <c r="A20" s="38" t="s">
        <v>18</v>
      </c>
      <c r="B20" s="36">
        <v>2274188000191</v>
      </c>
      <c r="C20" s="45"/>
      <c r="D20" s="45"/>
      <c r="E20" s="45"/>
      <c r="F20" s="45"/>
      <c r="G20" s="45"/>
      <c r="H20" s="45"/>
      <c r="I20" s="45"/>
      <c r="J20" s="45"/>
      <c r="K20" s="79"/>
      <c r="L20" s="80"/>
      <c r="M20" s="32"/>
    </row>
    <row r="21" spans="1:14" ht="33" x14ac:dyDescent="0.45">
      <c r="A21" s="38" t="s">
        <v>35</v>
      </c>
      <c r="B21" s="36">
        <v>11646469000119</v>
      </c>
      <c r="C21" s="45"/>
      <c r="D21" s="45"/>
      <c r="E21" s="45"/>
      <c r="F21" s="45"/>
      <c r="G21" s="45"/>
      <c r="H21" s="45"/>
      <c r="I21" s="45"/>
      <c r="J21" s="45"/>
      <c r="K21" s="56"/>
      <c r="L21" s="80"/>
      <c r="M21" s="32"/>
    </row>
    <row r="22" spans="1:14" ht="33" x14ac:dyDescent="0.45">
      <c r="A22" s="47" t="s">
        <v>20</v>
      </c>
      <c r="B22" s="36">
        <v>53062667000509</v>
      </c>
      <c r="C22" s="45"/>
      <c r="D22" s="45"/>
      <c r="E22" s="91"/>
      <c r="F22" s="91"/>
      <c r="G22" s="91"/>
      <c r="H22" s="91"/>
      <c r="I22" s="91"/>
      <c r="J22" s="91"/>
      <c r="K22" s="92"/>
      <c r="L22" s="96"/>
      <c r="M22" s="32"/>
    </row>
    <row r="23" spans="1:14" ht="33" x14ac:dyDescent="0.45">
      <c r="A23" s="94" t="s">
        <v>36</v>
      </c>
      <c r="B23" s="95">
        <v>23602054000122</v>
      </c>
      <c r="C23" s="45"/>
      <c r="D23" s="45"/>
      <c r="E23" s="91"/>
      <c r="F23" s="91"/>
      <c r="G23" s="91"/>
      <c r="H23" s="91"/>
      <c r="I23" s="91"/>
      <c r="J23" s="91"/>
      <c r="K23" s="92"/>
      <c r="L23" s="96"/>
      <c r="M23" s="32"/>
    </row>
    <row r="24" spans="1:14" ht="33" x14ac:dyDescent="0.45">
      <c r="A24" s="47" t="s">
        <v>32</v>
      </c>
      <c r="B24" s="55">
        <v>31931045000103</v>
      </c>
      <c r="C24" s="45"/>
      <c r="D24" s="45"/>
      <c r="E24" s="91"/>
      <c r="F24" s="91"/>
      <c r="G24" s="91"/>
      <c r="H24" s="91"/>
      <c r="I24" s="91"/>
      <c r="J24" s="91"/>
      <c r="K24" s="92"/>
      <c r="L24" s="96"/>
      <c r="M24" s="32"/>
    </row>
    <row r="25" spans="1:14" ht="33" x14ac:dyDescent="0.45">
      <c r="A25" s="93" t="s">
        <v>34</v>
      </c>
      <c r="B25" s="89">
        <v>23602054000203</v>
      </c>
      <c r="C25" s="45"/>
      <c r="D25" s="45"/>
      <c r="E25" s="91"/>
      <c r="F25" s="91"/>
      <c r="G25" s="91"/>
      <c r="H25" s="91"/>
      <c r="I25" s="91"/>
      <c r="J25" s="45"/>
      <c r="K25" s="92"/>
      <c r="L25" s="96"/>
      <c r="M25" s="32"/>
    </row>
    <row r="26" spans="1:14" ht="33.75" thickBot="1" x14ac:dyDescent="0.5">
      <c r="A26" s="97" t="s">
        <v>40</v>
      </c>
      <c r="B26" s="98">
        <v>43161439000109</v>
      </c>
      <c r="C26" s="83"/>
      <c r="D26" s="83"/>
      <c r="E26" s="82"/>
      <c r="F26" s="82"/>
      <c r="G26" s="82"/>
      <c r="H26" s="82"/>
      <c r="I26" s="83"/>
      <c r="J26" s="83"/>
      <c r="K26" s="81"/>
      <c r="L26" s="99"/>
      <c r="M26" s="100"/>
    </row>
    <row r="27" spans="1:14" ht="34.5" thickBot="1" x14ac:dyDescent="0.55000000000000004">
      <c r="C27" s="75">
        <f t="shared" ref="C27:J27" si="1">SUM(C18:C26)</f>
        <v>0</v>
      </c>
      <c r="D27" s="75">
        <f t="shared" si="1"/>
        <v>0</v>
      </c>
      <c r="E27" s="75">
        <f t="shared" si="1"/>
        <v>0</v>
      </c>
      <c r="F27" s="75">
        <f t="shared" si="1"/>
        <v>0</v>
      </c>
      <c r="G27" s="75">
        <f t="shared" si="1"/>
        <v>0</v>
      </c>
      <c r="H27" s="77">
        <f t="shared" si="1"/>
        <v>0</v>
      </c>
      <c r="I27" s="77"/>
      <c r="J27" s="77">
        <f t="shared" si="1"/>
        <v>0</v>
      </c>
      <c r="K27" s="67"/>
      <c r="L27" s="35"/>
    </row>
    <row r="28" spans="1:14" ht="33.75" x14ac:dyDescent="0.5">
      <c r="C28" s="74"/>
      <c r="D28" s="74"/>
      <c r="E28" s="74"/>
      <c r="F28" s="74"/>
      <c r="G28" s="74"/>
      <c r="H28" s="74"/>
      <c r="I28" s="74"/>
      <c r="J28" s="74"/>
      <c r="K28" s="67"/>
      <c r="L28" s="35"/>
    </row>
    <row r="30" spans="1:14" ht="27.75" thickBot="1" x14ac:dyDescent="0.3">
      <c r="A30" s="190" t="s">
        <v>42</v>
      </c>
      <c r="B30" s="190"/>
      <c r="C30" s="190"/>
      <c r="D30" s="190"/>
      <c r="E30" s="105"/>
      <c r="F30" s="191"/>
      <c r="G30" s="191"/>
      <c r="H30" s="105" t="s">
        <v>51</v>
      </c>
      <c r="I30" s="105"/>
      <c r="J30" s="106">
        <v>0.05</v>
      </c>
      <c r="K30" s="105"/>
      <c r="L30" s="107"/>
      <c r="M30" s="107"/>
    </row>
    <row r="31" spans="1:14" ht="24" thickBot="1" x14ac:dyDescent="0.35">
      <c r="A31" s="105"/>
      <c r="B31" s="128" t="s">
        <v>52</v>
      </c>
      <c r="C31" s="129">
        <v>8.5</v>
      </c>
      <c r="D31" s="129">
        <v>5.7</v>
      </c>
      <c r="E31" s="129"/>
      <c r="F31" s="129"/>
      <c r="G31" s="129"/>
      <c r="H31" s="129"/>
      <c r="I31" s="130"/>
      <c r="J31" s="131"/>
      <c r="K31" s="184" t="s">
        <v>0</v>
      </c>
      <c r="L31" s="186" t="s">
        <v>5</v>
      </c>
      <c r="M31" s="186" t="s">
        <v>53</v>
      </c>
      <c r="N31" s="188" t="s">
        <v>54</v>
      </c>
    </row>
    <row r="32" spans="1:14" ht="19.5" thickBot="1" x14ac:dyDescent="0.35">
      <c r="A32" s="125" t="s">
        <v>4</v>
      </c>
      <c r="B32" s="132" t="s">
        <v>3</v>
      </c>
      <c r="C32" s="133" t="s">
        <v>55</v>
      </c>
      <c r="D32" s="134" t="s">
        <v>56</v>
      </c>
      <c r="E32" s="134"/>
      <c r="F32" s="134"/>
      <c r="G32" s="134"/>
      <c r="H32" s="134"/>
      <c r="I32" s="135"/>
      <c r="J32" s="136"/>
      <c r="K32" s="185"/>
      <c r="L32" s="187"/>
      <c r="M32" s="187"/>
      <c r="N32" s="189"/>
    </row>
    <row r="33" spans="1:14" ht="21" x14ac:dyDescent="0.35">
      <c r="A33" s="126" t="s">
        <v>16</v>
      </c>
      <c r="B33" s="122">
        <v>53062667000185</v>
      </c>
      <c r="C33" s="108"/>
      <c r="D33" s="109"/>
      <c r="E33" s="109"/>
      <c r="F33" s="109"/>
      <c r="G33" s="109"/>
      <c r="H33" s="109"/>
      <c r="I33" s="124"/>
      <c r="J33" s="110"/>
      <c r="K33" s="111"/>
      <c r="L33" s="112">
        <v>14.2</v>
      </c>
      <c r="M33" s="112">
        <f>L33-J30*L33</f>
        <v>13.489999999999998</v>
      </c>
      <c r="N33" s="113"/>
    </row>
    <row r="34" spans="1:14" ht="21" x14ac:dyDescent="0.35">
      <c r="A34" s="127" t="s">
        <v>17</v>
      </c>
      <c r="B34" s="121">
        <v>73073165000167</v>
      </c>
      <c r="C34" s="108"/>
      <c r="D34" s="109"/>
      <c r="E34" s="109"/>
      <c r="F34" s="109"/>
      <c r="G34" s="109"/>
      <c r="H34" s="109"/>
      <c r="I34" s="124"/>
      <c r="J34" s="110"/>
      <c r="K34" s="111"/>
      <c r="L34" s="112"/>
      <c r="M34" s="112">
        <f>L34-J30*L34</f>
        <v>0</v>
      </c>
      <c r="N34" s="113"/>
    </row>
    <row r="35" spans="1:14" ht="21" x14ac:dyDescent="0.35">
      <c r="A35" s="127" t="s">
        <v>18</v>
      </c>
      <c r="B35" s="121">
        <v>2274188000191</v>
      </c>
      <c r="C35" s="108"/>
      <c r="D35" s="109"/>
      <c r="E35" s="109"/>
      <c r="F35" s="109"/>
      <c r="G35" s="109"/>
      <c r="H35" s="109"/>
      <c r="I35" s="124"/>
      <c r="J35" s="110"/>
      <c r="K35" s="111"/>
      <c r="L35" s="112"/>
      <c r="M35" s="112">
        <f>L35-J30*L35</f>
        <v>0</v>
      </c>
      <c r="N35" s="113"/>
    </row>
    <row r="36" spans="1:14" ht="21" x14ac:dyDescent="0.35">
      <c r="A36" s="127" t="s">
        <v>19</v>
      </c>
      <c r="B36" s="121">
        <v>43161439000109</v>
      </c>
      <c r="C36" s="108"/>
      <c r="D36" s="109"/>
      <c r="E36" s="109"/>
      <c r="F36" s="109"/>
      <c r="G36" s="109"/>
      <c r="H36" s="109"/>
      <c r="I36" s="124"/>
      <c r="J36" s="110"/>
      <c r="K36" s="111"/>
      <c r="L36" s="112"/>
      <c r="M36" s="112">
        <f>L36-J30*L36</f>
        <v>0</v>
      </c>
      <c r="N36" s="113"/>
    </row>
    <row r="37" spans="1:14" ht="21" x14ac:dyDescent="0.35">
      <c r="A37" s="127" t="s">
        <v>35</v>
      </c>
      <c r="B37" s="114">
        <v>11646469000119</v>
      </c>
      <c r="C37" s="108"/>
      <c r="D37" s="109"/>
      <c r="E37" s="109"/>
      <c r="F37" s="109"/>
      <c r="G37" s="109"/>
      <c r="H37" s="109"/>
      <c r="I37" s="124"/>
      <c r="J37" s="110"/>
      <c r="K37" s="111"/>
      <c r="L37" s="112"/>
      <c r="M37" s="112">
        <f>L37-J30*L37</f>
        <v>0</v>
      </c>
      <c r="N37" s="113"/>
    </row>
    <row r="38" spans="1:14" ht="21" x14ac:dyDescent="0.35">
      <c r="A38" s="127" t="s">
        <v>20</v>
      </c>
      <c r="B38" s="114">
        <v>53062667000509</v>
      </c>
      <c r="C38" s="108"/>
      <c r="D38" s="109"/>
      <c r="E38" s="109"/>
      <c r="F38" s="109"/>
      <c r="G38" s="109"/>
      <c r="H38" s="109"/>
      <c r="I38" s="124"/>
      <c r="J38" s="110"/>
      <c r="K38" s="111"/>
      <c r="L38" s="112"/>
      <c r="M38" s="112">
        <f>L38-J30*L38</f>
        <v>0</v>
      </c>
      <c r="N38" s="113"/>
    </row>
    <row r="39" spans="1:14" ht="21" x14ac:dyDescent="0.35">
      <c r="A39" s="127" t="s">
        <v>21</v>
      </c>
      <c r="B39" s="114">
        <v>23602054000122</v>
      </c>
      <c r="C39" s="108"/>
      <c r="D39" s="109"/>
      <c r="E39" s="109"/>
      <c r="F39" s="109"/>
      <c r="G39" s="109"/>
      <c r="H39" s="109"/>
      <c r="I39" s="124"/>
      <c r="J39" s="110"/>
      <c r="K39" s="111"/>
      <c r="L39" s="112"/>
      <c r="M39" s="112">
        <f>L39-J30*L39</f>
        <v>0</v>
      </c>
      <c r="N39" s="113"/>
    </row>
    <row r="40" spans="1:14" ht="21" x14ac:dyDescent="0.35">
      <c r="A40" s="127" t="s">
        <v>32</v>
      </c>
      <c r="B40" s="121">
        <v>31931045000103</v>
      </c>
      <c r="C40" s="108"/>
      <c r="D40" s="109"/>
      <c r="E40" s="109"/>
      <c r="F40" s="109"/>
      <c r="G40" s="109"/>
      <c r="H40" s="109"/>
      <c r="I40" s="124"/>
      <c r="J40" s="110"/>
      <c r="K40" s="111"/>
      <c r="L40" s="112"/>
      <c r="M40" s="112">
        <f>L40-J30*L40</f>
        <v>0</v>
      </c>
      <c r="N40" s="113"/>
    </row>
    <row r="41" spans="1:14" ht="21" x14ac:dyDescent="0.35">
      <c r="A41" s="127" t="s">
        <v>34</v>
      </c>
      <c r="B41" s="114">
        <v>23602054000203</v>
      </c>
      <c r="C41" s="108"/>
      <c r="D41" s="109"/>
      <c r="E41" s="109"/>
      <c r="F41" s="109"/>
      <c r="G41" s="109"/>
      <c r="H41" s="109"/>
      <c r="I41" s="124"/>
      <c r="J41" s="110"/>
      <c r="K41" s="111"/>
      <c r="L41" s="112"/>
      <c r="M41" s="112">
        <f>L41-J30*L41</f>
        <v>0</v>
      </c>
      <c r="N41" s="113"/>
    </row>
    <row r="42" spans="1:14" ht="21.75" thickBot="1" x14ac:dyDescent="0.4">
      <c r="A42" s="127" t="s">
        <v>40</v>
      </c>
      <c r="B42" s="114">
        <v>43161439000109</v>
      </c>
      <c r="C42" s="108"/>
      <c r="D42" s="109"/>
      <c r="E42" s="109"/>
      <c r="F42" s="109"/>
      <c r="G42" s="109"/>
      <c r="H42" s="109"/>
      <c r="I42" s="124"/>
      <c r="J42" s="110"/>
      <c r="K42" s="111"/>
      <c r="L42" s="112"/>
      <c r="M42" s="112">
        <f>L42-J30*L42</f>
        <v>0</v>
      </c>
      <c r="N42" s="113"/>
    </row>
    <row r="43" spans="1:14" ht="20.25" thickBot="1" x14ac:dyDescent="0.45">
      <c r="A43" s="1"/>
      <c r="B43" s="137" t="s">
        <v>57</v>
      </c>
      <c r="C43" s="115">
        <f t="shared" ref="C43:J43" si="2">SUM(C33:C42)</f>
        <v>0</v>
      </c>
      <c r="D43" s="116">
        <f t="shared" si="2"/>
        <v>0</v>
      </c>
      <c r="E43" s="116">
        <f t="shared" si="2"/>
        <v>0</v>
      </c>
      <c r="F43" s="116">
        <f t="shared" si="2"/>
        <v>0</v>
      </c>
      <c r="G43" s="116">
        <f t="shared" si="2"/>
        <v>0</v>
      </c>
      <c r="H43" s="116">
        <f t="shared" si="2"/>
        <v>0</v>
      </c>
      <c r="I43" s="116">
        <f t="shared" si="2"/>
        <v>0</v>
      </c>
      <c r="J43" s="116">
        <f t="shared" si="2"/>
        <v>0</v>
      </c>
      <c r="K43" s="117" t="s">
        <v>58</v>
      </c>
      <c r="L43" s="118">
        <f>SUM(L33:L42)</f>
        <v>14.2</v>
      </c>
      <c r="M43" s="118">
        <f>SUM(M33:M42)</f>
        <v>13.489999999999998</v>
      </c>
    </row>
    <row r="44" spans="1:14" ht="20.25" thickBot="1" x14ac:dyDescent="0.45">
      <c r="B44" s="137" t="s">
        <v>59</v>
      </c>
      <c r="C44" s="119">
        <f>C43*C31+(C43*C31*7%*28.33%)</f>
        <v>0</v>
      </c>
      <c r="D44" s="120">
        <f>D43*D31</f>
        <v>0</v>
      </c>
      <c r="E44" s="120">
        <f>E43*E31</f>
        <v>0</v>
      </c>
      <c r="F44" s="120">
        <f>F43*F31</f>
        <v>0</v>
      </c>
      <c r="G44" s="120">
        <f>G43*G31</f>
        <v>0</v>
      </c>
      <c r="H44" s="120">
        <f>H43*H31</f>
        <v>0</v>
      </c>
      <c r="I44" s="120">
        <f t="shared" ref="I44:J44" si="3">I43*I31</f>
        <v>0</v>
      </c>
      <c r="J44" s="120">
        <f t="shared" si="3"/>
        <v>0</v>
      </c>
      <c r="K44" s="118">
        <f>SUM(C44:J44)</f>
        <v>0</v>
      </c>
    </row>
    <row r="45" spans="1:14" ht="20.25" thickBot="1" x14ac:dyDescent="0.45">
      <c r="B45" s="137" t="s">
        <v>60</v>
      </c>
      <c r="C45" s="119">
        <f>C44-J30*C44</f>
        <v>0</v>
      </c>
      <c r="D45" s="119">
        <f>D44-J30*D44</f>
        <v>0</v>
      </c>
      <c r="E45" s="119">
        <f>E44-J30*E44</f>
        <v>0</v>
      </c>
      <c r="F45" s="119">
        <f>F44-J30*F44</f>
        <v>0</v>
      </c>
      <c r="G45" s="119">
        <f>G44-J30*G44</f>
        <v>0</v>
      </c>
      <c r="H45" s="119">
        <f>H44-J30*H44</f>
        <v>0</v>
      </c>
      <c r="I45" s="119">
        <f t="shared" ref="I45:J45" si="4">I44-K30*I44</f>
        <v>0</v>
      </c>
      <c r="J45" s="119">
        <f t="shared" si="4"/>
        <v>0</v>
      </c>
      <c r="K45" s="118">
        <f>SUM(C45:J45)</f>
        <v>0</v>
      </c>
    </row>
    <row r="49" spans="1:14" ht="42.75" customHeight="1" thickBot="1" x14ac:dyDescent="0.3">
      <c r="A49" s="190" t="s">
        <v>61</v>
      </c>
      <c r="B49" s="190"/>
      <c r="C49" s="190"/>
      <c r="D49" s="190"/>
      <c r="E49" s="105"/>
      <c r="F49" s="191"/>
      <c r="G49" s="191"/>
      <c r="H49" s="105" t="s">
        <v>51</v>
      </c>
      <c r="I49" s="105"/>
      <c r="J49" s="106">
        <v>0.03</v>
      </c>
      <c r="K49" s="105"/>
      <c r="L49" s="107"/>
      <c r="M49" s="107"/>
    </row>
    <row r="50" spans="1:14" ht="24" thickBot="1" x14ac:dyDescent="0.35">
      <c r="A50" s="105"/>
      <c r="B50" s="128" t="s">
        <v>52</v>
      </c>
      <c r="C50" s="129">
        <v>20</v>
      </c>
      <c r="D50" s="129">
        <v>10.5</v>
      </c>
      <c r="E50" s="129">
        <v>17</v>
      </c>
      <c r="F50" s="129">
        <v>17.25</v>
      </c>
      <c r="G50" s="129">
        <v>32</v>
      </c>
      <c r="H50" s="129">
        <v>17.25</v>
      </c>
      <c r="I50" s="130">
        <v>15.5</v>
      </c>
      <c r="J50" s="131"/>
      <c r="K50" s="184" t="s">
        <v>0</v>
      </c>
      <c r="L50" s="186" t="s">
        <v>5</v>
      </c>
      <c r="M50" s="186" t="s">
        <v>53</v>
      </c>
      <c r="N50" s="188" t="s">
        <v>54</v>
      </c>
    </row>
    <row r="51" spans="1:14" ht="19.5" thickBot="1" x14ac:dyDescent="0.35">
      <c r="A51" s="125" t="s">
        <v>4</v>
      </c>
      <c r="B51" s="132" t="s">
        <v>3</v>
      </c>
      <c r="C51" s="133" t="s">
        <v>45</v>
      </c>
      <c r="D51" s="134" t="s">
        <v>37</v>
      </c>
      <c r="E51" s="134" t="s">
        <v>46</v>
      </c>
      <c r="F51" s="134" t="s">
        <v>47</v>
      </c>
      <c r="G51" s="134" t="s">
        <v>49</v>
      </c>
      <c r="H51" s="134" t="s">
        <v>48</v>
      </c>
      <c r="I51" s="135" t="s">
        <v>39</v>
      </c>
      <c r="J51" s="136"/>
      <c r="K51" s="185"/>
      <c r="L51" s="187"/>
      <c r="M51" s="187"/>
      <c r="N51" s="189"/>
    </row>
    <row r="52" spans="1:14" ht="21" x14ac:dyDescent="0.35">
      <c r="A52" s="126" t="s">
        <v>16</v>
      </c>
      <c r="B52" s="122">
        <v>53062667000185</v>
      </c>
      <c r="C52" s="108"/>
      <c r="D52" s="109"/>
      <c r="E52" s="109"/>
      <c r="F52" s="109"/>
      <c r="G52" s="109"/>
      <c r="H52" s="109"/>
      <c r="I52" s="124"/>
      <c r="J52" s="110"/>
      <c r="K52" s="111"/>
      <c r="L52" s="112"/>
      <c r="M52" s="112">
        <f>L52-J49*L52</f>
        <v>0</v>
      </c>
      <c r="N52" s="113"/>
    </row>
    <row r="53" spans="1:14" ht="21" x14ac:dyDescent="0.35">
      <c r="A53" s="127" t="s">
        <v>17</v>
      </c>
      <c r="B53" s="121">
        <v>73073165000167</v>
      </c>
      <c r="C53" s="108"/>
      <c r="D53" s="109"/>
      <c r="E53" s="109"/>
      <c r="F53" s="109"/>
      <c r="G53" s="109"/>
      <c r="H53" s="109"/>
      <c r="I53" s="124"/>
      <c r="J53" s="110"/>
      <c r="K53" s="111"/>
      <c r="L53" s="112"/>
      <c r="M53" s="112">
        <f>L53-J49*L53</f>
        <v>0</v>
      </c>
      <c r="N53" s="113"/>
    </row>
    <row r="54" spans="1:14" ht="21" x14ac:dyDescent="0.35">
      <c r="A54" s="127" t="s">
        <v>18</v>
      </c>
      <c r="B54" s="121">
        <v>2274188000191</v>
      </c>
      <c r="C54" s="108"/>
      <c r="D54" s="109"/>
      <c r="E54" s="109"/>
      <c r="F54" s="109"/>
      <c r="G54" s="109"/>
      <c r="H54" s="109"/>
      <c r="I54" s="124"/>
      <c r="J54" s="110"/>
      <c r="K54" s="111"/>
      <c r="L54" s="112"/>
      <c r="M54" s="112">
        <f>L54-J49*L54</f>
        <v>0</v>
      </c>
      <c r="N54" s="113"/>
    </row>
    <row r="55" spans="1:14" ht="21" x14ac:dyDescent="0.35">
      <c r="A55" s="127" t="s">
        <v>35</v>
      </c>
      <c r="B55" s="121">
        <v>11646469000119</v>
      </c>
      <c r="C55" s="108"/>
      <c r="D55" s="109"/>
      <c r="E55" s="109"/>
      <c r="F55" s="109"/>
      <c r="G55" s="109"/>
      <c r="H55" s="109"/>
      <c r="I55" s="124"/>
      <c r="J55" s="110"/>
      <c r="K55" s="111"/>
      <c r="L55" s="112"/>
      <c r="M55" s="112">
        <f>L55-J49*L55</f>
        <v>0</v>
      </c>
      <c r="N55" s="113"/>
    </row>
    <row r="56" spans="1:14" ht="21" x14ac:dyDescent="0.35">
      <c r="A56" s="127" t="s">
        <v>20</v>
      </c>
      <c r="B56" s="114">
        <v>53062667000509</v>
      </c>
      <c r="C56" s="108"/>
      <c r="D56" s="109"/>
      <c r="E56" s="109"/>
      <c r="F56" s="109"/>
      <c r="G56" s="109"/>
      <c r="H56" s="109"/>
      <c r="I56" s="124"/>
      <c r="J56" s="110"/>
      <c r="K56" s="111"/>
      <c r="L56" s="112"/>
      <c r="M56" s="112">
        <f>L56-J49*L56</f>
        <v>0</v>
      </c>
      <c r="N56" s="113"/>
    </row>
    <row r="57" spans="1:14" ht="21" x14ac:dyDescent="0.35">
      <c r="A57" s="127" t="s">
        <v>36</v>
      </c>
      <c r="B57" s="114">
        <v>23602054000122</v>
      </c>
      <c r="C57" s="108"/>
      <c r="D57" s="109"/>
      <c r="E57" s="109"/>
      <c r="F57" s="109"/>
      <c r="G57" s="109"/>
      <c r="H57" s="109"/>
      <c r="I57" s="124"/>
      <c r="J57" s="110"/>
      <c r="K57" s="111"/>
      <c r="L57" s="112"/>
      <c r="M57" s="112">
        <f>L57-J49*L57</f>
        <v>0</v>
      </c>
      <c r="N57" s="113"/>
    </row>
    <row r="58" spans="1:14" ht="21" x14ac:dyDescent="0.35">
      <c r="A58" s="127" t="s">
        <v>32</v>
      </c>
      <c r="B58" s="114">
        <v>31931045000103</v>
      </c>
      <c r="C58" s="108"/>
      <c r="D58" s="109"/>
      <c r="E58" s="109"/>
      <c r="F58" s="109"/>
      <c r="G58" s="109"/>
      <c r="H58" s="109"/>
      <c r="I58" s="124"/>
      <c r="J58" s="110"/>
      <c r="K58" s="111"/>
      <c r="L58" s="112"/>
      <c r="M58" s="112">
        <f>L58-J49*L58</f>
        <v>0</v>
      </c>
      <c r="N58" s="113"/>
    </row>
    <row r="59" spans="1:14" ht="21" x14ac:dyDescent="0.35">
      <c r="A59" s="127" t="s">
        <v>34</v>
      </c>
      <c r="B59" s="121">
        <v>23602054000203</v>
      </c>
      <c r="C59" s="108"/>
      <c r="D59" s="109"/>
      <c r="E59" s="109"/>
      <c r="F59" s="109"/>
      <c r="G59" s="109"/>
      <c r="H59" s="109"/>
      <c r="I59" s="124"/>
      <c r="J59" s="110"/>
      <c r="K59" s="111"/>
      <c r="L59" s="112"/>
      <c r="M59" s="112">
        <f>L59-J49*L59</f>
        <v>0</v>
      </c>
      <c r="N59" s="113"/>
    </row>
    <row r="60" spans="1:14" ht="21.75" thickBot="1" x14ac:dyDescent="0.4">
      <c r="A60" s="127" t="s">
        <v>40</v>
      </c>
      <c r="B60" s="114">
        <v>43161439000109</v>
      </c>
      <c r="C60" s="108"/>
      <c r="D60" s="109"/>
      <c r="E60" s="109"/>
      <c r="F60" s="109"/>
      <c r="G60" s="109"/>
      <c r="H60" s="109"/>
      <c r="I60" s="124"/>
      <c r="J60" s="110"/>
      <c r="K60" s="111"/>
      <c r="L60" s="112"/>
      <c r="M60" s="112">
        <f>L60-J49*L60</f>
        <v>0</v>
      </c>
      <c r="N60" s="113"/>
    </row>
    <row r="61" spans="1:14" ht="20.25" thickBot="1" x14ac:dyDescent="0.45">
      <c r="A61" s="1"/>
      <c r="B61" s="137" t="s">
        <v>57</v>
      </c>
      <c r="C61" s="115">
        <f t="shared" ref="C61:J61" si="5">SUM(C52:C60)</f>
        <v>0</v>
      </c>
      <c r="D61" s="116">
        <f t="shared" si="5"/>
        <v>0</v>
      </c>
      <c r="E61" s="116">
        <f t="shared" si="5"/>
        <v>0</v>
      </c>
      <c r="F61" s="116">
        <f t="shared" si="5"/>
        <v>0</v>
      </c>
      <c r="G61" s="116">
        <f t="shared" si="5"/>
        <v>0</v>
      </c>
      <c r="H61" s="116">
        <f t="shared" si="5"/>
        <v>0</v>
      </c>
      <c r="I61" s="116">
        <f t="shared" si="5"/>
        <v>0</v>
      </c>
      <c r="J61" s="116">
        <f t="shared" si="5"/>
        <v>0</v>
      </c>
      <c r="K61" s="117" t="s">
        <v>58</v>
      </c>
      <c r="L61" s="118">
        <f>SUM(L52:L60)</f>
        <v>0</v>
      </c>
      <c r="M61" s="118">
        <f>SUM(M52:M60)</f>
        <v>0</v>
      </c>
    </row>
    <row r="62" spans="1:14" ht="20.25" thickBot="1" x14ac:dyDescent="0.45">
      <c r="B62" s="137" t="s">
        <v>59</v>
      </c>
      <c r="C62" s="119">
        <f>C61*C50+(C61*C50*7%*28.33%)</f>
        <v>0</v>
      </c>
      <c r="D62" s="120">
        <f t="shared" ref="D62:J62" si="6">D61*D50</f>
        <v>0</v>
      </c>
      <c r="E62" s="120">
        <f t="shared" si="6"/>
        <v>0</v>
      </c>
      <c r="F62" s="120">
        <f t="shared" si="6"/>
        <v>0</v>
      </c>
      <c r="G62" s="120">
        <f t="shared" si="6"/>
        <v>0</v>
      </c>
      <c r="H62" s="120">
        <f t="shared" si="6"/>
        <v>0</v>
      </c>
      <c r="I62" s="120">
        <f t="shared" si="6"/>
        <v>0</v>
      </c>
      <c r="J62" s="120">
        <f t="shared" si="6"/>
        <v>0</v>
      </c>
      <c r="K62" s="118">
        <f>SUM(C62:J62)</f>
        <v>0</v>
      </c>
    </row>
    <row r="63" spans="1:14" ht="20.25" thickBot="1" x14ac:dyDescent="0.45">
      <c r="B63" s="137" t="s">
        <v>60</v>
      </c>
      <c r="C63" s="119">
        <f>C62-J49*C62</f>
        <v>0</v>
      </c>
      <c r="D63" s="119">
        <f>D62-J49*D62</f>
        <v>0</v>
      </c>
      <c r="E63" s="119">
        <f>E62-J49*E62</f>
        <v>0</v>
      </c>
      <c r="F63" s="119">
        <f>F62-J49*F62</f>
        <v>0</v>
      </c>
      <c r="G63" s="119">
        <f>G62-J49*G62</f>
        <v>0</v>
      </c>
      <c r="H63" s="119">
        <f>H62-J49*H62</f>
        <v>0</v>
      </c>
      <c r="I63" s="119">
        <f>I62-K49*I62</f>
        <v>0</v>
      </c>
      <c r="J63" s="119">
        <f>J62-J49*J62</f>
        <v>0</v>
      </c>
      <c r="K63" s="118">
        <f>SUM(C63:J63)</f>
        <v>0</v>
      </c>
    </row>
  </sheetData>
  <mergeCells count="15">
    <mergeCell ref="K50:K51"/>
    <mergeCell ref="L50:L51"/>
    <mergeCell ref="M50:M51"/>
    <mergeCell ref="N50:N51"/>
    <mergeCell ref="C1:F1"/>
    <mergeCell ref="B15:H15"/>
    <mergeCell ref="C16:H16"/>
    <mergeCell ref="A30:D30"/>
    <mergeCell ref="F30:G30"/>
    <mergeCell ref="K31:K32"/>
    <mergeCell ref="L31:L32"/>
    <mergeCell ref="M31:M32"/>
    <mergeCell ref="N31:N32"/>
    <mergeCell ref="A49:D49"/>
    <mergeCell ref="F49:G49"/>
  </mergeCells>
  <pageMargins left="0.511811024" right="0.511811024" top="0.78740157499999996" bottom="0.78740157499999996" header="0.31496062000000002" footer="0.31496062000000002"/>
  <pageSetup paperSize="9" scale="2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GONDOLA</vt:lpstr>
      <vt:lpstr>PADARIA</vt:lpstr>
      <vt:lpstr>PEDIDOS</vt:lpstr>
      <vt:lpstr>PEDIDOS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Romica Brasil</dc:creator>
  <cp:lastModifiedBy>USER</cp:lastModifiedBy>
  <cp:lastPrinted>2026-02-09T17:14:18Z</cp:lastPrinted>
  <dcterms:created xsi:type="dcterms:W3CDTF">2018-01-12T17:53:34Z</dcterms:created>
  <dcterms:modified xsi:type="dcterms:W3CDTF">2026-02-10T19:25:38Z</dcterms:modified>
</cp:coreProperties>
</file>