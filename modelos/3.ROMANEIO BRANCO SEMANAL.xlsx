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threadedComments/threadedComment9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idor-creme\Arquivos HD Back-up\Romica\Romaneio Diario\"/>
    </mc:Choice>
  </mc:AlternateContent>
  <xr:revisionPtr revIDLastSave="0" documentId="13_ncr:1_{33DB57B5-2939-452A-A9BE-CB19D1252970}" xr6:coauthVersionLast="47" xr6:coauthVersionMax="47" xr10:uidLastSave="{00000000-0000-0000-0000-000000000000}"/>
  <bookViews>
    <workbookView xWindow="-120" yWindow="-120" windowWidth="25440" windowHeight="15270" activeTab="10" xr2:uid="{00000000-000D-0000-FFFF-FFFF00000000}"/>
  </bookViews>
  <sheets>
    <sheet name="GinoSeg" sheetId="36" r:id="rId1"/>
    <sheet name="Motorista" sheetId="25" r:id="rId2"/>
    <sheet name="Restaurantes" sheetId="24" r:id="rId3"/>
    <sheet name="MRSeg " sheetId="54" r:id="rId4"/>
    <sheet name="GinoTer" sheetId="30" r:id="rId5"/>
    <sheet name="MCTe" sheetId="55" r:id="rId6"/>
    <sheet name="MRTer" sheetId="27" r:id="rId7"/>
    <sheet name="GinoQua" sheetId="29" r:id="rId8"/>
    <sheet name="MCQua" sheetId="59" r:id="rId9"/>
    <sheet name="GinoQui" sheetId="32" r:id="rId10"/>
    <sheet name="GinoSex" sheetId="61" r:id="rId11"/>
    <sheet name="PUBLIC" sheetId="4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61" l="1"/>
  <c r="L7" i="61"/>
  <c r="M7" i="61"/>
  <c r="K2" i="61"/>
  <c r="C7" i="61"/>
  <c r="D7" i="61"/>
  <c r="E7" i="61"/>
  <c r="F7" i="61"/>
  <c r="G7" i="61"/>
  <c r="H7" i="61"/>
  <c r="I7" i="61"/>
  <c r="J7" i="61"/>
  <c r="N7" i="61"/>
  <c r="O7" i="61"/>
  <c r="P7" i="61"/>
  <c r="Q7" i="61"/>
  <c r="R7" i="61"/>
  <c r="S7" i="61"/>
  <c r="T7" i="61"/>
  <c r="U7" i="61"/>
  <c r="V7" i="61"/>
  <c r="W7" i="61"/>
  <c r="X7" i="61"/>
  <c r="Y7" i="61"/>
  <c r="Z7" i="61"/>
  <c r="AA7" i="61"/>
  <c r="AB7" i="61"/>
  <c r="AC7" i="61"/>
  <c r="C52" i="61"/>
  <c r="C2" i="61" s="1"/>
  <c r="D52" i="61"/>
  <c r="D2" i="61" s="1"/>
  <c r="E52" i="61"/>
  <c r="E2" i="61" s="1"/>
  <c r="F52" i="61"/>
  <c r="F5" i="61" s="1"/>
  <c r="G52" i="61"/>
  <c r="G2" i="61" s="1"/>
  <c r="H52" i="61"/>
  <c r="H5" i="61" s="1"/>
  <c r="I52" i="61"/>
  <c r="I4" i="61" s="1"/>
  <c r="J52" i="61"/>
  <c r="J5" i="61" s="1"/>
  <c r="L52" i="61"/>
  <c r="L2" i="61" s="1"/>
  <c r="M52" i="61"/>
  <c r="M5" i="61" s="1"/>
  <c r="N52" i="61"/>
  <c r="N4" i="61" s="1"/>
  <c r="O52" i="61"/>
  <c r="O5" i="61" s="1"/>
  <c r="P52" i="61"/>
  <c r="P2" i="61" s="1"/>
  <c r="Q52" i="61"/>
  <c r="Q5" i="61" s="1"/>
  <c r="R52" i="61"/>
  <c r="R4" i="61" s="1"/>
  <c r="S52" i="61"/>
  <c r="S5" i="61" s="1"/>
  <c r="T52" i="61"/>
  <c r="T2" i="61" s="1"/>
  <c r="U52" i="61"/>
  <c r="U5" i="61" s="1"/>
  <c r="V52" i="61"/>
  <c r="V4" i="61" s="1"/>
  <c r="W52" i="61"/>
  <c r="W5" i="61" s="1"/>
  <c r="X52" i="61"/>
  <c r="X2" i="61" s="1"/>
  <c r="Y52" i="61"/>
  <c r="Y5" i="61" s="1"/>
  <c r="Z52" i="61"/>
  <c r="Z4" i="61" s="1"/>
  <c r="AA52" i="61"/>
  <c r="AA5" i="61" s="1"/>
  <c r="AB52" i="61"/>
  <c r="AB2" i="61" s="1"/>
  <c r="AC52" i="61"/>
  <c r="AC5" i="61" s="1"/>
  <c r="M2" i="61" l="1"/>
  <c r="AC2" i="61"/>
  <c r="H4" i="61"/>
  <c r="Y4" i="61"/>
  <c r="Q2" i="61"/>
  <c r="U4" i="61"/>
  <c r="Q4" i="61"/>
  <c r="Y2" i="61"/>
  <c r="H2" i="61"/>
  <c r="AC4" i="61"/>
  <c r="M4" i="61"/>
  <c r="U2" i="61"/>
  <c r="Z5" i="61"/>
  <c r="V5" i="61"/>
  <c r="R5" i="61"/>
  <c r="N5" i="61"/>
  <c r="I5" i="61"/>
  <c r="AA2" i="61"/>
  <c r="W2" i="61"/>
  <c r="S2" i="61"/>
  <c r="O2" i="61"/>
  <c r="J2" i="61"/>
  <c r="F2" i="61"/>
  <c r="AB4" i="61"/>
  <c r="AB3" i="61" s="1"/>
  <c r="X4" i="61"/>
  <c r="X3" i="61" s="1"/>
  <c r="T4" i="61"/>
  <c r="T3" i="61" s="1"/>
  <c r="P4" i="61"/>
  <c r="P3" i="61" s="1"/>
  <c r="L4" i="61"/>
  <c r="L3" i="61" s="1"/>
  <c r="F4" i="61"/>
  <c r="Z2" i="61"/>
  <c r="Z3" i="61" s="1"/>
  <c r="V2" i="61"/>
  <c r="V3" i="61" s="1"/>
  <c r="R2" i="61"/>
  <c r="R3" i="61" s="1"/>
  <c r="N2" i="61"/>
  <c r="N3" i="61" s="1"/>
  <c r="I2" i="61"/>
  <c r="I3" i="61" s="1"/>
  <c r="AB5" i="61"/>
  <c r="X5" i="61"/>
  <c r="T5" i="61"/>
  <c r="P5" i="61"/>
  <c r="L5" i="61"/>
  <c r="AA4" i="61"/>
  <c r="W4" i="61"/>
  <c r="S4" i="61"/>
  <c r="O4" i="61"/>
  <c r="J4" i="61"/>
  <c r="C4" i="61"/>
  <c r="C3" i="61" s="1"/>
  <c r="C5" i="61"/>
  <c r="Q3" i="61" l="1"/>
  <c r="U3" i="61"/>
  <c r="Y3" i="61"/>
  <c r="AC3" i="61"/>
  <c r="H3" i="61"/>
  <c r="M3" i="61"/>
  <c r="F3" i="61"/>
  <c r="W3" i="61"/>
  <c r="J3" i="61"/>
  <c r="AA3" i="61"/>
  <c r="O3" i="61"/>
  <c r="S3" i="61"/>
  <c r="J30" i="27"/>
  <c r="J4" i="27" s="1"/>
  <c r="K30" i="27"/>
  <c r="K4" i="27" s="1"/>
  <c r="J7" i="27"/>
  <c r="K7" i="27"/>
  <c r="G27" i="36" l="1"/>
  <c r="G2" i="36" s="1"/>
  <c r="H27" i="36"/>
  <c r="H2" i="36" s="1"/>
  <c r="G7" i="36"/>
  <c r="H7" i="36"/>
  <c r="I7" i="36"/>
  <c r="G33" i="32"/>
  <c r="G2" i="32" s="1"/>
  <c r="H33" i="32"/>
  <c r="H2" i="32" s="1"/>
  <c r="G7" i="32"/>
  <c r="H7" i="32"/>
  <c r="I7" i="32"/>
  <c r="G45" i="59"/>
  <c r="G4" i="59" s="1"/>
  <c r="G7" i="59"/>
  <c r="G29" i="29"/>
  <c r="G2" i="29" s="1"/>
  <c r="G7" i="29"/>
  <c r="H7" i="29"/>
  <c r="G30" i="27"/>
  <c r="G4" i="27" s="1"/>
  <c r="G7" i="27"/>
  <c r="H7" i="27"/>
  <c r="G38" i="55"/>
  <c r="G4" i="55" s="1"/>
  <c r="G7" i="55"/>
  <c r="H7" i="55"/>
  <c r="G26" i="30"/>
  <c r="G2" i="30" s="1"/>
  <c r="G7" i="30"/>
  <c r="H7" i="30"/>
  <c r="G93" i="24"/>
  <c r="G2" i="24" s="1"/>
  <c r="G7" i="24"/>
  <c r="H7" i="24"/>
  <c r="G29" i="25"/>
  <c r="G2" i="25" s="1"/>
  <c r="G7" i="25"/>
  <c r="H7" i="25"/>
  <c r="G7" i="54" l="1"/>
  <c r="H7" i="54"/>
  <c r="G51" i="54"/>
  <c r="G4" i="54" s="1"/>
  <c r="H51" i="54"/>
  <c r="H4" i="54" s="1"/>
  <c r="AB45" i="59" l="1"/>
  <c r="AB5" i="59" s="1"/>
  <c r="AA45" i="59"/>
  <c r="AA5" i="59" s="1"/>
  <c r="Z45" i="59"/>
  <c r="Z4" i="59" s="1"/>
  <c r="Z3" i="59" s="1"/>
  <c r="Y45" i="59"/>
  <c r="Y4" i="59" s="1"/>
  <c r="Y3" i="59" s="1"/>
  <c r="X45" i="59"/>
  <c r="X4" i="59" s="1"/>
  <c r="X3" i="59" s="1"/>
  <c r="W45" i="59"/>
  <c r="W5" i="59" s="1"/>
  <c r="V45" i="59"/>
  <c r="V5" i="59" s="1"/>
  <c r="U45" i="59"/>
  <c r="U4" i="59" s="1"/>
  <c r="U3" i="59" s="1"/>
  <c r="T45" i="59"/>
  <c r="T4" i="59" s="1"/>
  <c r="T3" i="59" s="1"/>
  <c r="S45" i="59"/>
  <c r="S4" i="59" s="1"/>
  <c r="S3" i="59" s="1"/>
  <c r="R45" i="59"/>
  <c r="R5" i="59" s="1"/>
  <c r="Q45" i="59"/>
  <c r="Q4" i="59" s="1"/>
  <c r="Q3" i="59" s="1"/>
  <c r="P45" i="59"/>
  <c r="P5" i="59" s="1"/>
  <c r="O45" i="59"/>
  <c r="O5" i="59" s="1"/>
  <c r="N45" i="59"/>
  <c r="N4" i="59" s="1"/>
  <c r="N3" i="59" s="1"/>
  <c r="M45" i="59"/>
  <c r="M4" i="59" s="1"/>
  <c r="M3" i="59" s="1"/>
  <c r="L45" i="59"/>
  <c r="L5" i="59" s="1"/>
  <c r="K45" i="59"/>
  <c r="K5" i="59" s="1"/>
  <c r="J45" i="59"/>
  <c r="J5" i="59" s="1"/>
  <c r="I45" i="59"/>
  <c r="H45" i="59"/>
  <c r="F45" i="59"/>
  <c r="F5" i="59" s="1"/>
  <c r="E45" i="59"/>
  <c r="E4" i="59" s="1"/>
  <c r="D45" i="59"/>
  <c r="D4" i="59" s="1"/>
  <c r="C45" i="59"/>
  <c r="C4" i="59" s="1"/>
  <c r="C3" i="59" s="1"/>
  <c r="AB7" i="59"/>
  <c r="AA7" i="59"/>
  <c r="Z7" i="59"/>
  <c r="Y7" i="59"/>
  <c r="X7" i="59"/>
  <c r="W7" i="59"/>
  <c r="V7" i="59"/>
  <c r="U7" i="59"/>
  <c r="T7" i="59"/>
  <c r="S7" i="59"/>
  <c r="R7" i="59"/>
  <c r="Q7" i="59"/>
  <c r="P7" i="59"/>
  <c r="O7" i="59"/>
  <c r="N7" i="59"/>
  <c r="M7" i="59"/>
  <c r="L7" i="59"/>
  <c r="K7" i="59"/>
  <c r="J7" i="59"/>
  <c r="I7" i="59"/>
  <c r="H7" i="59"/>
  <c r="F7" i="59"/>
  <c r="E7" i="59"/>
  <c r="D7" i="59"/>
  <c r="C7" i="59"/>
  <c r="Z5" i="59"/>
  <c r="E2" i="59"/>
  <c r="D2" i="59"/>
  <c r="H4" i="59" l="1"/>
  <c r="H3" i="59" s="1"/>
  <c r="I4" i="59"/>
  <c r="I3" i="59" s="1"/>
  <c r="V4" i="59"/>
  <c r="V3" i="59" s="1"/>
  <c r="N5" i="59"/>
  <c r="P4" i="59"/>
  <c r="P3" i="59" s="1"/>
  <c r="AA4" i="59"/>
  <c r="AA3" i="59" s="1"/>
  <c r="T5" i="59"/>
  <c r="J4" i="59"/>
  <c r="J3" i="59" s="1"/>
  <c r="R4" i="59"/>
  <c r="R3" i="59" s="1"/>
  <c r="K4" i="59"/>
  <c r="K3" i="59" s="1"/>
  <c r="AB4" i="59"/>
  <c r="AB3" i="59" s="1"/>
  <c r="X5" i="59"/>
  <c r="L4" i="59"/>
  <c r="L3" i="59" s="1"/>
  <c r="H5" i="59"/>
  <c r="S5" i="59"/>
  <c r="F4" i="59"/>
  <c r="F3" i="59" s="1"/>
  <c r="W4" i="59"/>
  <c r="W3" i="59" s="1"/>
  <c r="C5" i="59"/>
  <c r="O4" i="59"/>
  <c r="O3" i="59" s="1"/>
  <c r="I5" i="59"/>
  <c r="M5" i="59"/>
  <c r="Q5" i="59"/>
  <c r="U5" i="59"/>
  <c r="Y5" i="59"/>
  <c r="AB38" i="55"/>
  <c r="AB5" i="55" s="1"/>
  <c r="AA38" i="55"/>
  <c r="AA4" i="55" s="1"/>
  <c r="AA3" i="55" s="1"/>
  <c r="Z38" i="55"/>
  <c r="Z5" i="55" s="1"/>
  <c r="Y38" i="55"/>
  <c r="Y4" i="55" s="1"/>
  <c r="Y3" i="55" s="1"/>
  <c r="X38" i="55"/>
  <c r="X5" i="55" s="1"/>
  <c r="W38" i="55"/>
  <c r="W4" i="55" s="1"/>
  <c r="W3" i="55" s="1"/>
  <c r="V38" i="55"/>
  <c r="V4" i="55" s="1"/>
  <c r="V3" i="55" s="1"/>
  <c r="U38" i="55"/>
  <c r="U5" i="55" s="1"/>
  <c r="T38" i="55"/>
  <c r="T5" i="55" s="1"/>
  <c r="S38" i="55"/>
  <c r="S4" i="55" s="1"/>
  <c r="S3" i="55" s="1"/>
  <c r="R38" i="55"/>
  <c r="R5" i="55" s="1"/>
  <c r="Q38" i="55"/>
  <c r="Q4" i="55" s="1"/>
  <c r="Q3" i="55" s="1"/>
  <c r="P38" i="55"/>
  <c r="P5" i="55" s="1"/>
  <c r="O38" i="55"/>
  <c r="O4" i="55" s="1"/>
  <c r="O3" i="55" s="1"/>
  <c r="N38" i="55"/>
  <c r="N5" i="55" s="1"/>
  <c r="M38" i="55"/>
  <c r="M5" i="55" s="1"/>
  <c r="L38" i="55"/>
  <c r="L5" i="55" s="1"/>
  <c r="K38" i="55"/>
  <c r="K4" i="55" s="1"/>
  <c r="K3" i="55" s="1"/>
  <c r="J38" i="55"/>
  <c r="J4" i="55" s="1"/>
  <c r="J3" i="55" s="1"/>
  <c r="I38" i="55"/>
  <c r="I5" i="55" s="1"/>
  <c r="H38" i="55"/>
  <c r="F38" i="55"/>
  <c r="F4" i="55" s="1"/>
  <c r="F3" i="55" s="1"/>
  <c r="E38" i="55"/>
  <c r="E4" i="55" s="1"/>
  <c r="D38" i="55"/>
  <c r="D4" i="55" s="1"/>
  <c r="C38" i="55"/>
  <c r="C4" i="55" s="1"/>
  <c r="C3" i="55" s="1"/>
  <c r="AB7" i="55"/>
  <c r="AA7" i="55"/>
  <c r="Z7" i="55"/>
  <c r="Y7" i="55"/>
  <c r="X7" i="55"/>
  <c r="W7" i="55"/>
  <c r="V7" i="55"/>
  <c r="U7" i="55"/>
  <c r="T7" i="55"/>
  <c r="S7" i="55"/>
  <c r="R7" i="55"/>
  <c r="Q7" i="55"/>
  <c r="P7" i="55"/>
  <c r="O7" i="55"/>
  <c r="N7" i="55"/>
  <c r="M7" i="55"/>
  <c r="L7" i="55"/>
  <c r="K7" i="55"/>
  <c r="J7" i="55"/>
  <c r="I7" i="55"/>
  <c r="F7" i="55"/>
  <c r="E7" i="55"/>
  <c r="D7" i="55"/>
  <c r="C7" i="55"/>
  <c r="E2" i="55"/>
  <c r="D2" i="55"/>
  <c r="J5" i="55" l="1"/>
  <c r="M4" i="55"/>
  <c r="M3" i="55" s="1"/>
  <c r="N4" i="55"/>
  <c r="N3" i="55" s="1"/>
  <c r="Z4" i="55"/>
  <c r="Z3" i="55" s="1"/>
  <c r="H5" i="55"/>
  <c r="H4" i="55"/>
  <c r="Y5" i="55"/>
  <c r="R4" i="55"/>
  <c r="R3" i="55" s="1"/>
  <c r="V5" i="55"/>
  <c r="I4" i="55"/>
  <c r="I3" i="55" s="1"/>
  <c r="C5" i="55"/>
  <c r="Q5" i="55"/>
  <c r="X4" i="55"/>
  <c r="X3" i="55" s="1"/>
  <c r="H3" i="55"/>
  <c r="T4" i="55"/>
  <c r="T3" i="55" s="1"/>
  <c r="P4" i="55"/>
  <c r="P3" i="55" s="1"/>
  <c r="U4" i="55"/>
  <c r="U3" i="55" s="1"/>
  <c r="L4" i="55"/>
  <c r="L3" i="55" s="1"/>
  <c r="AB4" i="55"/>
  <c r="AB3" i="55" s="1"/>
  <c r="F5" i="55"/>
  <c r="K5" i="55"/>
  <c r="O5" i="55"/>
  <c r="S5" i="55"/>
  <c r="W5" i="55"/>
  <c r="AA5" i="55"/>
  <c r="D27" i="36"/>
  <c r="D2" i="36" s="1"/>
  <c r="E27" i="36"/>
  <c r="E2" i="36" s="1"/>
  <c r="D7" i="36"/>
  <c r="E7" i="36"/>
  <c r="D33" i="32"/>
  <c r="D2" i="32" s="1"/>
  <c r="E33" i="32"/>
  <c r="E2" i="32" s="1"/>
  <c r="D7" i="32"/>
  <c r="E7" i="32"/>
  <c r="D26" i="30"/>
  <c r="D2" i="30" s="1"/>
  <c r="E26" i="30"/>
  <c r="E2" i="30" s="1"/>
  <c r="F26" i="30"/>
  <c r="D7" i="30"/>
  <c r="E7" i="30"/>
  <c r="D29" i="29"/>
  <c r="D2" i="29" s="1"/>
  <c r="E29" i="29"/>
  <c r="E2" i="29" s="1"/>
  <c r="D7" i="29"/>
  <c r="E7" i="29"/>
  <c r="D30" i="27"/>
  <c r="D4" i="27" s="1"/>
  <c r="E30" i="27"/>
  <c r="E4" i="27" s="1"/>
  <c r="D7" i="27"/>
  <c r="E7" i="27"/>
  <c r="D29" i="25"/>
  <c r="D2" i="25" s="1"/>
  <c r="E29" i="25"/>
  <c r="E2" i="25" s="1"/>
  <c r="F29" i="25"/>
  <c r="D7" i="25"/>
  <c r="E7" i="25"/>
  <c r="F7" i="25"/>
  <c r="F2" i="25"/>
  <c r="D7" i="24"/>
  <c r="E7" i="24"/>
  <c r="F7" i="24"/>
  <c r="D7" i="54"/>
  <c r="E7" i="54"/>
  <c r="F7" i="54"/>
  <c r="D51" i="54"/>
  <c r="D4" i="54" s="1"/>
  <c r="E51" i="54"/>
  <c r="E4" i="54" s="1"/>
  <c r="D93" i="24"/>
  <c r="D2" i="24" s="1"/>
  <c r="E93" i="24"/>
  <c r="E2" i="24" s="1"/>
  <c r="F93" i="24"/>
  <c r="F2" i="24" s="1"/>
  <c r="H93" i="24"/>
  <c r="H2" i="24" s="1"/>
  <c r="C7" i="54" l="1"/>
  <c r="I7" i="54"/>
  <c r="J7" i="54"/>
  <c r="K7" i="54"/>
  <c r="L7" i="54"/>
  <c r="M7" i="54"/>
  <c r="N7" i="54"/>
  <c r="O7" i="54"/>
  <c r="P7" i="54"/>
  <c r="Q7" i="54"/>
  <c r="R7" i="54"/>
  <c r="S7" i="54"/>
  <c r="T7" i="54"/>
  <c r="U7" i="54"/>
  <c r="V7" i="54"/>
  <c r="W7" i="54"/>
  <c r="X7" i="54"/>
  <c r="Y7" i="54"/>
  <c r="Z7" i="54"/>
  <c r="AA7" i="54"/>
  <c r="AB7" i="54"/>
  <c r="C51" i="54"/>
  <c r="C4" i="54" s="1"/>
  <c r="C3" i="54" s="1"/>
  <c r="F51" i="54"/>
  <c r="I51" i="54"/>
  <c r="J51" i="54"/>
  <c r="J4" i="54" s="1"/>
  <c r="J3" i="54" s="1"/>
  <c r="K51" i="54"/>
  <c r="K4" i="54" s="1"/>
  <c r="K3" i="54" s="1"/>
  <c r="L51" i="54"/>
  <c r="L4" i="54" s="1"/>
  <c r="L3" i="54" s="1"/>
  <c r="M51" i="54"/>
  <c r="M4" i="54" s="1"/>
  <c r="M3" i="54" s="1"/>
  <c r="N51" i="54"/>
  <c r="N4" i="54" s="1"/>
  <c r="N3" i="54" s="1"/>
  <c r="O51" i="54"/>
  <c r="O4" i="54" s="1"/>
  <c r="O3" i="54" s="1"/>
  <c r="P51" i="54"/>
  <c r="P4" i="54" s="1"/>
  <c r="P3" i="54" s="1"/>
  <c r="Q51" i="54"/>
  <c r="Q4" i="54" s="1"/>
  <c r="Q3" i="54" s="1"/>
  <c r="R51" i="54"/>
  <c r="R4" i="54" s="1"/>
  <c r="R3" i="54" s="1"/>
  <c r="S51" i="54"/>
  <c r="S4" i="54" s="1"/>
  <c r="S3" i="54" s="1"/>
  <c r="T51" i="54"/>
  <c r="T4" i="54" s="1"/>
  <c r="T3" i="54" s="1"/>
  <c r="U51" i="54"/>
  <c r="U4" i="54" s="1"/>
  <c r="U3" i="54" s="1"/>
  <c r="V51" i="54"/>
  <c r="V4" i="54" s="1"/>
  <c r="V3" i="54" s="1"/>
  <c r="W51" i="54"/>
  <c r="W4" i="54" s="1"/>
  <c r="W3" i="54" s="1"/>
  <c r="X51" i="54"/>
  <c r="X4" i="54" s="1"/>
  <c r="X3" i="54" s="1"/>
  <c r="Y51" i="54"/>
  <c r="Y4" i="54" s="1"/>
  <c r="Y3" i="54" s="1"/>
  <c r="Z51" i="54"/>
  <c r="Z4" i="54" s="1"/>
  <c r="Z3" i="54" s="1"/>
  <c r="AA51" i="54"/>
  <c r="AA4" i="54" s="1"/>
  <c r="AA3" i="54" s="1"/>
  <c r="AB51" i="54"/>
  <c r="AB4" i="54" s="1"/>
  <c r="AB3" i="54" s="1"/>
  <c r="I4" i="54" l="1"/>
  <c r="I3" i="54" s="1"/>
  <c r="H3" i="54"/>
  <c r="F4" i="54"/>
  <c r="F3" i="54" s="1"/>
  <c r="Y5" i="54"/>
  <c r="U5" i="54"/>
  <c r="Q5" i="54"/>
  <c r="M5" i="54"/>
  <c r="I5" i="54"/>
  <c r="C5" i="54"/>
  <c r="AB5" i="54"/>
  <c r="X5" i="54"/>
  <c r="T5" i="54"/>
  <c r="P5" i="54"/>
  <c r="L5" i="54"/>
  <c r="H5" i="54"/>
  <c r="AA5" i="54"/>
  <c r="W5" i="54"/>
  <c r="S5" i="54"/>
  <c r="O5" i="54"/>
  <c r="K5" i="54"/>
  <c r="F5" i="54"/>
  <c r="Z5" i="54"/>
  <c r="V5" i="54"/>
  <c r="R5" i="54"/>
  <c r="N5" i="54"/>
  <c r="J5" i="54"/>
  <c r="F29" i="29" l="1"/>
  <c r="F2" i="29" s="1"/>
  <c r="H29" i="29"/>
  <c r="H2" i="29" s="1"/>
  <c r="I29" i="29"/>
  <c r="I2" i="29" s="1"/>
  <c r="J29" i="29"/>
  <c r="K29" i="29"/>
  <c r="L29" i="29"/>
  <c r="M29" i="29"/>
  <c r="N29" i="29"/>
  <c r="O29" i="29"/>
  <c r="P29" i="29"/>
  <c r="Q29" i="29"/>
  <c r="R29" i="29"/>
  <c r="S29" i="29"/>
  <c r="T29" i="29"/>
  <c r="U29" i="29"/>
  <c r="V29" i="29"/>
  <c r="W29" i="29"/>
  <c r="X29" i="29"/>
  <c r="Y29" i="29"/>
  <c r="Z29" i="29"/>
  <c r="AA29" i="29"/>
  <c r="AB29" i="29"/>
  <c r="C29" i="29"/>
  <c r="Z38" i="48" l="1"/>
  <c r="Y38" i="48"/>
  <c r="X38" i="48"/>
  <c r="W38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8" i="48"/>
  <c r="D38" i="48"/>
  <c r="C38" i="48"/>
  <c r="Z7" i="48"/>
  <c r="Y7" i="48"/>
  <c r="X7" i="48"/>
  <c r="W7" i="48"/>
  <c r="V7" i="48"/>
  <c r="U7" i="48"/>
  <c r="T7" i="48"/>
  <c r="S7" i="48"/>
  <c r="R7" i="48"/>
  <c r="Q7" i="48"/>
  <c r="P7" i="48"/>
  <c r="O7" i="48"/>
  <c r="N7" i="48"/>
  <c r="M7" i="48"/>
  <c r="L7" i="48"/>
  <c r="K7" i="48"/>
  <c r="J7" i="48"/>
  <c r="I7" i="48"/>
  <c r="H7" i="48"/>
  <c r="G7" i="48"/>
  <c r="F7" i="48"/>
  <c r="E7" i="48"/>
  <c r="D7" i="48"/>
  <c r="C7" i="48"/>
  <c r="Z5" i="48"/>
  <c r="Y5" i="48"/>
  <c r="X5" i="48"/>
  <c r="W5" i="48"/>
  <c r="V5" i="48"/>
  <c r="U5" i="48"/>
  <c r="T5" i="48"/>
  <c r="S5" i="48"/>
  <c r="R5" i="48"/>
  <c r="Q5" i="48"/>
  <c r="P5" i="48"/>
  <c r="O5" i="48"/>
  <c r="N5" i="48"/>
  <c r="M5" i="48"/>
  <c r="L5" i="48"/>
  <c r="K5" i="48"/>
  <c r="J5" i="48"/>
  <c r="I5" i="48"/>
  <c r="H5" i="48"/>
  <c r="G5" i="48"/>
  <c r="F5" i="48"/>
  <c r="E5" i="48"/>
  <c r="D5" i="48"/>
  <c r="C5" i="48"/>
  <c r="Z4" i="48"/>
  <c r="Y4" i="48"/>
  <c r="X4" i="48"/>
  <c r="W4" i="48"/>
  <c r="V4" i="48"/>
  <c r="U4" i="48"/>
  <c r="T4" i="48"/>
  <c r="S4" i="48"/>
  <c r="R4" i="48"/>
  <c r="Q4" i="48"/>
  <c r="P4" i="48"/>
  <c r="O4" i="48"/>
  <c r="N4" i="48"/>
  <c r="M4" i="48"/>
  <c r="L4" i="48"/>
  <c r="K4" i="48"/>
  <c r="J4" i="48"/>
  <c r="I4" i="48"/>
  <c r="H4" i="48"/>
  <c r="G4" i="48"/>
  <c r="F4" i="48"/>
  <c r="E4" i="48"/>
  <c r="D4" i="48"/>
  <c r="C4" i="48"/>
  <c r="Z3" i="48"/>
  <c r="Y3" i="48"/>
  <c r="X3" i="48"/>
  <c r="W3" i="48"/>
  <c r="V3" i="48"/>
  <c r="U3" i="48"/>
  <c r="T3" i="48"/>
  <c r="S3" i="48"/>
  <c r="R3" i="48"/>
  <c r="Q3" i="48"/>
  <c r="P3" i="48"/>
  <c r="O3" i="48"/>
  <c r="N3" i="48"/>
  <c r="M3" i="48"/>
  <c r="L3" i="48"/>
  <c r="K3" i="48"/>
  <c r="J3" i="48"/>
  <c r="I3" i="48"/>
  <c r="H3" i="48"/>
  <c r="G3" i="48"/>
  <c r="F3" i="48"/>
  <c r="E3" i="48"/>
  <c r="D3" i="48"/>
  <c r="C3" i="48"/>
  <c r="C7" i="36" l="1"/>
  <c r="F7" i="36"/>
  <c r="J7" i="36"/>
  <c r="K7" i="36"/>
  <c r="L7" i="36"/>
  <c r="M7" i="36"/>
  <c r="N7" i="36"/>
  <c r="O7" i="36"/>
  <c r="P7" i="36"/>
  <c r="Q7" i="36"/>
  <c r="R7" i="36"/>
  <c r="S7" i="36"/>
  <c r="T7" i="36"/>
  <c r="U7" i="36"/>
  <c r="V7" i="36"/>
  <c r="W7" i="36"/>
  <c r="X7" i="36"/>
  <c r="Y7" i="36"/>
  <c r="Z7" i="36"/>
  <c r="AA7" i="36"/>
  <c r="AB7" i="36"/>
  <c r="C27" i="36"/>
  <c r="F27" i="36"/>
  <c r="F2" i="36" s="1"/>
  <c r="I27" i="36"/>
  <c r="I2" i="36" s="1"/>
  <c r="J27" i="36"/>
  <c r="K27" i="36"/>
  <c r="L27" i="36"/>
  <c r="M27" i="36"/>
  <c r="N27" i="36"/>
  <c r="O27" i="36"/>
  <c r="P27" i="36"/>
  <c r="Q27" i="36"/>
  <c r="R27" i="36"/>
  <c r="S27" i="36"/>
  <c r="T27" i="36"/>
  <c r="U27" i="36"/>
  <c r="V27" i="36"/>
  <c r="W27" i="36"/>
  <c r="X27" i="36"/>
  <c r="Y27" i="36"/>
  <c r="Z27" i="36"/>
  <c r="AA27" i="36"/>
  <c r="AB27" i="36"/>
  <c r="AA4" i="36" l="1"/>
  <c r="AA2" i="36"/>
  <c r="O4" i="36"/>
  <c r="O2" i="36"/>
  <c r="F4" i="36"/>
  <c r="Z4" i="36"/>
  <c r="Z2" i="36"/>
  <c r="V4" i="36"/>
  <c r="V2" i="36"/>
  <c r="R4" i="36"/>
  <c r="R2" i="36"/>
  <c r="N4" i="36"/>
  <c r="N2" i="36"/>
  <c r="J4" i="36"/>
  <c r="J2" i="36"/>
  <c r="Y4" i="36"/>
  <c r="Y2" i="36"/>
  <c r="U4" i="36"/>
  <c r="U2" i="36"/>
  <c r="Q4" i="36"/>
  <c r="Q2" i="36"/>
  <c r="M4" i="36"/>
  <c r="M2" i="36"/>
  <c r="I4" i="36"/>
  <c r="C4" i="36"/>
  <c r="C2" i="36"/>
  <c r="AB4" i="36"/>
  <c r="AB2" i="36"/>
  <c r="X4" i="36"/>
  <c r="X2" i="36"/>
  <c r="T4" i="36"/>
  <c r="T2" i="36"/>
  <c r="P4" i="36"/>
  <c r="P2" i="36"/>
  <c r="L4" i="36"/>
  <c r="L2" i="36"/>
  <c r="H4" i="36"/>
  <c r="K4" i="36"/>
  <c r="K2" i="36"/>
  <c r="S4" i="36"/>
  <c r="S2" i="36"/>
  <c r="W4" i="36"/>
  <c r="W2" i="36"/>
  <c r="Y5" i="36"/>
  <c r="M5" i="36"/>
  <c r="AB5" i="36"/>
  <c r="X5" i="36"/>
  <c r="T5" i="36"/>
  <c r="P5" i="36"/>
  <c r="L5" i="36"/>
  <c r="H5" i="36"/>
  <c r="AA5" i="36"/>
  <c r="W5" i="36"/>
  <c r="S5" i="36"/>
  <c r="O5" i="36"/>
  <c r="K5" i="36"/>
  <c r="F5" i="36"/>
  <c r="Z5" i="36"/>
  <c r="V5" i="36"/>
  <c r="R5" i="36"/>
  <c r="N5" i="36"/>
  <c r="J5" i="36"/>
  <c r="U5" i="36"/>
  <c r="Q5" i="36"/>
  <c r="I5" i="36"/>
  <c r="C5" i="36"/>
  <c r="S3" i="36" l="1"/>
  <c r="H3" i="36"/>
  <c r="P3" i="36"/>
  <c r="X3" i="36"/>
  <c r="C3" i="36"/>
  <c r="M3" i="36"/>
  <c r="U3" i="36"/>
  <c r="N3" i="36"/>
  <c r="V3" i="36"/>
  <c r="F3" i="36"/>
  <c r="AA3" i="36"/>
  <c r="W3" i="36"/>
  <c r="K3" i="36"/>
  <c r="L3" i="36"/>
  <c r="T3" i="36"/>
  <c r="AB3" i="36"/>
  <c r="I3" i="36"/>
  <c r="Q3" i="36"/>
  <c r="Y3" i="36"/>
  <c r="J3" i="36"/>
  <c r="R3" i="36"/>
  <c r="Z3" i="36"/>
  <c r="O3" i="36"/>
  <c r="C7" i="32"/>
  <c r="F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C33" i="32"/>
  <c r="F33" i="32"/>
  <c r="I33" i="32"/>
  <c r="I2" i="32" s="1"/>
  <c r="J33" i="32"/>
  <c r="K33" i="32"/>
  <c r="L33" i="32"/>
  <c r="M33" i="32"/>
  <c r="N33" i="32"/>
  <c r="O33" i="32"/>
  <c r="P33" i="32"/>
  <c r="Q33" i="32"/>
  <c r="R33" i="32"/>
  <c r="S33" i="32"/>
  <c r="T33" i="32"/>
  <c r="U33" i="32"/>
  <c r="V33" i="32"/>
  <c r="W33" i="32"/>
  <c r="X33" i="32"/>
  <c r="Y33" i="32"/>
  <c r="Z33" i="32"/>
  <c r="AA33" i="32"/>
  <c r="AB33" i="32"/>
  <c r="X4" i="32" l="1"/>
  <c r="X2" i="32"/>
  <c r="T4" i="32"/>
  <c r="T2" i="32"/>
  <c r="P4" i="32"/>
  <c r="P2" i="32"/>
  <c r="L4" i="32"/>
  <c r="L2" i="32"/>
  <c r="H4" i="32"/>
  <c r="AB4" i="32"/>
  <c r="AB2" i="32"/>
  <c r="AA4" i="32"/>
  <c r="AA2" i="32"/>
  <c r="W5" i="32"/>
  <c r="W2" i="32"/>
  <c r="S4" i="32"/>
  <c r="S2" i="32"/>
  <c r="O4" i="32"/>
  <c r="O2" i="32"/>
  <c r="K5" i="32"/>
  <c r="K2" i="32"/>
  <c r="F4" i="32"/>
  <c r="F2" i="32"/>
  <c r="Z4" i="32"/>
  <c r="Z2" i="32"/>
  <c r="V4" i="32"/>
  <c r="V2" i="32"/>
  <c r="R4" i="32"/>
  <c r="R2" i="32"/>
  <c r="N4" i="32"/>
  <c r="N2" i="32"/>
  <c r="J4" i="32"/>
  <c r="J2" i="32"/>
  <c r="Y4" i="32"/>
  <c r="Y2" i="32"/>
  <c r="U4" i="32"/>
  <c r="U2" i="32"/>
  <c r="Q4" i="32"/>
  <c r="Q2" i="32"/>
  <c r="M4" i="32"/>
  <c r="M2" i="32"/>
  <c r="I4" i="32"/>
  <c r="C4" i="32"/>
  <c r="C2" i="32"/>
  <c r="X5" i="32"/>
  <c r="H5" i="32"/>
  <c r="AA5" i="32"/>
  <c r="O5" i="32"/>
  <c r="F5" i="32"/>
  <c r="W4" i="32"/>
  <c r="K4" i="32"/>
  <c r="AB5" i="32"/>
  <c r="T5" i="32"/>
  <c r="P5" i="32"/>
  <c r="L5" i="32"/>
  <c r="S5" i="32"/>
  <c r="Z5" i="32"/>
  <c r="V5" i="32"/>
  <c r="R5" i="32"/>
  <c r="N5" i="32"/>
  <c r="J5" i="32"/>
  <c r="Y5" i="32"/>
  <c r="U5" i="32"/>
  <c r="Q5" i="32"/>
  <c r="M5" i="32"/>
  <c r="I5" i="32"/>
  <c r="C5" i="32"/>
  <c r="K3" i="32" l="1"/>
  <c r="I3" i="32"/>
  <c r="Q3" i="32"/>
  <c r="Y3" i="32"/>
  <c r="J3" i="32"/>
  <c r="R3" i="32"/>
  <c r="Z3" i="32"/>
  <c r="S3" i="32"/>
  <c r="AA3" i="32"/>
  <c r="H3" i="32"/>
  <c r="P3" i="32"/>
  <c r="C3" i="32"/>
  <c r="U3" i="32"/>
  <c r="N3" i="32"/>
  <c r="V3" i="32"/>
  <c r="F3" i="32"/>
  <c r="O3" i="32"/>
  <c r="AB3" i="32"/>
  <c r="L3" i="32"/>
  <c r="T3" i="32"/>
  <c r="M3" i="32"/>
  <c r="W3" i="32"/>
  <c r="X3" i="32"/>
  <c r="C7" i="30"/>
  <c r="F7" i="30"/>
  <c r="I7" i="30"/>
  <c r="J7" i="30"/>
  <c r="K7" i="30"/>
  <c r="L7" i="30"/>
  <c r="M7" i="30"/>
  <c r="N7" i="30"/>
  <c r="O7" i="30"/>
  <c r="P7" i="30"/>
  <c r="Q7" i="30"/>
  <c r="R7" i="30"/>
  <c r="S7" i="30"/>
  <c r="T7" i="30"/>
  <c r="U7" i="30"/>
  <c r="V7" i="30"/>
  <c r="W7" i="30"/>
  <c r="X7" i="30"/>
  <c r="Y7" i="30"/>
  <c r="Z7" i="30"/>
  <c r="AA7" i="30"/>
  <c r="AB7" i="30"/>
  <c r="C26" i="30"/>
  <c r="H26" i="30"/>
  <c r="H2" i="30" s="1"/>
  <c r="I26" i="30"/>
  <c r="I2" i="30" s="1"/>
  <c r="J26" i="30"/>
  <c r="K26" i="30"/>
  <c r="L26" i="30"/>
  <c r="M26" i="30"/>
  <c r="N26" i="30"/>
  <c r="O26" i="30"/>
  <c r="P26" i="30"/>
  <c r="Q26" i="30"/>
  <c r="R26" i="30"/>
  <c r="S26" i="30"/>
  <c r="T26" i="30"/>
  <c r="U26" i="30"/>
  <c r="V26" i="30"/>
  <c r="W26" i="30"/>
  <c r="X26" i="30"/>
  <c r="Y26" i="30"/>
  <c r="Z26" i="30"/>
  <c r="AA26" i="30"/>
  <c r="AB26" i="30"/>
  <c r="C7" i="29"/>
  <c r="F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W7" i="29"/>
  <c r="X7" i="29"/>
  <c r="Y7" i="29"/>
  <c r="Z7" i="29"/>
  <c r="AA7" i="29"/>
  <c r="AB7" i="29"/>
  <c r="W4" i="30" l="1"/>
  <c r="W2" i="30"/>
  <c r="S4" i="30"/>
  <c r="S2" i="30"/>
  <c r="O4" i="30"/>
  <c r="O2" i="30"/>
  <c r="K4" i="30"/>
  <c r="K2" i="30"/>
  <c r="F4" i="30"/>
  <c r="F2" i="30"/>
  <c r="Z4" i="30"/>
  <c r="Z2" i="30"/>
  <c r="V4" i="30"/>
  <c r="V2" i="30"/>
  <c r="R4" i="30"/>
  <c r="R2" i="30"/>
  <c r="N4" i="30"/>
  <c r="N2" i="30"/>
  <c r="J4" i="30"/>
  <c r="J2" i="30"/>
  <c r="Y4" i="30"/>
  <c r="Y2" i="30"/>
  <c r="U4" i="30"/>
  <c r="U2" i="30"/>
  <c r="Q4" i="30"/>
  <c r="Q2" i="30"/>
  <c r="M4" i="30"/>
  <c r="M2" i="30"/>
  <c r="I4" i="30"/>
  <c r="C4" i="30"/>
  <c r="C2" i="30"/>
  <c r="AB4" i="30"/>
  <c r="AB2" i="30"/>
  <c r="X4" i="30"/>
  <c r="X2" i="30"/>
  <c r="T4" i="30"/>
  <c r="T2" i="30"/>
  <c r="P4" i="30"/>
  <c r="P2" i="30"/>
  <c r="L4" i="30"/>
  <c r="L2" i="30"/>
  <c r="H4" i="30"/>
  <c r="AA4" i="30"/>
  <c r="AA2" i="30"/>
  <c r="Y4" i="29"/>
  <c r="Y2" i="29"/>
  <c r="AB4" i="29"/>
  <c r="AB2" i="29"/>
  <c r="X4" i="29"/>
  <c r="X2" i="29"/>
  <c r="T4" i="29"/>
  <c r="T2" i="29"/>
  <c r="P4" i="29"/>
  <c r="P2" i="29"/>
  <c r="L4" i="29"/>
  <c r="L2" i="29"/>
  <c r="H4" i="29"/>
  <c r="AA4" i="29"/>
  <c r="AA2" i="29"/>
  <c r="W4" i="29"/>
  <c r="W2" i="29"/>
  <c r="S4" i="29"/>
  <c r="S2" i="29"/>
  <c r="O4" i="29"/>
  <c r="O2" i="29"/>
  <c r="K4" i="29"/>
  <c r="K2" i="29"/>
  <c r="F4" i="29"/>
  <c r="V4" i="29"/>
  <c r="V2" i="29"/>
  <c r="R4" i="29"/>
  <c r="R2" i="29"/>
  <c r="N4" i="29"/>
  <c r="N2" i="29"/>
  <c r="J4" i="29"/>
  <c r="J2" i="29"/>
  <c r="Z4" i="29"/>
  <c r="Z2" i="29"/>
  <c r="U4" i="29"/>
  <c r="U2" i="29"/>
  <c r="Q4" i="29"/>
  <c r="Q2" i="29"/>
  <c r="M4" i="29"/>
  <c r="M2" i="29"/>
  <c r="I4" i="29"/>
  <c r="C4" i="29"/>
  <c r="C2" i="29"/>
  <c r="AB5" i="30"/>
  <c r="X5" i="30"/>
  <c r="T5" i="30"/>
  <c r="P5" i="30"/>
  <c r="L5" i="30"/>
  <c r="H5" i="30"/>
  <c r="AA5" i="30"/>
  <c r="W5" i="30"/>
  <c r="S5" i="30"/>
  <c r="O5" i="30"/>
  <c r="K5" i="30"/>
  <c r="F5" i="30"/>
  <c r="Z5" i="30"/>
  <c r="V5" i="30"/>
  <c r="R5" i="30"/>
  <c r="N5" i="30"/>
  <c r="J5" i="30"/>
  <c r="Y5" i="30"/>
  <c r="U5" i="30"/>
  <c r="Q5" i="30"/>
  <c r="M5" i="30"/>
  <c r="I5" i="30"/>
  <c r="C5" i="30"/>
  <c r="AB5" i="29"/>
  <c r="X5" i="29"/>
  <c r="T5" i="29"/>
  <c r="P5" i="29"/>
  <c r="L5" i="29"/>
  <c r="H5" i="29"/>
  <c r="AA5" i="29"/>
  <c r="W5" i="29"/>
  <c r="S5" i="29"/>
  <c r="O5" i="29"/>
  <c r="K5" i="29"/>
  <c r="F5" i="29"/>
  <c r="Z5" i="29"/>
  <c r="V5" i="29"/>
  <c r="R5" i="29"/>
  <c r="N5" i="29"/>
  <c r="J5" i="29"/>
  <c r="Y5" i="29"/>
  <c r="U5" i="29"/>
  <c r="Q5" i="29"/>
  <c r="M5" i="29"/>
  <c r="I5" i="29"/>
  <c r="C5" i="29"/>
  <c r="P3" i="30" l="1"/>
  <c r="H3" i="30"/>
  <c r="X3" i="30"/>
  <c r="C3" i="30"/>
  <c r="M3" i="30"/>
  <c r="U3" i="30"/>
  <c r="I3" i="30"/>
  <c r="N3" i="30"/>
  <c r="J3" i="30"/>
  <c r="F3" i="30"/>
  <c r="AA3" i="30"/>
  <c r="L3" i="30"/>
  <c r="T3" i="30"/>
  <c r="Q3" i="30"/>
  <c r="Y3" i="30"/>
  <c r="R3" i="30"/>
  <c r="AB3" i="30"/>
  <c r="V3" i="30"/>
  <c r="Z3" i="30"/>
  <c r="K3" i="30"/>
  <c r="O3" i="30"/>
  <c r="S3" i="30"/>
  <c r="W3" i="30"/>
  <c r="I3" i="29"/>
  <c r="Q3" i="29"/>
  <c r="Z3" i="29"/>
  <c r="J3" i="29"/>
  <c r="R3" i="29"/>
  <c r="F3" i="29"/>
  <c r="O3" i="29"/>
  <c r="W3" i="29"/>
  <c r="H3" i="29"/>
  <c r="P3" i="29"/>
  <c r="C3" i="29"/>
  <c r="M3" i="29"/>
  <c r="U3" i="29"/>
  <c r="N3" i="29"/>
  <c r="V3" i="29"/>
  <c r="K3" i="29"/>
  <c r="S3" i="29"/>
  <c r="AA3" i="29"/>
  <c r="L3" i="29"/>
  <c r="T3" i="29"/>
  <c r="AB3" i="29"/>
  <c r="X3" i="29"/>
  <c r="Y3" i="29"/>
  <c r="C7" i="27"/>
  <c r="F7" i="27"/>
  <c r="I7" i="27"/>
  <c r="L7" i="27"/>
  <c r="M7" i="27"/>
  <c r="N7" i="27"/>
  <c r="O7" i="27"/>
  <c r="P7" i="27"/>
  <c r="Q7" i="27"/>
  <c r="R7" i="27"/>
  <c r="S7" i="27"/>
  <c r="T7" i="27"/>
  <c r="U7" i="27"/>
  <c r="V7" i="27"/>
  <c r="W7" i="27"/>
  <c r="X7" i="27"/>
  <c r="Y7" i="27"/>
  <c r="Z7" i="27"/>
  <c r="AA7" i="27"/>
  <c r="AB7" i="27"/>
  <c r="AC7" i="27"/>
  <c r="C30" i="27"/>
  <c r="C4" i="27" s="1"/>
  <c r="C3" i="27" s="1"/>
  <c r="F30" i="27"/>
  <c r="H30" i="27"/>
  <c r="I30" i="27"/>
  <c r="I4" i="27" s="1"/>
  <c r="I3" i="27" s="1"/>
  <c r="K3" i="27"/>
  <c r="L30" i="27"/>
  <c r="L4" i="27" s="1"/>
  <c r="L3" i="27" s="1"/>
  <c r="M30" i="27"/>
  <c r="M5" i="27" s="1"/>
  <c r="N30" i="27"/>
  <c r="N4" i="27" s="1"/>
  <c r="N3" i="27" s="1"/>
  <c r="O30" i="27"/>
  <c r="O4" i="27" s="1"/>
  <c r="O3" i="27" s="1"/>
  <c r="P30" i="27"/>
  <c r="P4" i="27" s="1"/>
  <c r="P3" i="27" s="1"/>
  <c r="Q30" i="27"/>
  <c r="Q4" i="27" s="1"/>
  <c r="Q3" i="27" s="1"/>
  <c r="R30" i="27"/>
  <c r="R4" i="27" s="1"/>
  <c r="R3" i="27" s="1"/>
  <c r="S30" i="27"/>
  <c r="S4" i="27" s="1"/>
  <c r="S3" i="27" s="1"/>
  <c r="T30" i="27"/>
  <c r="T4" i="27" s="1"/>
  <c r="T3" i="27" s="1"/>
  <c r="U30" i="27"/>
  <c r="U4" i="27" s="1"/>
  <c r="U3" i="27" s="1"/>
  <c r="V30" i="27"/>
  <c r="V4" i="27" s="1"/>
  <c r="V3" i="27" s="1"/>
  <c r="W30" i="27"/>
  <c r="W4" i="27" s="1"/>
  <c r="W3" i="27" s="1"/>
  <c r="X30" i="27"/>
  <c r="X4" i="27" s="1"/>
  <c r="X3" i="27" s="1"/>
  <c r="Y30" i="27"/>
  <c r="Y4" i="27" s="1"/>
  <c r="Y3" i="27" s="1"/>
  <c r="Z30" i="27"/>
  <c r="Z4" i="27" s="1"/>
  <c r="Z3" i="27" s="1"/>
  <c r="AA30" i="27"/>
  <c r="AA4" i="27" s="1"/>
  <c r="AA3" i="27" s="1"/>
  <c r="AB30" i="27"/>
  <c r="AB4" i="27" s="1"/>
  <c r="AB3" i="27" s="1"/>
  <c r="AC30" i="27"/>
  <c r="AC4" i="27" s="1"/>
  <c r="AC3" i="27" s="1"/>
  <c r="C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C29" i="25"/>
  <c r="H29" i="25"/>
  <c r="H2" i="25" s="1"/>
  <c r="I29" i="25"/>
  <c r="I2" i="25" s="1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C7" i="24"/>
  <c r="I7" i="24"/>
  <c r="J7" i="24"/>
  <c r="K7" i="24"/>
  <c r="L7" i="24"/>
  <c r="M7" i="24"/>
  <c r="N7" i="24"/>
  <c r="O7" i="24"/>
  <c r="P7" i="24"/>
  <c r="Q7" i="24"/>
  <c r="R7" i="24"/>
  <c r="S7" i="24"/>
  <c r="T7" i="24"/>
  <c r="U7" i="24"/>
  <c r="V7" i="24"/>
  <c r="W7" i="24"/>
  <c r="X7" i="24"/>
  <c r="Y7" i="24"/>
  <c r="Z7" i="24"/>
  <c r="AA7" i="24"/>
  <c r="AB7" i="24"/>
  <c r="C93" i="24"/>
  <c r="I93" i="24"/>
  <c r="I2" i="24" s="1"/>
  <c r="J93" i="24"/>
  <c r="K93" i="24"/>
  <c r="L93" i="24"/>
  <c r="M93" i="24"/>
  <c r="N93" i="24"/>
  <c r="O93" i="24"/>
  <c r="P93" i="24"/>
  <c r="Q93" i="24"/>
  <c r="R93" i="24"/>
  <c r="S93" i="24"/>
  <c r="T93" i="24"/>
  <c r="U93" i="24"/>
  <c r="V93" i="24"/>
  <c r="W93" i="24"/>
  <c r="X93" i="24"/>
  <c r="Y93" i="24"/>
  <c r="Z93" i="24"/>
  <c r="AA93" i="24"/>
  <c r="AB93" i="24"/>
  <c r="H4" i="27" l="1"/>
  <c r="H3" i="27" s="1"/>
  <c r="F4" i="27"/>
  <c r="F3" i="27" s="1"/>
  <c r="AA4" i="25"/>
  <c r="AA2" i="25"/>
  <c r="W4" i="25"/>
  <c r="W2" i="25"/>
  <c r="S4" i="25"/>
  <c r="S2" i="25"/>
  <c r="O4" i="25"/>
  <c r="O2" i="25"/>
  <c r="K4" i="25"/>
  <c r="K2" i="25"/>
  <c r="F4" i="25"/>
  <c r="Z4" i="25"/>
  <c r="Z2" i="25"/>
  <c r="V5" i="25"/>
  <c r="V2" i="25"/>
  <c r="R4" i="25"/>
  <c r="R2" i="25"/>
  <c r="N4" i="25"/>
  <c r="N2" i="25"/>
  <c r="J5" i="25"/>
  <c r="J2" i="25"/>
  <c r="Y4" i="25"/>
  <c r="Y2" i="25"/>
  <c r="U4" i="25"/>
  <c r="U2" i="25"/>
  <c r="Q5" i="25"/>
  <c r="Q2" i="25"/>
  <c r="M4" i="25"/>
  <c r="M2" i="25"/>
  <c r="I5" i="25"/>
  <c r="C4" i="25"/>
  <c r="C2" i="25"/>
  <c r="AB4" i="25"/>
  <c r="AB2" i="25"/>
  <c r="X4" i="25"/>
  <c r="X2" i="25"/>
  <c r="T4" i="25"/>
  <c r="T2" i="25"/>
  <c r="P4" i="25"/>
  <c r="P2" i="25"/>
  <c r="L4" i="25"/>
  <c r="L2" i="25"/>
  <c r="H4" i="25"/>
  <c r="AA4" i="24"/>
  <c r="AA2" i="24"/>
  <c r="S4" i="24"/>
  <c r="S2" i="24"/>
  <c r="K4" i="24"/>
  <c r="K2" i="24"/>
  <c r="F4" i="24"/>
  <c r="Y4" i="24"/>
  <c r="Y2" i="24"/>
  <c r="W5" i="24"/>
  <c r="W2" i="24"/>
  <c r="O5" i="24"/>
  <c r="O2" i="24"/>
  <c r="Z4" i="24"/>
  <c r="Z2" i="24"/>
  <c r="V4" i="24"/>
  <c r="V2" i="24"/>
  <c r="R4" i="24"/>
  <c r="R2" i="24"/>
  <c r="N4" i="24"/>
  <c r="N2" i="24"/>
  <c r="J4" i="24"/>
  <c r="J2" i="24"/>
  <c r="U4" i="24"/>
  <c r="U2" i="24"/>
  <c r="Q4" i="24"/>
  <c r="Q2" i="24"/>
  <c r="M4" i="24"/>
  <c r="M2" i="24"/>
  <c r="I4" i="24"/>
  <c r="AB4" i="24"/>
  <c r="AB2" i="24"/>
  <c r="X4" i="24"/>
  <c r="X2" i="24"/>
  <c r="T4" i="24"/>
  <c r="T2" i="24"/>
  <c r="P4" i="24"/>
  <c r="P2" i="24"/>
  <c r="L4" i="24"/>
  <c r="L2" i="24"/>
  <c r="H4" i="24"/>
  <c r="C4" i="24"/>
  <c r="C2" i="24"/>
  <c r="M4" i="27"/>
  <c r="M3" i="27" s="1"/>
  <c r="AC5" i="27"/>
  <c r="Y5" i="27"/>
  <c r="U5" i="27"/>
  <c r="Q5" i="27"/>
  <c r="H5" i="27"/>
  <c r="AB5" i="27"/>
  <c r="X5" i="27"/>
  <c r="T5" i="27"/>
  <c r="P5" i="27"/>
  <c r="L5" i="27"/>
  <c r="F5" i="27"/>
  <c r="AA5" i="27"/>
  <c r="W5" i="27"/>
  <c r="S5" i="27"/>
  <c r="O5" i="27"/>
  <c r="K5" i="27"/>
  <c r="Z5" i="27"/>
  <c r="V5" i="27"/>
  <c r="R5" i="27"/>
  <c r="N5" i="27"/>
  <c r="I5" i="27"/>
  <c r="C5" i="27"/>
  <c r="J4" i="25"/>
  <c r="Z5" i="25"/>
  <c r="N5" i="25"/>
  <c r="V4" i="25"/>
  <c r="Y5" i="25"/>
  <c r="U5" i="25"/>
  <c r="M5" i="25"/>
  <c r="C5" i="25"/>
  <c r="Q4" i="25"/>
  <c r="I4" i="25"/>
  <c r="I3" i="25" s="1"/>
  <c r="AB5" i="25"/>
  <c r="X5" i="25"/>
  <c r="T5" i="25"/>
  <c r="P5" i="25"/>
  <c r="L5" i="25"/>
  <c r="H5" i="25"/>
  <c r="AA5" i="25"/>
  <c r="W5" i="25"/>
  <c r="S5" i="25"/>
  <c r="O5" i="25"/>
  <c r="K5" i="25"/>
  <c r="F5" i="25"/>
  <c r="R5" i="25"/>
  <c r="AB5" i="24"/>
  <c r="X5" i="24"/>
  <c r="T5" i="24"/>
  <c r="P5" i="24"/>
  <c r="L5" i="24"/>
  <c r="H5" i="24"/>
  <c r="AA5" i="24"/>
  <c r="S5" i="24"/>
  <c r="K5" i="24"/>
  <c r="F5" i="24"/>
  <c r="W4" i="24"/>
  <c r="O4" i="24"/>
  <c r="Z5" i="24"/>
  <c r="V5" i="24"/>
  <c r="R5" i="24"/>
  <c r="N5" i="24"/>
  <c r="J5" i="24"/>
  <c r="Y5" i="24"/>
  <c r="U5" i="24"/>
  <c r="Q5" i="24"/>
  <c r="M5" i="24"/>
  <c r="I5" i="24"/>
  <c r="C5" i="24"/>
  <c r="Q3" i="25" l="1"/>
  <c r="V3" i="25"/>
  <c r="O3" i="24"/>
  <c r="L3" i="25"/>
  <c r="J3" i="25"/>
  <c r="T3" i="25"/>
  <c r="W3" i="24"/>
  <c r="AB3" i="25"/>
  <c r="H3" i="25"/>
  <c r="P3" i="25"/>
  <c r="X3" i="25"/>
  <c r="C3" i="25"/>
  <c r="M3" i="25"/>
  <c r="U3" i="25"/>
  <c r="N3" i="25"/>
  <c r="F3" i="25"/>
  <c r="O3" i="25"/>
  <c r="W3" i="25"/>
  <c r="Y3" i="25"/>
  <c r="H3" i="24"/>
  <c r="P3" i="24"/>
  <c r="X3" i="24"/>
  <c r="R3" i="25"/>
  <c r="Z3" i="25"/>
  <c r="K3" i="25"/>
  <c r="S3" i="25"/>
  <c r="AA3" i="25"/>
  <c r="I3" i="24"/>
  <c r="Q3" i="24"/>
  <c r="L3" i="24"/>
  <c r="T3" i="24"/>
  <c r="AB3" i="24"/>
  <c r="M3" i="24"/>
  <c r="U3" i="24"/>
  <c r="N3" i="24"/>
  <c r="V3" i="24"/>
  <c r="Y3" i="24"/>
  <c r="J3" i="24"/>
  <c r="R3" i="24"/>
  <c r="Z3" i="24"/>
  <c r="F3" i="24"/>
  <c r="S3" i="24"/>
  <c r="K3" i="24"/>
  <c r="AA3" i="24"/>
  <c r="C3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tc={5086CF04-9A7C-45E8-A695-9658F954388B}</author>
    <author>Romica Brasil</author>
  </authors>
  <commentList>
    <comment ref="A14" authorId="0" shapeId="0" xr:uid="{5086CF04-9A7C-45E8-A695-9658F95438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Minimo s/ nf</t>
      </text>
    </comment>
    <comment ref="A22" authorId="1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Romica Brasil: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PREÇO MEDIO SEM NOTA
CUL. MINIMO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Romica Brasil</author>
    <author>tc={6F89AE6D-6F4F-4DFE-A102-BC7EB0B33F95}</author>
    <author>tc={A26B86D1-3BDE-4121-863F-9106A966D6A3}</author>
  </authors>
  <commentList>
    <comment ref="A1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ZAP JAGUARÉ SM LEANDRO</t>
        </r>
      </text>
    </comment>
    <comment ref="A12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LIGAR SALAMINHO LOJA</t>
        </r>
      </text>
    </comment>
    <comment ref="A16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TP 9,70
FR 1 KG 16,00
MARSH 1 12,40
GEMA 13,90 (NF RMC)                  A VISTA</t>
        </r>
      </text>
    </comment>
    <comment ref="A36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RMC ALEXANDRE</t>
        </r>
      </text>
    </comment>
    <comment ref="A38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 xml:space="preserve">Romica Brasil: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PREÇO MEDIO SEM NOTA
CUL. MINIMO</t>
        </r>
      </text>
    </comment>
    <comment ref="A39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CONTATO FENICIA- PAULO</t>
        </r>
      </text>
    </comment>
    <comment ref="A40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TP 9,70
MARSH 500 7,90</t>
        </r>
      </text>
    </comment>
    <comment ref="A4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LIGA QUANDO PRECISA                                        COCO 8,50          
MASSA 19,00       PQ 12,90</t>
        </r>
      </text>
    </comment>
    <comment ref="A44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QUANDO PRECISA</t>
        </r>
      </text>
    </comment>
    <comment ref="A47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LITRO 7,50                                                  MINI 5,10                                                          COCO 6,50</t>
        </r>
      </text>
    </comment>
    <comment ref="A48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LITRO 7,60</t>
        </r>
      </text>
    </comment>
    <comment ref="A57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Manda mensagem quando precisa</t>
        </r>
      </text>
    </comment>
    <comment ref="A58" authorId="1" shapeId="0" xr:uid="{6F89AE6D-6F4F-4DFE-A102-BC7EB0B33F9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</t>
      </text>
    </comment>
    <comment ref="A60" authorId="2" shapeId="0" xr:uid="{A26B86D1-3BDE-4121-863F-9106A966D6A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Avisar Alexandre para verificar o pedido</t>
      </text>
    </comment>
    <comment ref="A69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QUANDO PRECISA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tc={7759FC37-D4CA-47A5-A418-DE8A1092CC8D}</author>
    <author>Romica Brasil</author>
    <author>tc={95DDC2B7-E7FB-4B0F-9A81-91BD14D306D8}</author>
    <author>tc={68BC1380-CD69-43C2-8164-6E3296C0843A}</author>
    <author>tc={97F057F9-E768-47C4-AEC7-01ADAB33F32D}</author>
    <author>tc={A90C26CD-6B11-4634-8AEE-B7E27189F647}</author>
  </authors>
  <commentList>
    <comment ref="A12" authorId="0" shapeId="0" xr:uid="{7759FC37-D4CA-47A5-A418-DE8A1092CC8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 em contato quando precisa
</t>
      </text>
    </comment>
    <comment ref="A14" authorId="1" shapeId="0" xr:uid="{00000000-0006-0000-01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20 LITROS A CADA 15 DIAS  VALOR 8,20</t>
        </r>
      </text>
    </comment>
    <comment ref="A15" authorId="2" shapeId="0" xr:uid="{95DDC2B7-E7FB-4B0F-9A81-91BD14D306D8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 em contato quando precisa
</t>
      </text>
    </comment>
    <comment ref="A23" authorId="3" shapeId="0" xr:uid="{68BC1380-CD69-43C2-8164-6E3296C0843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Entra em contato quando precisa
</t>
      </text>
    </comment>
    <comment ref="A2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Romica Brasil:
ZAP ROSA GOURMET SIMONE</t>
        </r>
      </text>
    </comment>
    <comment ref="A28" authorId="4" shapeId="0" xr:uid="{97F057F9-E768-47C4-AEC7-01ADAB33F3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Mario quem passa o pedido</t>
      </text>
    </comment>
    <comment ref="A29" authorId="5" shapeId="0" xr:uid="{A90C26CD-6B11-4634-8AEE-B7E27189F6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16,00  LT
Responder:
    Quando precisa manda mensagem</t>
      </text>
    </comment>
    <comment ref="A37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ZAP LEO DOLCI</t>
        </r>
      </text>
    </comment>
    <comment ref="A40" authorId="1" shapeId="0" xr:uid="{00000000-0006-0000-01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PASSA PEDIDO POR ZAP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tc={DDA820A8-05D9-46D9-9D7E-A6A8C7C4FDD9}</author>
  </authors>
  <commentList>
    <comment ref="A20" authorId="0" shapeId="0" xr:uid="{DDA820A8-05D9-46D9-9D7E-A6A8C7C4FD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Romica Brasil</author>
    <author>tc={AE4CB2A2-CD6E-4637-B632-B7DDFCDF24DC}</author>
    <author>tc={E7859108-0FF5-4044-8C40-23F9533F4875}</author>
    <author>tc={28B64BC3-3C6A-452C-B9EF-A2257F38471B}</author>
    <author>tc={644D3323-AD80-4F9D-8252-0490C6A10DC5}</author>
  </authors>
  <commentList>
    <comment ref="A8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   TP 11,50</t>
        </r>
      </text>
    </comment>
    <comment ref="A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LITRO 11,40 TP 10,50 MARSH 14,20</t>
        </r>
      </text>
    </comment>
    <comment ref="A17" authorId="1" shapeId="0" xr:uid="{AE4CB2A2-CD6E-4637-B632-B7DDFCDF24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Marcio quem passa pedido</t>
      </text>
    </comment>
    <comment ref="A20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LITRO 7,50</t>
        </r>
      </text>
    </comment>
    <comment ref="A2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MARCIO QUE MANDA PEDIDO</t>
        </r>
      </text>
    </comment>
    <comment ref="A25" authorId="2" shapeId="0" xr:uid="{E7859108-0FF5-4044-8C40-23F9533F48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Marcio quem passa o pedido</t>
      </text>
    </comment>
    <comment ref="A27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MARCIO QUE MANDA PEDIDO</t>
        </r>
      </text>
    </comment>
    <comment ref="A28" authorId="3" shapeId="0" xr:uid="{28B64BC3-3C6A-452C-B9EF-A2257F3847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Marcio quem passa o pedido</t>
      </text>
    </comment>
    <comment ref="A29" authorId="4" shapeId="0" xr:uid="{644D3323-AD80-4F9D-8252-0490C6A10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Liga ou manda mensagem quando precisa</t>
      </text>
    </comment>
    <comment ref="A33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LITRO 7,80</t>
        </r>
      </text>
    </comment>
    <comment ref="A34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LITRO 8,50        TP 9,50             MARSH 13,00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tc={0019F4E4-A933-43AA-B4BF-548CBBE51EA7}</author>
    <author>Romica Brasil</author>
  </authors>
  <commentList>
    <comment ref="A8" authorId="0" shapeId="0" xr:uid="{0019F4E4-A933-43AA-B4BF-548CBBE51EA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</t>
      </text>
    </comment>
    <comment ref="A10" authorId="1" shapeId="0" xr:uid="{00000000-0006-0000-06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MARIO QUE PASSA O PEDIDO</t>
        </r>
      </text>
    </comment>
    <comment ref="A16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QUANDO PRECISA</t>
        </r>
      </text>
    </comment>
    <comment ref="A21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 xml:space="preserve">LITRO 14,00 </t>
        </r>
        <r>
          <rPr>
            <sz val="14"/>
            <color indexed="81"/>
            <rFont val="Tahoma"/>
            <family val="2"/>
          </rPr>
          <t xml:space="preserve">                                                  </t>
        </r>
        <r>
          <rPr>
            <b/>
            <sz val="14"/>
            <color indexed="81"/>
            <rFont val="Tahoma"/>
            <family val="2"/>
          </rPr>
          <t xml:space="preserve">MINI 8,20 </t>
        </r>
        <r>
          <rPr>
            <sz val="14"/>
            <color indexed="81"/>
            <rFont val="Tahoma"/>
            <family val="2"/>
          </rPr>
          <t xml:space="preserve">                                                          </t>
        </r>
        <r>
          <rPr>
            <b/>
            <sz val="14"/>
            <color indexed="81"/>
            <rFont val="Tahoma"/>
            <family val="2"/>
          </rPr>
          <t>COCO 250 7,00</t>
        </r>
        <r>
          <rPr>
            <sz val="14"/>
            <color indexed="81"/>
            <rFont val="Tahoma"/>
            <family val="2"/>
          </rPr>
          <t xml:space="preserve">
</t>
        </r>
        <r>
          <rPr>
            <b/>
            <sz val="14"/>
            <color indexed="81"/>
            <rFont val="Tahoma"/>
            <family val="2"/>
          </rPr>
          <t>COCO 500 11,90</t>
        </r>
        <r>
          <rPr>
            <sz val="14"/>
            <color indexed="81"/>
            <rFont val="Tahoma"/>
            <family val="2"/>
          </rPr>
          <t xml:space="preserve">                                    </t>
        </r>
        <r>
          <rPr>
            <b/>
            <sz val="14"/>
            <color indexed="81"/>
            <rFont val="Tahoma"/>
            <family val="2"/>
          </rPr>
          <t xml:space="preserve">MA1 26,00 </t>
        </r>
        <r>
          <rPr>
            <sz val="14"/>
            <color indexed="81"/>
            <rFont val="Tahoma"/>
            <family val="2"/>
          </rPr>
          <t xml:space="preserve">                                        </t>
        </r>
        <r>
          <rPr>
            <b/>
            <sz val="14"/>
            <color indexed="81"/>
            <rFont val="Tahoma"/>
            <family val="2"/>
          </rPr>
          <t xml:space="preserve">           MA2.2 48,00                               </t>
        </r>
        <r>
          <rPr>
            <sz val="14"/>
            <color indexed="81"/>
            <rFont val="Tahoma"/>
            <family val="2"/>
          </rPr>
          <t xml:space="preserve">                               MARSH 500 7,80
</t>
        </r>
        <r>
          <rPr>
            <b/>
            <sz val="14"/>
            <color indexed="81"/>
            <rFont val="Tahoma"/>
            <family val="2"/>
          </rPr>
          <t>QD PEDE NF É SIMBÓLICA</t>
        </r>
      </text>
    </comment>
    <comment ref="A22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Manda zap quando precisa preço 26,50</t>
        </r>
      </text>
    </comment>
    <comment ref="A23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LITRO 7,50                                                        MINI 4,00                                                                    COCO 7,50</t>
        </r>
      </text>
    </comment>
    <comment ref="A24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 xml:space="preserve">COCO </t>
        </r>
      </text>
    </comment>
    <comment ref="A27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LIGA QUANDO PRECISA                      D. ILMA                              
                                                           LITRO 7,20                                                          BEIJ B1KG 10,40
                                            AV. CILLOS 64 VL PAVAN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Romica Brasil</author>
    <author>tc={FF6D5C8A-B111-4F59-BA8E-37AC0A49AC5D}</author>
    <author>tc={3C7D48C0-601C-4CC7-A4B9-7E845CCEF2C5}</author>
    <author>tc={ED323240-5877-4CC5-8CC5-D2684F57C949}</author>
  </authors>
  <commentList>
    <comment ref="A7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entregava na ravan- buffet ravena e Bm- RMC</t>
        </r>
      </text>
    </comment>
    <comment ref="A8" authorId="1" shapeId="0" xr:uid="{FF6D5C8A-B111-4F59-BA8E-37AC0A49AC5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por email
</t>
      </text>
    </comment>
    <comment ref="A9" authorId="2" shapeId="0" xr:uid="{3C7D48C0-601C-4CC7-A4B9-7E845CCEF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Pedido por email</t>
      </text>
    </comment>
    <comment ref="A13" authorId="3" shapeId="0" xr:uid="{ED323240-5877-4CC5-8CC5-D2684F57C94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Cliente do Alexandre quando o cliente precisa ele quem passa o pedido
</t>
      </text>
    </comment>
    <comment ref="A20" authorId="0" shapeId="0" xr:uid="{00000000-0006-0000-0700-000002000000}">
      <text>
        <r>
          <rPr>
            <b/>
            <sz val="9"/>
            <color indexed="81"/>
            <rFont val="Segoe UI"/>
            <family val="2"/>
          </rPr>
          <t>Romica Brasil: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0"/>
            <color indexed="81"/>
            <rFont val="Segoe UI"/>
            <family val="2"/>
          </rPr>
          <t>Manda mensagem quando precisa</t>
        </r>
      </text>
    </comment>
    <comment ref="A2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LITRO 12,50 
COCO 7,40
MARSH 500 9,20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tc={106C4443-C539-4285-B45C-46556571C6F9}</author>
    <author>Romica Brasil</author>
    <author>tc={4E76972E-4145-4EE9-8499-DCBBBCDE1FB4}</author>
    <author>tc={AF5D80C2-0963-48D4-925D-835F87B28790}</author>
    <author>tc={4BB109B5-8299-438C-9E57-FE792DC552D3}</author>
  </authors>
  <commentList>
    <comment ref="A9" authorId="0" shapeId="0" xr:uid="{106C4443-C539-4285-B45C-46556571C6F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Liga ou manda mensagem quando precisa
</t>
      </text>
    </comment>
    <comment ref="A15" authorId="1" shapeId="0" xr:uid="{00000000-0006-0000-08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LITRO 7,10   MINI 4,30     MARSH 1  11,00            MARSH 500  7,00</t>
        </r>
      </text>
    </comment>
    <comment ref="A16" authorId="1" shapeId="0" xr:uid="{00000000-0006-0000-08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LITRO 8,90   
COCO 8,75                                                    MASSA 2.2 39,30</t>
        </r>
      </text>
    </comment>
    <comment ref="A17" authorId="1" shapeId="0" xr:uid="{00000000-0006-0000-08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LITRO 9,50</t>
        </r>
      </text>
    </comment>
    <comment ref="A18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>LITRO 7,50   COCO 8,80</t>
        </r>
      </text>
    </comment>
    <comment ref="A22" authorId="2" shapeId="0" xr:uid="{4E76972E-4145-4EE9-8499-DCBBBCDE1FB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
</t>
      </text>
    </comment>
    <comment ref="A33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MARCIO QUE MANDA PEDIDO</t>
        </r>
      </text>
    </comment>
    <comment ref="A35" authorId="3" shapeId="0" xr:uid="{AF5D80C2-0963-48D4-925D-835F87B28790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
</t>
      </text>
    </comment>
    <comment ref="A37" authorId="1" shapeId="0" xr:uid="{00000000-0006-0000-0800-000007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ZAP  REPÚBLICA MARCIO                                            LITRO 9,90</t>
        </r>
      </text>
    </comment>
    <comment ref="A42" authorId="4" shapeId="0" xr:uid="{4BB109B5-8299-438C-9E57-FE792DC552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 16,40 FR500 13,00 MARSH1 22,40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Romica Brasil</author>
  </authors>
  <commentList>
    <comment ref="A9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PEDIDO CHEGA POR EMAIL</t>
        </r>
      </text>
    </comment>
    <comment ref="A12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QUANDO PRECISA   PAGAMNETO VIA DEPOSITO LITRO 8,50</t>
        </r>
      </text>
    </comment>
    <comment ref="A1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MANDA ZAP QD PRECISA                   MINI  7,00 MARSH500 8,90
</t>
        </r>
      </text>
    </comment>
    <comment ref="A14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 LITRO 7,50</t>
        </r>
      </text>
    </comment>
    <comment ref="A23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MANDA ZAP PRO RONYE QD PRECISA                                            MA2.2    27,50</t>
        </r>
      </text>
    </comment>
    <comment ref="A24" authorId="0" shapeId="0" xr:uid="{00000000-0006-0000-0900-000006000000}">
      <text>
        <r>
          <rPr>
            <b/>
            <sz val="9"/>
            <color indexed="81"/>
            <rFont val="Segoe UI"/>
            <family val="2"/>
          </rPr>
          <t>Romica Brasil:</t>
        </r>
        <r>
          <rPr>
            <sz val="9"/>
            <color indexed="81"/>
            <rFont val="Segoe UI"/>
            <family val="2"/>
          </rPr>
          <t xml:space="preserve">
14,00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Romica Brasil</author>
    <author>tc={F38E8709-5B6B-4087-9F80-B755B3F93C15}</author>
    <author>tc={A26A0725-CA5E-4058-8F17-2B421E05CE19}</author>
  </authors>
  <commentList>
    <comment ref="A1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NO MEU EMAIL</t>
        </r>
      </text>
    </comment>
    <comment ref="A1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NO EMAIL DO RONYE TEM QUE  LIGAR PARA AGENDAR  A ENTREGA</t>
        </r>
      </text>
    </comment>
    <comment ref="A15" authorId="1" shapeId="0" xr:uid="{F38E8709-5B6B-4087-9F80-B755B3F93C1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mensagem quando precisa</t>
      </text>
    </comment>
    <comment ref="A16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13,50
8,40
17,00</t>
        </r>
      </text>
    </comment>
    <comment ref="A20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LITRO 8,00    SR. AUGUSTO       
                                                         AUMENTO 0,50</t>
        </r>
      </text>
    </comment>
    <comment ref="A2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4"/>
            <color indexed="81"/>
            <rFont val="Tahoma"/>
            <family val="2"/>
          </rPr>
          <t>19 99240-3591  15 DIAS  FR1 17,60 A VISTA</t>
        </r>
      </text>
    </comment>
    <comment ref="A22" authorId="2" shapeId="0" xr:uid="{A26A0725-CA5E-4058-8F17-2B421E05CE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Manda pedido quando precisa</t>
      </text>
    </comment>
    <comment ref="A24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QUANDO PRECISA</t>
        </r>
      </text>
    </comment>
    <comment ref="A25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MANDA ZAP QD PRECISA</t>
        </r>
      </text>
    </comment>
    <comment ref="A26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8,40</t>
        </r>
      </text>
    </comment>
    <comment ref="A28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MASSA 2.2 31,90                               SEMI- 29,00</t>
        </r>
      </text>
    </comment>
    <comment ref="A33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Romica Brasil:</t>
        </r>
        <r>
          <rPr>
            <sz val="9"/>
            <color indexed="81"/>
            <rFont val="Tahoma"/>
            <family val="2"/>
          </rPr>
          <t xml:space="preserve">
CARIOCA</t>
        </r>
      </text>
    </comment>
  </commentList>
</comments>
</file>

<file path=xl/sharedStrings.xml><?xml version="1.0" encoding="utf-8"?>
<sst xmlns="http://schemas.openxmlformats.org/spreadsheetml/2006/main" count="994" uniqueCount="391">
  <si>
    <t>Litros</t>
  </si>
  <si>
    <t>Mini</t>
  </si>
  <si>
    <t>Tetra</t>
  </si>
  <si>
    <t>Jundmel</t>
  </si>
  <si>
    <t>Pão de Queijo</t>
  </si>
  <si>
    <t>Ovo</t>
  </si>
  <si>
    <t>Gema</t>
  </si>
  <si>
    <t>Clara</t>
  </si>
  <si>
    <t>DD/MM/AA</t>
  </si>
  <si>
    <t>SAÍDA</t>
  </si>
  <si>
    <t>RETORNO</t>
  </si>
  <si>
    <t>TROCAS</t>
  </si>
  <si>
    <t>NF/ Vale</t>
  </si>
  <si>
    <t>TOTAL</t>
  </si>
  <si>
    <t>OBSERVAÇÃO</t>
  </si>
  <si>
    <t>SUZANA</t>
  </si>
  <si>
    <t>MARCIO</t>
  </si>
  <si>
    <t>STA EFIGENIA*</t>
  </si>
  <si>
    <t>BASSANO PAMPLONA*</t>
  </si>
  <si>
    <t>TU CHE SAE*</t>
  </si>
  <si>
    <t>REPÚBLICA REST</t>
  </si>
  <si>
    <t>CLIENTE</t>
  </si>
  <si>
    <t>VENDAS</t>
  </si>
  <si>
    <t>Fresco 250g</t>
  </si>
  <si>
    <t>Fresco 500g</t>
  </si>
  <si>
    <t>Fresco 1kg</t>
  </si>
  <si>
    <t>Seco Fino</t>
  </si>
  <si>
    <t>Seco Flocos</t>
  </si>
  <si>
    <t>Marsh 500g</t>
  </si>
  <si>
    <t>Marsh 1kg</t>
  </si>
  <si>
    <t>Massa 1kg</t>
  </si>
  <si>
    <t>Massa 2.2kg</t>
  </si>
  <si>
    <t>Semi-Folhada 2kg</t>
  </si>
  <si>
    <t>Brig PT 1kg</t>
  </si>
  <si>
    <t>Beij PT 1kg</t>
  </si>
  <si>
    <t>Brig PT 2kg</t>
  </si>
  <si>
    <t>Beij PT 2kg</t>
  </si>
  <si>
    <t>Brig Cl 1kg</t>
  </si>
  <si>
    <t>Beij Cl 1kg</t>
  </si>
  <si>
    <t>CARRO:</t>
  </si>
  <si>
    <t>PLACA:</t>
  </si>
  <si>
    <t>NÃO ESQUECER PAPELÃO</t>
  </si>
  <si>
    <t>VENDEDOR</t>
  </si>
  <si>
    <t>DULCA*</t>
  </si>
  <si>
    <t>A VISTA</t>
  </si>
  <si>
    <t>REPÚBLICA REST (15)</t>
  </si>
  <si>
    <t>SAMPA CAFÉ</t>
  </si>
  <si>
    <t>MARIO</t>
  </si>
  <si>
    <t>KILOUKURA* (15)</t>
  </si>
  <si>
    <t>FENICIA (15)*</t>
  </si>
  <si>
    <t>LAPORTES SCS*</t>
  </si>
  <si>
    <t>SODIÊ CILLOS</t>
  </si>
  <si>
    <t>FRIOS REZENDE</t>
  </si>
  <si>
    <t>MORI*</t>
  </si>
  <si>
    <t>BOM QUEIJO*</t>
  </si>
  <si>
    <t>CONVENIENCIA ITUPEVA</t>
  </si>
  <si>
    <t>PADARIA PORTUGA</t>
  </si>
  <si>
    <t xml:space="preserve">VITAEM - ITAPECIRICA DA SERRA </t>
  </si>
  <si>
    <t>CHAMA 12 - OSASCO*</t>
  </si>
  <si>
    <t>CHAMA 4 - CARAPICUIBA*</t>
  </si>
  <si>
    <t>LAVILLE*</t>
  </si>
  <si>
    <t>TIA BENA</t>
  </si>
  <si>
    <t>COMERCIAL LUZIA MEIRE*</t>
  </si>
  <si>
    <t>CAMP TORTAS</t>
  </si>
  <si>
    <t>MUINO PEPE 2(15)*</t>
  </si>
  <si>
    <t>MUINO PEPE 1 (15)*</t>
  </si>
  <si>
    <t>DOCE MELADO (15)</t>
  </si>
  <si>
    <t>PERUS</t>
  </si>
  <si>
    <t>VALE</t>
  </si>
  <si>
    <t>CUNHA E PARENTES (COTIA) LJ 5</t>
  </si>
  <si>
    <t>CUNHA E PARENTES (COTIA) LJ 1</t>
  </si>
  <si>
    <t>Mel 500</t>
  </si>
  <si>
    <t>LAPORTES CAMPESTRE STO ANDRÉ*</t>
  </si>
  <si>
    <t>PANORAMA</t>
  </si>
  <si>
    <t>ARLECCHINO</t>
  </si>
  <si>
    <t>ARVORE FRUTÍFERA</t>
  </si>
  <si>
    <t>LORENATUR R. OTÁVIO NÉBIAS 265 PARAÍSO.</t>
  </si>
  <si>
    <t>BOULEVARD ( 15)</t>
  </si>
  <si>
    <t>CAPELINE (15)</t>
  </si>
  <si>
    <t>AQUARELA (15)</t>
  </si>
  <si>
    <t>MEL PRAZERES</t>
  </si>
  <si>
    <t>VALE DA GRAÇA</t>
  </si>
  <si>
    <t>JUDOCE</t>
  </si>
  <si>
    <t xml:space="preserve">COLMÉIA </t>
  </si>
  <si>
    <t>LEILA (15)</t>
  </si>
  <si>
    <t xml:space="preserve">NATIVIDADE (15) </t>
  </si>
  <si>
    <t>DOCES ABC (15)</t>
  </si>
  <si>
    <t>PALETERIA ( AMERICANA)</t>
  </si>
  <si>
    <t xml:space="preserve">NONO PAOLO </t>
  </si>
  <si>
    <t>PAD. JD CARPAS (JDÍ COLÔNIA)(20D)</t>
  </si>
  <si>
    <t>D. MARIA JOSÉ (15) ( ABC)</t>
  </si>
  <si>
    <t xml:space="preserve">ORIENTE EXPRESS </t>
  </si>
  <si>
    <t xml:space="preserve">ROSA GOURMET </t>
  </si>
  <si>
    <t>6 AS 15 HRS</t>
  </si>
  <si>
    <t>6 AS 16 HRS</t>
  </si>
  <si>
    <t xml:space="preserve">SHIRROS </t>
  </si>
  <si>
    <t xml:space="preserve">MYRTES  </t>
  </si>
  <si>
    <t>AV. DO TABOÃO 3890 VL SANTA LUZIA SÃO BER.CAMP</t>
  </si>
  <si>
    <t>RUA BOGOTÁ 319 JD. DAS NAÇOES DIADEMA</t>
  </si>
  <si>
    <t>R. MANOEL MAXIMINO DA ROSA 108 CENTRO  ITAP. SERRA</t>
  </si>
  <si>
    <t xml:space="preserve">MARG. ROD. RAPOSO TAVARES 22 GRANJA VIANA </t>
  </si>
  <si>
    <t>ANOTAR POR FAVOR:</t>
  </si>
  <si>
    <t>DINHEIRO:</t>
  </si>
  <si>
    <t>CHEQUE:</t>
  </si>
  <si>
    <t>ZULEIKAS DOCES END. ENTREGA RUA D. EUGÊNIA 775 SÃO DIMAS PIRACICABA EM FRENTE FRIOS E CIA</t>
  </si>
  <si>
    <t>KIORELLE DOCERIA</t>
  </si>
  <si>
    <t>RUA ANGELA PALMA GUARTIERI 602 SÃO JUDAS TADEU</t>
  </si>
  <si>
    <t>AV. FRANCISCO DE PAULA LEITE 1901 JD NOVA INDAIA</t>
  </si>
  <si>
    <t>VITAEM DOCES - INDAIATUBA</t>
  </si>
  <si>
    <t>RUA DR. ÉLTON CESAR 441 CHACARA CAMPOS DOS AMARAIS</t>
  </si>
  <si>
    <t>PAD. VALINHENSE- VALINHOS ( MENSAL)</t>
  </si>
  <si>
    <t>RUA VITÓRIA RÉGIAS 639</t>
  </si>
  <si>
    <t>RUA SETE DE SETEMBRO 173 CENTRO</t>
  </si>
  <si>
    <t xml:space="preserve">RUA OLAVO BILAC 28 CAMBUÍ </t>
  </si>
  <si>
    <t>PUBLIC LJ 02</t>
  </si>
  <si>
    <t>PUBLIC LJ 03</t>
  </si>
  <si>
    <t>PUBLIC LJ 04</t>
  </si>
  <si>
    <t>PUBLIC LJ 05</t>
  </si>
  <si>
    <t>PUBLIC LJ 06</t>
  </si>
  <si>
    <t>PUBLIC LJ 11</t>
  </si>
  <si>
    <t>PUBLIC LJ 01</t>
  </si>
  <si>
    <t>PUBLIC LJ 07</t>
  </si>
  <si>
    <t>PUBLIC LJ 09</t>
  </si>
  <si>
    <t>PUBLIC LJ 12</t>
  </si>
  <si>
    <r>
      <t>ARROBA</t>
    </r>
    <r>
      <rPr>
        <sz val="16"/>
        <color rgb="FFFF0000"/>
        <rFont val="Arial"/>
        <family val="2"/>
      </rPr>
      <t xml:space="preserve"> ( COMER. UTILIDA. DOMEST...)</t>
    </r>
  </si>
  <si>
    <t xml:space="preserve">ACG XAVIER (15)*  </t>
  </si>
  <si>
    <t xml:space="preserve">EVERSON  * </t>
  </si>
  <si>
    <r>
      <t>PÃO PURO *</t>
    </r>
    <r>
      <rPr>
        <sz val="16"/>
        <color rgb="FFFF0000"/>
        <rFont val="Arial"/>
        <family val="2"/>
      </rPr>
      <t xml:space="preserve"> </t>
    </r>
  </si>
  <si>
    <t>VIA PAULISTA*</t>
  </si>
  <si>
    <t>AV. JOSÉ ALVEZS DE OLIVEIRA 100 DISTR. INDUSTRIAL JDÍ</t>
  </si>
  <si>
    <t>PADARIA BIENAL - MORUMBI Nº 486</t>
  </si>
  <si>
    <t>RUA SACRAMENTO 685 REF. TRAVESSA OROSIMBO MAIA.</t>
  </si>
  <si>
    <t>PADARIA SACRAMENTO - CAMPINAS</t>
  </si>
  <si>
    <t xml:space="preserve">CONDOCURA </t>
  </si>
  <si>
    <t>TIFFIN PEDIDO</t>
  </si>
  <si>
    <t>CLIENTES  QUE O MARCIO PASSA QUE EU NÃO LIGO</t>
  </si>
  <si>
    <t>HIGAS 7 SAPOPEMBA*</t>
  </si>
  <si>
    <t>BELLA PTA*</t>
  </si>
  <si>
    <t>GALERIA*</t>
  </si>
  <si>
    <t>CHAMA 10 ARICANDUVA*</t>
  </si>
  <si>
    <t>CHAMA 13 CENTENÁRIO*</t>
  </si>
  <si>
    <t>CHAMA 9 SANTO ANDRÉ*</t>
  </si>
  <si>
    <t>CHAMA 3 MATILDE*</t>
  </si>
  <si>
    <t>CHAMA 7 JD. STA MARIA*</t>
  </si>
  <si>
    <t>CHAMA 8 JD. BRASILIA*</t>
  </si>
  <si>
    <t>LUZ CAMERA BURGUER ( VL MARIANA)*</t>
  </si>
  <si>
    <t>CHAMA 14 TATUAPÉ*</t>
  </si>
  <si>
    <t>CHAMA 15 MOOCA*</t>
  </si>
  <si>
    <t>CHAMA 16 AGUA RASA*</t>
  </si>
  <si>
    <t>CHAMA 5 JD. DANFER*</t>
  </si>
  <si>
    <t>CHAMA 2 HAIA*</t>
  </si>
  <si>
    <t>CHAMA 17 GUARULHOS*</t>
  </si>
  <si>
    <t>HIGAS 5 NORDESTINA*</t>
  </si>
  <si>
    <t>HIGAS 2 TIBURCIO*</t>
  </si>
  <si>
    <t>HIGAS 3 SILVA TELLES*</t>
  </si>
  <si>
    <t>HIGAS 1 ROBRÚ*</t>
  </si>
  <si>
    <t>HIGAS 6 ITAQUÁ*</t>
  </si>
  <si>
    <t>HIGAS 4 BARREIRA GND*</t>
  </si>
  <si>
    <t>FAZENDA DOS PAES</t>
  </si>
  <si>
    <t>COVABRA*- SUMARÉ</t>
  </si>
  <si>
    <t>GERALDO PACHECO*- LIMEIRA</t>
  </si>
  <si>
    <t>AMERIPAM FESTAS* - CAMPINAS</t>
  </si>
  <si>
    <t>HOTEL MALIBUINN*- CAMPINAS</t>
  </si>
  <si>
    <t>REST.MACAXEIRA* - CAMBUI CAMPINAS(15)</t>
  </si>
  <si>
    <t>SUP. LOUVEIRA STO ANTONIO*</t>
  </si>
  <si>
    <r>
      <rPr>
        <b/>
        <sz val="16"/>
        <rFont val="Arial"/>
        <family val="2"/>
      </rPr>
      <t>ADORA DOCES</t>
    </r>
    <r>
      <rPr>
        <sz val="16"/>
        <rFont val="Arial"/>
        <family val="2"/>
      </rPr>
      <t xml:space="preserve"> ALAMEDA CAMPINAS 1253</t>
    </r>
  </si>
  <si>
    <r>
      <rPr>
        <b/>
        <sz val="16"/>
        <rFont val="Arial"/>
        <family val="2"/>
      </rPr>
      <t>EURO PÃO</t>
    </r>
    <r>
      <rPr>
        <sz val="16"/>
        <rFont val="Arial"/>
        <family val="2"/>
      </rPr>
      <t xml:space="preserve"> (15) RUA LEITE FERRAZ 231 VL MARIANA</t>
    </r>
  </si>
  <si>
    <r>
      <rPr>
        <b/>
        <sz val="16"/>
        <rFont val="Arial"/>
        <family val="2"/>
      </rPr>
      <t>MR. DINO</t>
    </r>
    <r>
      <rPr>
        <sz val="16"/>
        <rFont val="Arial"/>
        <family val="2"/>
      </rPr>
      <t xml:space="preserve"> (15) RUA BOTUCATU 601 VL CLEMENTINO</t>
    </r>
  </si>
  <si>
    <t>PUBLIC LJ 14</t>
  </si>
  <si>
    <t>PUBLIC LJ 15</t>
  </si>
  <si>
    <t>LAHAN*</t>
  </si>
  <si>
    <r>
      <rPr>
        <b/>
        <sz val="16"/>
        <rFont val="Arial"/>
        <family val="2"/>
      </rPr>
      <t>NOSSA FESTA PASSAR</t>
    </r>
    <r>
      <rPr>
        <sz val="16"/>
        <rFont val="Arial"/>
        <family val="2"/>
      </rPr>
      <t xml:space="preserve"> AV.INCONFIDENCIA MINEIRA 438 VL RICA</t>
    </r>
  </si>
  <si>
    <t>HIGAS 8 ITAQUERA*</t>
  </si>
  <si>
    <t>BELLA JULLY - OSASCO* RMC</t>
  </si>
  <si>
    <t>PAD.PRIMICIAS AS PÃES*RMC</t>
  </si>
  <si>
    <t>RUA AROEIRAS 632 2ª TRAVE. DOM PEDRO STO. ANDRÉ</t>
  </si>
  <si>
    <t>NIPOLITANA ( ALC)(15)</t>
  </si>
  <si>
    <t>BIENAL (15)</t>
  </si>
  <si>
    <t>PADARIA VIÇOSA - CARAPICUIBA</t>
  </si>
  <si>
    <t>RUA SEBASTIÃO PACHECO 169 SÃO BERNARDO</t>
  </si>
  <si>
    <r>
      <rPr>
        <b/>
        <sz val="16"/>
        <rFont val="Arial"/>
        <family val="2"/>
      </rPr>
      <t>LEIDIANE</t>
    </r>
    <r>
      <rPr>
        <sz val="16"/>
        <rFont val="Arial"/>
        <family val="2"/>
      </rPr>
      <t xml:space="preserve"> (15) RUA DONA HELOA DO VALLE QUADROS 3 CIDADE TIRADENTES</t>
    </r>
  </si>
  <si>
    <t>PAD. RAINHA DO MUTINGA - OSASCO*RMC RECEB. ATÉ AS 11 HRS</t>
  </si>
  <si>
    <r>
      <rPr>
        <b/>
        <sz val="16"/>
        <rFont val="Arial"/>
        <family val="2"/>
      </rPr>
      <t>XAVIER</t>
    </r>
    <r>
      <rPr>
        <sz val="16"/>
        <rFont val="Arial"/>
        <family val="2"/>
      </rPr>
      <t xml:space="preserve"> (15) RUA PAUVA 336 VL JAQUARA</t>
    </r>
  </si>
  <si>
    <t>SANDRA - PIRACICABA</t>
  </si>
  <si>
    <r>
      <rPr>
        <b/>
        <sz val="16"/>
        <rFont val="Arial"/>
        <family val="2"/>
      </rPr>
      <t>NM EMBALAGENS</t>
    </r>
    <r>
      <rPr>
        <sz val="16"/>
        <rFont val="Arial"/>
        <family val="2"/>
      </rPr>
      <t xml:space="preserve"> AV. SOUZA BANDEIRA 589</t>
    </r>
  </si>
  <si>
    <t xml:space="preserve"> 0,40L - 0,20 MINI</t>
  </si>
  <si>
    <r>
      <t>OVO 9,00 CLARA 9,90</t>
    </r>
    <r>
      <rPr>
        <sz val="12"/>
        <color rgb="FFFF0000"/>
        <rFont val="Arial"/>
        <family val="2"/>
      </rPr>
      <t xml:space="preserve"> GEMA 15,60</t>
    </r>
  </si>
  <si>
    <t>PASSAR AUMENTO</t>
  </si>
  <si>
    <t>OK 0,20  SETEMBRO 7,30</t>
  </si>
  <si>
    <t>IRENE SALGADOS - SÃO BERNARDO</t>
  </si>
  <si>
    <t>JULIANA - RUA MINAS GERAIS</t>
  </si>
  <si>
    <r>
      <t xml:space="preserve">AMERIPAM FESTAS*- INDAIATUBA </t>
    </r>
    <r>
      <rPr>
        <sz val="16"/>
        <color rgb="FFFF0000"/>
        <rFont val="Arial"/>
        <family val="2"/>
      </rPr>
      <t>ENTREGA RUA INDAIAS 489 JD STA CRUZ</t>
    </r>
  </si>
  <si>
    <t>Litros Chantilly</t>
  </si>
  <si>
    <t>Mini Chantilly</t>
  </si>
  <si>
    <t>Litro chantilly</t>
  </si>
  <si>
    <t>Mini chantilly</t>
  </si>
  <si>
    <t>*</t>
  </si>
  <si>
    <t>DOCERIA GUAXUPÉ</t>
  </si>
  <si>
    <r>
      <t xml:space="preserve">INÊS STO ANDRÉ (ABC) </t>
    </r>
    <r>
      <rPr>
        <sz val="16"/>
        <color rgb="FFFF0000"/>
        <rFont val="Arial"/>
        <family val="2"/>
      </rPr>
      <t>CRED.4 REAIS</t>
    </r>
  </si>
  <si>
    <t>ALBARCE LJ 2</t>
  </si>
  <si>
    <t>ALBARCE LJ 3</t>
  </si>
  <si>
    <t>ALBARCE LJ 4</t>
  </si>
  <si>
    <t>ALBARCE LJ 1 ( ATE AS 10 HRS)</t>
  </si>
  <si>
    <t>PUBLIC LJ 10</t>
  </si>
  <si>
    <t xml:space="preserve">CHIPS*15 AV. NOVE DE JULHO 853 POÁ </t>
  </si>
  <si>
    <t>ANTIGO SETOR TERÇA</t>
  </si>
  <si>
    <t>SUP. MIRASSOL (15)*</t>
  </si>
  <si>
    <t>Tp Cul.</t>
  </si>
  <si>
    <t>RESTAURANTES</t>
  </si>
  <si>
    <t xml:space="preserve">MADRUGAS COMIDA MEXICANA -ZN SUL </t>
  </si>
  <si>
    <t>PLATAFORMA* - BARUERI ( P/ 8:30)</t>
  </si>
  <si>
    <t>CLAUDIA MORATO</t>
  </si>
  <si>
    <t>RUA GUARAU 159 MIRANDÓPOLIS</t>
  </si>
  <si>
    <t>DOCIÊ 7:30</t>
  </si>
  <si>
    <t>KOALA 9:00</t>
  </si>
  <si>
    <t>RAFAEL JD DANFER</t>
  </si>
  <si>
    <r>
      <t>BRANCA* 15</t>
    </r>
    <r>
      <rPr>
        <sz val="16"/>
        <color rgb="FFFF0000"/>
        <rFont val="Arial"/>
        <family val="2"/>
      </rPr>
      <t xml:space="preserve"> 11,90 E 6,70</t>
    </r>
  </si>
  <si>
    <t>Molho</t>
  </si>
  <si>
    <t>ANDALUZA ( ATÉ AS 12:00 HRS)</t>
  </si>
  <si>
    <t>BELLA PTA* CNPJ NOVO</t>
  </si>
  <si>
    <t>OK</t>
  </si>
  <si>
    <r>
      <t>MISTER DONUTS*RMC</t>
    </r>
    <r>
      <rPr>
        <sz val="16"/>
        <color rgb="FFFF0000"/>
        <rFont val="Arial"/>
        <family val="2"/>
      </rPr>
      <t xml:space="preserve"> </t>
    </r>
  </si>
  <si>
    <r>
      <t xml:space="preserve"> </t>
    </r>
    <r>
      <rPr>
        <sz val="16"/>
        <rFont val="Arial"/>
        <family val="2"/>
      </rPr>
      <t xml:space="preserve">RUA PEDRO COELHO 83 CHACARAS FAZENDA COELHO </t>
    </r>
  </si>
  <si>
    <r>
      <rPr>
        <sz val="16"/>
        <color rgb="FFFF0000"/>
        <rFont val="Arial"/>
        <family val="2"/>
      </rPr>
      <t xml:space="preserve"> </t>
    </r>
    <r>
      <rPr>
        <sz val="16"/>
        <rFont val="Arial"/>
        <family val="2"/>
      </rPr>
      <t>RUA ERCÍLIA MARTINS CRUZ 147/216 VL NOVA</t>
    </r>
  </si>
  <si>
    <t>Fresco 500g Fino</t>
  </si>
  <si>
    <t>CLAUDIO - AVENIDA GONÇALO MADEIRA 153 BAIRRO JAGUARÉ</t>
  </si>
  <si>
    <r>
      <t>FUND. MOLESTIAS*</t>
    </r>
    <r>
      <rPr>
        <b/>
        <sz val="16"/>
        <color rgb="FFFF0000"/>
        <rFont val="Arial"/>
        <family val="2"/>
      </rPr>
      <t xml:space="preserve"> </t>
    </r>
  </si>
  <si>
    <t>CENTER PÃES MORUMBI - TUKA</t>
  </si>
  <si>
    <t>HOTEL EL DOURADO - ATIBAIA</t>
  </si>
  <si>
    <t>PADARIA BIENAL MORUMBI ( LIDER DO PARQUE)</t>
  </si>
  <si>
    <t xml:space="preserve">CAMANDUCAIA LAT.* </t>
  </si>
  <si>
    <t>DOCERIA DELICIA - RUA SILVA BUENO 1792 IPIRANGA</t>
  </si>
  <si>
    <t>PADARIA MARIA FILÓ - AV DOS EUCALIPTOS 683 INDIANÓPOLIS</t>
  </si>
  <si>
    <t>PADARIA LATINE - RUA JOAQUIM FLORIANO 768 ITAIM BIBI</t>
  </si>
  <si>
    <t>ALPES CONFEITARIA- AV. CEL SEZEFREDO FAGUNDES 1763 VILA CACHOEIRA</t>
  </si>
  <si>
    <t>D´LEITE FESTAS E CONFEI.- AV JOÃO XXIII 564 VILA FORMOSA</t>
  </si>
  <si>
    <t>VERA BOLEIRA (ABC) RUA LAS PALMAS 139 SANTO ANDRÉ</t>
  </si>
  <si>
    <t xml:space="preserve">DORA BOLEIRA ( ABC) (15) RUA SANTA ISABEL 78 CENTRO DIADEMA </t>
  </si>
  <si>
    <t>ROMA  9:00 PRAÇA MAJOR GUILHERME BARBOSA 27</t>
  </si>
  <si>
    <t>SABOR E DELÍCIAS (FERNANDO) RUA MANDUBIRÁ 180 JD PANORAMA</t>
  </si>
  <si>
    <t xml:space="preserve">SOLANGE  - RUA SALDANHA MARINHO 29 CENTRO ITAPIRA            </t>
  </si>
  <si>
    <t xml:space="preserve">ARACI - AV.MONTE SIÃO 920 BELA VISTA AGUAS DE LINDÓIA              </t>
  </si>
  <si>
    <t>DELICIAS DA VOVÓ - RUA EUCLIDES T PIZZA 78 JD ZANIBONI MOGI GUAÇU</t>
  </si>
  <si>
    <t>D. VERA -CAMPINAS (15) RUA ANGELA PALMA GUARTIERI 602 SÃO JUDAS TADEU</t>
  </si>
  <si>
    <t>CIDINHA BOLOS- LOUVEIRA RUA ERCILIA MARTINS CRUZ 147 VL NOVA</t>
  </si>
  <si>
    <t>DOCERIA GUIBELE - PROX. CHAMA 7 E 8 RUA CANANGA 107 JD ELIANE</t>
  </si>
  <si>
    <t>ÇÁ VÁ - JUNTO COM O PRESIDENT</t>
  </si>
  <si>
    <t xml:space="preserve">PUBLIC LJ 16 </t>
  </si>
  <si>
    <t>PUBLIC LJ 18 ( PERTO ROMA)</t>
  </si>
  <si>
    <t>TROPI - JDÍ</t>
  </si>
  <si>
    <t>PAD. DELÍCIA ( 15) AV.VILA EMA 426 VL PRUDENTE</t>
  </si>
  <si>
    <r>
      <t>R MOTA PASSAR( 15) RUA</t>
    </r>
    <r>
      <rPr>
        <sz val="16"/>
        <color rgb="FFFF0000"/>
        <rFont val="Arial"/>
        <family val="2"/>
      </rPr>
      <t xml:space="preserve"> </t>
    </r>
    <r>
      <rPr>
        <sz val="16"/>
        <rFont val="Arial"/>
        <family val="2"/>
      </rPr>
      <t xml:space="preserve"> ALMERANTE ALEXANDRINO 39 </t>
    </r>
  </si>
  <si>
    <t>ALFONSO RUA CAPITÃO PACHECO E CHAVES 938/942 VL PRUDENTE</t>
  </si>
  <si>
    <t>LAVILLE* 16,00</t>
  </si>
  <si>
    <t>M&amp;G BOLOS AV. ULISSES GUIMARÃES 2127 VILA GUILHERME - FRANCISO MORATO</t>
  </si>
  <si>
    <t xml:space="preserve">TOLLOCOS* </t>
  </si>
  <si>
    <t xml:space="preserve">MERCADO CORIOLANO* </t>
  </si>
  <si>
    <r>
      <t>GENOVA*</t>
    </r>
    <r>
      <rPr>
        <sz val="16"/>
        <color rgb="FFFF0000"/>
        <rFont val="Arial"/>
        <family val="2"/>
      </rPr>
      <t xml:space="preserve"> </t>
    </r>
  </si>
  <si>
    <t xml:space="preserve">SALAMINHO (15)*  </t>
  </si>
  <si>
    <t xml:space="preserve">VILA COLMÉIA I * </t>
  </si>
  <si>
    <t>TIFFIN*</t>
  </si>
  <si>
    <t xml:space="preserve">CINEMA ( AV. PTA)* </t>
  </si>
  <si>
    <t xml:space="preserve">RESTAURANTE PRESIDENT* RUA CONSOLAÇÃO 3676 MESMA RUA POREM UM POUCO MAIS A BAIXO </t>
  </si>
  <si>
    <r>
      <rPr>
        <sz val="16"/>
        <rFont val="Arial"/>
        <family val="2"/>
      </rPr>
      <t>FLOR DAS AMÉRICAS ( ATÉ AS 11).*15</t>
    </r>
    <r>
      <rPr>
        <sz val="16"/>
        <color rgb="FFFF0000"/>
        <rFont val="Arial"/>
        <family val="2"/>
      </rPr>
      <t xml:space="preserve"> </t>
    </r>
  </si>
  <si>
    <t xml:space="preserve">BUFFET YANO* ( REC.8 AS 11/2:30 AS 16) </t>
  </si>
  <si>
    <r>
      <t>TUHU RESTAURANTE*</t>
    </r>
    <r>
      <rPr>
        <b/>
        <sz val="16"/>
        <rFont val="Arial"/>
        <family val="2"/>
      </rPr>
      <t xml:space="preserve"> 7 AS 11:30 </t>
    </r>
  </si>
  <si>
    <t>JAGUARÉ (15)*</t>
  </si>
  <si>
    <t xml:space="preserve">PAD. MARIA LUIZA* 15 </t>
  </si>
  <si>
    <t xml:space="preserve">MASSAS UNIVERSO* - HORTOLANDIA RE. 8 AS 11 DAS 13 AS 16 </t>
  </si>
  <si>
    <r>
      <t>MR BEY*</t>
    </r>
    <r>
      <rPr>
        <sz val="16"/>
        <color rgb="FFFF0000"/>
        <rFont val="Arial"/>
        <family val="2"/>
      </rPr>
      <t xml:space="preserve"> </t>
    </r>
  </si>
  <si>
    <t>CURRUPIRA GRILL ROD. GERALDO DIAS 1508 LEITÃO</t>
  </si>
  <si>
    <t>SABOR E DELÍCIAS (FERNANDO) RUA MANDUBIRÁ 180 JD. PANORAMA</t>
  </si>
  <si>
    <r>
      <t>ENXUTO*- CAMPINAS (</t>
    </r>
    <r>
      <rPr>
        <b/>
        <sz val="16"/>
        <rFont val="Arial"/>
        <family val="2"/>
      </rPr>
      <t>MANDAR SEMPRE MESMA DATA)</t>
    </r>
  </si>
  <si>
    <t>VIVENDA VISTA VERDE*</t>
  </si>
  <si>
    <t>PADARIA MIX - VINHEDO RUA EDUETA 5535</t>
  </si>
  <si>
    <t>DOCEIRA AMARANTE</t>
  </si>
  <si>
    <t xml:space="preserve">CHOPERIA ZANGÃO SCS </t>
  </si>
  <si>
    <t>BOLEIRA VILMA (15) RUA SILVA GUIMARÃES 536 VL GUSTAVO CAMPANHIA 3 ENTREGAR PARA LIA</t>
  </si>
  <si>
    <t>BAKERHOUSE ( LUZ)*</t>
  </si>
  <si>
    <t>MEX CO ( QUINTAL DOS ZOUTROS) RUA MARABU 124</t>
  </si>
  <si>
    <t>PUBLIC LJ 17 - NUMERO 3.000</t>
  </si>
  <si>
    <t>LA MEXICANA* ENTREGA RUA COMENDADOR MIGUEL CALFAT 642</t>
  </si>
  <si>
    <r>
      <t xml:space="preserve">HORTIFRUTI FENOLLI -  </t>
    </r>
    <r>
      <rPr>
        <b/>
        <sz val="16"/>
        <rFont val="Arial"/>
        <family val="2"/>
      </rPr>
      <t>PROCURAR ANTONIO</t>
    </r>
    <r>
      <rPr>
        <sz val="16"/>
        <rFont val="Arial"/>
        <family val="2"/>
      </rPr>
      <t xml:space="preserve"> TRAVESSA MURACATI  102 PQ SÃO DOMINGOS</t>
    </r>
  </si>
  <si>
    <t>PRISCILA PIRACICABA</t>
  </si>
  <si>
    <t>VILLA DE PANNE</t>
  </si>
  <si>
    <t>RUA PINTO FERRAZ 83 SÃO CAE. SUL</t>
  </si>
  <si>
    <t xml:space="preserve">GIKOVATE* 6:30 AS 12  </t>
  </si>
  <si>
    <t>SUP. BIAZOTO - ESPIRITO STO DO PINHAL R. Ver. Estevo de Filipi, 65 - Parque da Figueira</t>
  </si>
  <si>
    <t xml:space="preserve">ANTONIO- RUA AGUA COMPRIDA 410 JD FRANÇA ZONA NORTE </t>
  </si>
  <si>
    <t>MILENIO (ABC) RUA JOAO MIGLIANI 155 SÃO CAE. SUL</t>
  </si>
  <si>
    <t>MR DONUTS SANTO ANDRÉ</t>
  </si>
  <si>
    <t>CAPO RIZZI</t>
  </si>
  <si>
    <r>
      <t xml:space="preserve">MARANHÃO </t>
    </r>
    <r>
      <rPr>
        <b/>
        <sz val="16"/>
        <rFont val="Arial"/>
        <family val="2"/>
      </rPr>
      <t>QR CODE PGTO SÓ PIX</t>
    </r>
  </si>
  <si>
    <t>RECANTO PARAISO HOTEL  ATÉ 11 HORAS</t>
  </si>
  <si>
    <t>LEIDIANE</t>
  </si>
  <si>
    <t>LOJA NOVA</t>
  </si>
  <si>
    <r>
      <t xml:space="preserve">CHAMA 8 JD. BRASILIA* </t>
    </r>
    <r>
      <rPr>
        <b/>
        <sz val="16"/>
        <color rgb="FFFF0000"/>
        <rFont val="Arial"/>
        <family val="2"/>
      </rPr>
      <t>FÁBRICA</t>
    </r>
  </si>
  <si>
    <t>BIA BRIGADEIRO*</t>
  </si>
  <si>
    <t>GINO</t>
  </si>
  <si>
    <t>FLOR DE COIMBRA Estr. de Itapecerica, 3947 - Vila Maracana</t>
  </si>
  <si>
    <t>PUBLIC LJ 13 ( PERTO D. DORA)</t>
  </si>
  <si>
    <t>PUBLIC LJ 22 ( COTIA)</t>
  </si>
  <si>
    <t>PUBLIC LJ 20 ( PERTO LOJA 12)</t>
  </si>
  <si>
    <t xml:space="preserve"> AVENIDA GONÇALO MADEIRA 153 BAIRRO JAGUARÉ</t>
  </si>
  <si>
    <r>
      <t>ALEXANDRE -</t>
    </r>
    <r>
      <rPr>
        <sz val="16"/>
        <color rgb="FFFF0000"/>
        <rFont val="Arial"/>
        <family val="2"/>
      </rPr>
      <t>RUA JOAQUIM  FELICIO 21 JD IMPERADOR</t>
    </r>
  </si>
  <si>
    <t>GILMAR - IPIRANGA RUA CLEMENTE PEREIRA 314 CASA 1</t>
  </si>
  <si>
    <t>PUBLIC LJ 25</t>
  </si>
  <si>
    <t>PUBLIC LJ 24 ( PERTO HIGAS 10 MAUÁ)</t>
  </si>
  <si>
    <t>PUBLIC LJ 21</t>
  </si>
  <si>
    <t>HIGAS 11 NORDESTINA*</t>
  </si>
  <si>
    <t>LAUDO</t>
  </si>
  <si>
    <r>
      <rPr>
        <b/>
        <sz val="16"/>
        <rFont val="Arial"/>
        <family val="2"/>
      </rPr>
      <t>OURO PÃO</t>
    </r>
    <r>
      <rPr>
        <sz val="16"/>
        <color rgb="FFFF0000"/>
        <rFont val="Arial"/>
        <family val="2"/>
      </rPr>
      <t xml:space="preserve"> (15)</t>
    </r>
    <r>
      <rPr>
        <sz val="16"/>
        <rFont val="Arial"/>
        <family val="2"/>
      </rPr>
      <t xml:space="preserve"> RUA DR.BACELAR 268 VL CLEMENTI</t>
    </r>
  </si>
  <si>
    <r>
      <t>LÉO CONFEITARIA*</t>
    </r>
    <r>
      <rPr>
        <sz val="16"/>
        <color rgb="FFFF0000"/>
        <rFont val="Arial"/>
        <family val="2"/>
      </rPr>
      <t>(15)</t>
    </r>
  </si>
  <si>
    <r>
      <t>VICOLO NOSTRO*</t>
    </r>
    <r>
      <rPr>
        <sz val="16"/>
        <color rgb="FFFF0000"/>
        <rFont val="Arial"/>
        <family val="2"/>
      </rPr>
      <t xml:space="preserve"> (15) </t>
    </r>
  </si>
  <si>
    <r>
      <rPr>
        <b/>
        <sz val="16"/>
        <rFont val="Arial"/>
        <family val="2"/>
      </rPr>
      <t>EVENTOS AMORIM- WILSON</t>
    </r>
    <r>
      <rPr>
        <sz val="16"/>
        <rFont val="Arial"/>
        <family val="2"/>
      </rPr>
      <t xml:space="preserve"> </t>
    </r>
    <r>
      <rPr>
        <sz val="16"/>
        <color rgb="FFFF0000"/>
        <rFont val="Arial"/>
        <family val="2"/>
      </rPr>
      <t>(15)</t>
    </r>
    <r>
      <rPr>
        <sz val="16"/>
        <rFont val="Arial"/>
        <family val="2"/>
      </rPr>
      <t xml:space="preserve"> RUA DR. SEBASTIÃO LAPETINA RUSSO 189 STO AMARO.</t>
    </r>
  </si>
  <si>
    <r>
      <t xml:space="preserve">LUZIA MEIRE* </t>
    </r>
    <r>
      <rPr>
        <b/>
        <sz val="16"/>
        <rFont val="Arial"/>
        <family val="2"/>
      </rPr>
      <t>( PRECISA AGENDAR)</t>
    </r>
  </si>
  <si>
    <r>
      <t xml:space="preserve">SALGADOCE </t>
    </r>
    <r>
      <rPr>
        <b/>
        <sz val="16"/>
        <rFont val="Arial"/>
        <family val="2"/>
      </rPr>
      <t>( LIGA QD PRECISA)</t>
    </r>
    <r>
      <rPr>
        <sz val="16"/>
        <rFont val="Arial"/>
        <family val="2"/>
      </rPr>
      <t xml:space="preserve"> RUA FERNANDO FALCÃO 325 VILA BERTIOGA</t>
    </r>
  </si>
  <si>
    <r>
      <t xml:space="preserve">1001 FESTA*  </t>
    </r>
    <r>
      <rPr>
        <sz val="16"/>
        <color rgb="FFFF0000"/>
        <rFont val="Arial"/>
        <family val="2"/>
      </rPr>
      <t>(15)</t>
    </r>
  </si>
  <si>
    <r>
      <t xml:space="preserve">NEW FESTA * </t>
    </r>
    <r>
      <rPr>
        <sz val="16"/>
        <color rgb="FFFF0000"/>
        <rFont val="Arial"/>
        <family val="2"/>
      </rPr>
      <t>(15)</t>
    </r>
  </si>
  <si>
    <t>EMAIL CENTRAL HIGAS</t>
  </si>
  <si>
    <r>
      <t>ESTORIL</t>
    </r>
    <r>
      <rPr>
        <sz val="16"/>
        <color rgb="FFFF0000"/>
        <rFont val="Arial"/>
        <family val="2"/>
      </rPr>
      <t xml:space="preserve"> (15)</t>
    </r>
    <r>
      <rPr>
        <sz val="16"/>
        <rFont val="Arial"/>
        <family val="2"/>
      </rPr>
      <t>*</t>
    </r>
  </si>
  <si>
    <r>
      <t xml:space="preserve">SORVETERIA COCÃO </t>
    </r>
    <r>
      <rPr>
        <sz val="16"/>
        <color rgb="FFFF0000"/>
        <rFont val="Arial"/>
        <family val="2"/>
      </rPr>
      <t>(15)</t>
    </r>
    <r>
      <rPr>
        <sz val="16"/>
        <rFont val="Arial"/>
        <family val="2"/>
      </rPr>
      <t>*</t>
    </r>
  </si>
  <si>
    <t>MARCOS LA TORTA PIRITUBA  - RUA MIGUEL PEREIRA LANDIM 597</t>
  </si>
  <si>
    <t>LIGAR</t>
  </si>
  <si>
    <t>QUANDO TEM ESTORIL NÃO TEM LOJAS DO CONFEITEIRO E VICE VERSA</t>
  </si>
  <si>
    <r>
      <t xml:space="preserve">CHAMA CD* ATÉ AS 15 HRS ESTRADA DA OLARIA 640 - GUARULHOS </t>
    </r>
    <r>
      <rPr>
        <b/>
        <sz val="16"/>
        <color rgb="FFFF0000"/>
        <rFont val="Arial"/>
        <family val="2"/>
      </rPr>
      <t>LEVAR 10,00 PALET</t>
    </r>
    <r>
      <rPr>
        <sz val="16"/>
        <rFont val="Arial"/>
        <family val="2"/>
      </rPr>
      <t xml:space="preserve"> </t>
    </r>
    <r>
      <rPr>
        <sz val="16"/>
        <color rgb="FFFF0000"/>
        <rFont val="Arial"/>
        <family val="2"/>
      </rPr>
      <t>(15)</t>
    </r>
  </si>
  <si>
    <t>QUANDO TIVER CD NÃO COLOCAR CALVO</t>
  </si>
  <si>
    <t>GRAN JALAPENÕ ( MOOCA) TEL.11 99694-3058</t>
  </si>
  <si>
    <t>VEM DE QUARTA A CADA 15 DD</t>
  </si>
  <si>
    <t>ROTA CADA 15 DIAS</t>
  </si>
  <si>
    <t>Fresco 1kg Puro</t>
  </si>
  <si>
    <r>
      <t xml:space="preserve">BOURBON- ATIBAIA* </t>
    </r>
    <r>
      <rPr>
        <sz val="16"/>
        <color rgb="FFFF0000"/>
        <rFont val="Arial"/>
        <family val="2"/>
      </rPr>
      <t>(15)</t>
    </r>
  </si>
  <si>
    <r>
      <t xml:space="preserve">BALENO- CAMPINAS ( 15) ROD. DOM PEDRO 1 KM 129 - DENTRO DECATHLON </t>
    </r>
    <r>
      <rPr>
        <sz val="16"/>
        <color rgb="FFFF0000"/>
        <rFont val="Arial"/>
        <family val="2"/>
      </rPr>
      <t>(15)</t>
    </r>
  </si>
  <si>
    <t>RIVIEIRA - CAMPINAS RUA OLAVO BILAC 28 CAMBUÍ</t>
  </si>
  <si>
    <t>D´MARIA- VALINHOS RUA VITÓRIA RÉGIAS 639</t>
  </si>
  <si>
    <t>MR MIX - SUAMRÉ*</t>
  </si>
  <si>
    <r>
      <t xml:space="preserve">PAD. KRÉP´S - SALTO*  </t>
    </r>
    <r>
      <rPr>
        <sz val="16"/>
        <color rgb="FFFF0000"/>
        <rFont val="Arial"/>
        <family val="2"/>
      </rPr>
      <t>(15)</t>
    </r>
  </si>
  <si>
    <t>HOTEL DO LAGO*</t>
  </si>
  <si>
    <t>GIORGIO ( CHIADARIA)*</t>
  </si>
  <si>
    <t>CENTRAL OSASCO ( GARANTIA)*</t>
  </si>
  <si>
    <t>SANTA MARCELINA*</t>
  </si>
  <si>
    <r>
      <rPr>
        <b/>
        <sz val="16"/>
        <rFont val="Arial"/>
        <family val="2"/>
      </rPr>
      <t xml:space="preserve">FAVORETO*  </t>
    </r>
    <r>
      <rPr>
        <sz val="16"/>
        <rFont val="Arial"/>
        <family val="2"/>
      </rPr>
      <t>RUA PARANAVAI 92 VL JAGUARA</t>
    </r>
  </si>
  <si>
    <r>
      <t xml:space="preserve">RODA GRILL </t>
    </r>
    <r>
      <rPr>
        <sz val="16"/>
        <color rgb="FFFF0000"/>
        <rFont val="Arial"/>
        <family val="2"/>
      </rPr>
      <t>(15)</t>
    </r>
    <r>
      <rPr>
        <sz val="16"/>
        <rFont val="Arial"/>
        <family val="2"/>
      </rPr>
      <t>*</t>
    </r>
  </si>
  <si>
    <t>TELLATRO RESTAURANTE*</t>
  </si>
  <si>
    <t>DOCEIRA GUAXUPÉ*</t>
  </si>
  <si>
    <r>
      <t xml:space="preserve">CALVO ATÉ AS 11 HRS* </t>
    </r>
    <r>
      <rPr>
        <b/>
        <sz val="16"/>
        <rFont val="Arial"/>
        <family val="2"/>
      </rPr>
      <t>( PRECISA AGENDAR PALLET 18,00)</t>
    </r>
  </si>
  <si>
    <r>
      <t xml:space="preserve">LOJA CONF. 1 </t>
    </r>
    <r>
      <rPr>
        <sz val="16"/>
        <color rgb="FFFF0000"/>
        <rFont val="Arial"/>
        <family val="2"/>
      </rPr>
      <t>(15)</t>
    </r>
  </si>
  <si>
    <r>
      <t xml:space="preserve">LOJA CONF.2 </t>
    </r>
    <r>
      <rPr>
        <sz val="16"/>
        <color rgb="FFFF0000"/>
        <rFont val="Arial"/>
        <family val="2"/>
      </rPr>
      <t>(15)</t>
    </r>
  </si>
  <si>
    <t>LIVANTTO*</t>
  </si>
  <si>
    <t>RIPA NA BRASA*</t>
  </si>
  <si>
    <t>ESPAÇO PRIME*</t>
  </si>
  <si>
    <t>SANTA EFIGENIA*</t>
  </si>
  <si>
    <t>HIGAS 9 SANTO ANDRÉ*</t>
  </si>
  <si>
    <t>HIGAS 10 SANTO ANDRÉ*</t>
  </si>
  <si>
    <t>ALETIE ADOCIADO  ENDEREÇO RUA WALTRUDES CORREA 109 PQ SÃO DOMIGOS</t>
  </si>
  <si>
    <t>NOVA OPÇÃO GRILL 2*</t>
  </si>
  <si>
    <t>KI LOVE*</t>
  </si>
  <si>
    <t>SÃO BENEDITO DOC.*</t>
  </si>
  <si>
    <t xml:space="preserve">YUCATAN RESTAURANTE* </t>
  </si>
  <si>
    <t>YUCATAN DELIVERY *RUA CASA DO ATOR 198 APÓS AS 10  HORAS</t>
  </si>
  <si>
    <t>BACALHAU VINHO &amp; CIA* ABRE AS 8 AS 11:30   RUA PEDROSO ALVARENGA 620</t>
  </si>
  <si>
    <r>
      <rPr>
        <sz val="16"/>
        <rFont val="Arial"/>
        <family val="2"/>
      </rPr>
      <t>PANCHO VILLA*</t>
    </r>
    <r>
      <rPr>
        <b/>
        <sz val="16"/>
        <rFont val="Arial"/>
        <family val="2"/>
      </rPr>
      <t xml:space="preserve"> ( 10 AS 20 HRS ) </t>
    </r>
    <r>
      <rPr>
        <b/>
        <sz val="16"/>
        <color rgb="FFFF0000"/>
        <rFont val="Arial"/>
        <family val="2"/>
      </rPr>
      <t>(</t>
    </r>
    <r>
      <rPr>
        <sz val="16"/>
        <color rgb="FFFF0000"/>
        <rFont val="Arial"/>
        <family val="2"/>
      </rPr>
      <t>15)</t>
    </r>
    <r>
      <rPr>
        <b/>
        <sz val="16"/>
        <color rgb="FFFF0000"/>
        <rFont val="Arial"/>
        <family val="2"/>
      </rPr>
      <t xml:space="preserve"> </t>
    </r>
  </si>
  <si>
    <t>CHAMA 18 BARREIRA GRANDE*</t>
  </si>
  <si>
    <r>
      <rPr>
        <b/>
        <sz val="16"/>
        <rFont val="Arial"/>
        <family val="2"/>
      </rPr>
      <t>CIBO DRIKRS</t>
    </r>
    <r>
      <rPr>
        <sz val="16"/>
        <rFont val="Arial"/>
        <family val="2"/>
      </rPr>
      <t xml:space="preserve"> -</t>
    </r>
    <r>
      <rPr>
        <b/>
        <sz val="16"/>
        <rFont val="Arial"/>
        <family val="2"/>
      </rPr>
      <t>ROSSO KITCHEN</t>
    </r>
    <r>
      <rPr>
        <sz val="16"/>
        <rFont val="Arial"/>
        <family val="2"/>
      </rPr>
      <t xml:space="preserve"> RUA ADUTORA DE RIO CLARO 461 VL PRIMAVERA</t>
    </r>
  </si>
  <si>
    <t>RMC</t>
  </si>
  <si>
    <t>RMC BOLETO 2X</t>
  </si>
  <si>
    <t xml:space="preserve">SALAMINHO*  </t>
  </si>
  <si>
    <r>
      <t>CLAUDIO JAGUARÉ-</t>
    </r>
    <r>
      <rPr>
        <b/>
        <sz val="16"/>
        <rFont val="Arial"/>
        <family val="2"/>
      </rPr>
      <t xml:space="preserve"> AV. GONÇALO MADEIRA 153</t>
    </r>
  </si>
  <si>
    <t>CAFÉ CAOC RUA ARTHUR DE AZEVEDO 37 PORTÃO BRANCO</t>
  </si>
  <si>
    <t>FLOR DAS AMÉRICAS ( ATÉ AS 11).*</t>
  </si>
  <si>
    <t xml:space="preserve">CHOPERIA ZANGÃO*SCS </t>
  </si>
  <si>
    <t>VERA (ABC) RUA LAS PALMAS 139 SANTO ANDRÉ</t>
  </si>
  <si>
    <t>LIGAR TP  CUL RMC</t>
  </si>
  <si>
    <t>ENTREGA QUINZENAL</t>
  </si>
  <si>
    <t>CASO NÃO TENHA TODOS DA ROTA TIRAR DO GINO TER HIGAS ITAQUERA E NM</t>
  </si>
  <si>
    <t>MC BUFFET AV. JOÃO CARLOS DA SILVA BORGES 1215</t>
  </si>
  <si>
    <r>
      <t>MARYARA</t>
    </r>
    <r>
      <rPr>
        <sz val="16"/>
        <color rgb="FFFF0000"/>
        <rFont val="Arial"/>
        <family val="2"/>
      </rPr>
      <t>(15)</t>
    </r>
    <r>
      <rPr>
        <sz val="16"/>
        <rFont val="Arial"/>
        <family val="2"/>
      </rPr>
      <t>*</t>
    </r>
  </si>
  <si>
    <t>OCCITANO</t>
  </si>
  <si>
    <t>PIX/NF</t>
  </si>
  <si>
    <t>AFPESP SOCORRO*  AV, VICENTE LOMONICO 1955 POMPEIA</t>
  </si>
  <si>
    <t>LA PERGOLETTA</t>
  </si>
  <si>
    <t>NOME</t>
  </si>
  <si>
    <t>NONO PAOLO</t>
  </si>
  <si>
    <r>
      <t xml:space="preserve">ANDORINHA ATÉ AS 12 HRS* </t>
    </r>
    <r>
      <rPr>
        <b/>
        <sz val="16"/>
        <rFont val="Arial"/>
        <family val="2"/>
      </rPr>
      <t>ENDEREÇO DE ENTREGA RUA CONSELHEIRO MOREIRA DE BARROS 4.140</t>
    </r>
  </si>
  <si>
    <r>
      <t xml:space="preserve">D´LEITE FESTAS E CONFEI.- AV JOÃO XXIII 564 VILA FORMOSA </t>
    </r>
    <r>
      <rPr>
        <sz val="16"/>
        <color rgb="FFFF0000"/>
        <rFont val="Arial"/>
        <family val="2"/>
      </rPr>
      <t>(15)</t>
    </r>
  </si>
  <si>
    <r>
      <t xml:space="preserve">NEVILLE - ESTRADA SÃO FRANCISCO 1567 JD HENRIQUETA, TABOÃO DA SERRA </t>
    </r>
    <r>
      <rPr>
        <sz val="16"/>
        <color rgb="FFFF0000"/>
        <rFont val="Arial"/>
        <family val="2"/>
      </rPr>
      <t>(15)</t>
    </r>
  </si>
  <si>
    <t xml:space="preserve">DORA AV 7 DE SETEMBRO 400 CENTRO DIADEMA </t>
  </si>
  <si>
    <t>novo cnpj</t>
  </si>
  <si>
    <t>COMPRAR PRODUTO</t>
  </si>
  <si>
    <r>
      <t>FAVO DE MEL*</t>
    </r>
    <r>
      <rPr>
        <sz val="16"/>
        <color rgb="FFFF0000"/>
        <rFont val="Arial"/>
        <family val="2"/>
      </rPr>
      <t>(15)</t>
    </r>
  </si>
  <si>
    <r>
      <t xml:space="preserve">MÃO DE MOÇA JDÍ </t>
    </r>
    <r>
      <rPr>
        <sz val="16"/>
        <color rgb="FFFF0000"/>
        <rFont val="Arial"/>
        <family val="2"/>
      </rPr>
      <t>OFERECER BOLETO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</si>
</sst>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_(* #,##0_);_(* \(#,##0\);_(* &quot;-&quot;??_);_(@_)"/>
  </numFmts>
  <fonts count="4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 Narrow"/>
      <family val="2"/>
    </font>
    <font>
      <sz val="10"/>
      <name val="Arial Narrow"/>
      <family val="2"/>
    </font>
    <font>
      <b/>
      <sz val="14"/>
      <color indexed="8"/>
      <name val="Arial Narrow"/>
      <family val="2"/>
    </font>
    <font>
      <b/>
      <sz val="12"/>
      <color indexed="8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16"/>
      <color indexed="8"/>
      <name val="Arial Narrow"/>
      <family val="2"/>
    </font>
    <font>
      <sz val="16"/>
      <color indexed="8"/>
      <name val="Arial Narrow"/>
      <family val="2"/>
    </font>
    <font>
      <sz val="16"/>
      <name val="Arial"/>
      <family val="2"/>
    </font>
    <font>
      <b/>
      <sz val="12"/>
      <name val="Arial Narrow"/>
      <family val="2"/>
    </font>
    <font>
      <sz val="16"/>
      <name val="Arial Narrow"/>
      <family val="2"/>
    </font>
    <font>
      <sz val="12"/>
      <name val="Arial Narrow"/>
      <family val="2"/>
    </font>
    <font>
      <b/>
      <sz val="14"/>
      <name val="Arial Narrow"/>
      <family val="2"/>
    </font>
    <font>
      <sz val="10"/>
      <color indexed="8"/>
      <name val="Arial Narrow"/>
      <family val="2"/>
    </font>
    <font>
      <sz val="12"/>
      <color indexed="8"/>
      <name val="Arial Narrow"/>
      <family val="2"/>
    </font>
    <font>
      <b/>
      <sz val="10"/>
      <name val="Arial Narrow"/>
      <family val="2"/>
    </font>
    <font>
      <sz val="14"/>
      <color indexed="8"/>
      <name val="Arial Narrow"/>
      <family val="2"/>
    </font>
    <font>
      <sz val="16"/>
      <color theme="0"/>
      <name val="Arial Narrow"/>
      <family val="2"/>
    </font>
    <font>
      <b/>
      <sz val="18"/>
      <color indexed="8"/>
      <name val="Arial Narrow"/>
      <family val="2"/>
    </font>
    <font>
      <b/>
      <sz val="14"/>
      <color theme="0"/>
      <name val="Arial Narrow"/>
      <family val="2"/>
    </font>
    <font>
      <b/>
      <i/>
      <sz val="14"/>
      <color indexed="8"/>
      <name val="Arial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0"/>
      <name val="Arial Narrow"/>
      <family val="2"/>
    </font>
    <font>
      <sz val="10"/>
      <color theme="0"/>
      <name val="Arial Narrow"/>
      <family val="2"/>
    </font>
    <font>
      <sz val="16"/>
      <color indexed="81"/>
      <name val="Tahoma"/>
      <family val="2"/>
    </font>
    <font>
      <sz val="18"/>
      <color indexed="81"/>
      <name val="Tahoma"/>
      <family val="2"/>
    </font>
    <font>
      <sz val="16"/>
      <color rgb="FFFF0000"/>
      <name val="Arial"/>
      <family val="2"/>
    </font>
    <font>
      <sz val="14"/>
      <color indexed="81"/>
      <name val="Tahoma"/>
      <family val="2"/>
    </font>
    <font>
      <b/>
      <sz val="14"/>
      <color indexed="81"/>
      <name val="Tahoma"/>
      <family val="2"/>
    </font>
    <font>
      <sz val="12"/>
      <color indexed="81"/>
      <name val="Tahoma"/>
      <family val="2"/>
    </font>
    <font>
      <sz val="14"/>
      <name val="Arial Narrow"/>
      <family val="2"/>
    </font>
    <font>
      <sz val="12"/>
      <name val="Arial"/>
      <family val="2"/>
    </font>
    <font>
      <sz val="14"/>
      <name val="Arial"/>
      <family val="2"/>
    </font>
    <font>
      <sz val="18"/>
      <color indexed="8"/>
      <name val="Arial Narrow"/>
      <family val="2"/>
    </font>
    <font>
      <b/>
      <sz val="16"/>
      <name val="Arial"/>
      <family val="2"/>
    </font>
    <font>
      <sz val="12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6"/>
      <color rgb="FFFF0000"/>
      <name val="Arial"/>
      <family val="2"/>
    </font>
    <font>
      <b/>
      <sz val="16"/>
      <color rgb="FFFF0000"/>
      <name val="Arial Narrow"/>
      <family val="2"/>
    </font>
    <font>
      <b/>
      <sz val="26"/>
      <color rgb="FFFF0000"/>
      <name val="Arial Narrow"/>
      <family val="2"/>
    </font>
    <font>
      <sz val="16"/>
      <color rgb="FFFF0000"/>
      <name val="Arial Narrow"/>
      <family val="2"/>
    </font>
    <font>
      <sz val="10"/>
      <color indexed="81"/>
      <name val="Segoe UI"/>
      <family val="2"/>
    </font>
    <font>
      <b/>
      <sz val="16"/>
      <color theme="1"/>
      <name val="Arial Narrow"/>
      <family val="2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</cellStyleXfs>
  <cellXfs count="192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 applyProtection="1">
      <alignment horizontal="left" vertical="center"/>
      <protection hidden="1"/>
    </xf>
    <xf numFmtId="0" fontId="11" fillId="0" borderId="5" xfId="0" applyFont="1" applyBorder="1" applyProtection="1">
      <protection locked="0"/>
    </xf>
    <xf numFmtId="1" fontId="13" fillId="0" borderId="7" xfId="2" applyNumberFormat="1" applyFont="1" applyFill="1" applyBorder="1" applyAlignment="1" applyProtection="1">
      <alignment horizontal="center" vertical="center"/>
      <protection locked="0"/>
    </xf>
    <xf numFmtId="1" fontId="10" fillId="0" borderId="7" xfId="0" applyNumberFormat="1" applyFont="1" applyBorder="1" applyAlignment="1" applyProtection="1">
      <alignment horizontal="center"/>
      <protection locked="0" hidden="1"/>
    </xf>
    <xf numFmtId="0" fontId="11" fillId="0" borderId="8" xfId="0" applyFont="1" applyBorder="1" applyProtection="1">
      <protection locked="0"/>
    </xf>
    <xf numFmtId="1" fontId="13" fillId="0" borderId="9" xfId="2" applyNumberFormat="1" applyFont="1" applyFill="1" applyBorder="1" applyAlignment="1" applyProtection="1">
      <alignment horizontal="center" vertical="center"/>
      <protection locked="0"/>
    </xf>
    <xf numFmtId="1" fontId="13" fillId="0" borderId="10" xfId="2" applyNumberFormat="1" applyFont="1" applyFill="1" applyBorder="1" applyAlignment="1" applyProtection="1">
      <alignment horizontal="center" vertical="center"/>
      <protection locked="0"/>
    </xf>
    <xf numFmtId="1" fontId="10" fillId="0" borderId="10" xfId="0" applyNumberFormat="1" applyFont="1" applyBorder="1" applyAlignment="1" applyProtection="1">
      <alignment horizontal="center"/>
      <protection locked="0" hidden="1"/>
    </xf>
    <xf numFmtId="0" fontId="14" fillId="0" borderId="0" xfId="0" applyFont="1" applyProtection="1">
      <protection hidden="1"/>
    </xf>
    <xf numFmtId="0" fontId="15" fillId="0" borderId="0" xfId="0" applyFont="1" applyAlignment="1">
      <alignment vertical="center"/>
    </xf>
    <xf numFmtId="0" fontId="3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Protection="1">
      <protection hidden="1"/>
    </xf>
    <xf numFmtId="0" fontId="11" fillId="0" borderId="12" xfId="0" applyFont="1" applyBorder="1" applyProtection="1">
      <protection locked="0"/>
    </xf>
    <xf numFmtId="166" fontId="9" fillId="0" borderId="15" xfId="2" applyNumberFormat="1" applyFont="1" applyFill="1" applyBorder="1" applyProtection="1">
      <protection hidden="1"/>
    </xf>
    <xf numFmtId="166" fontId="6" fillId="0" borderId="16" xfId="2" applyNumberFormat="1" applyFont="1" applyFill="1" applyBorder="1" applyProtection="1">
      <protection hidden="1"/>
    </xf>
    <xf numFmtId="166" fontId="6" fillId="0" borderId="17" xfId="2" applyNumberFormat="1" applyFont="1" applyFill="1" applyBorder="1" applyProtection="1">
      <protection hidden="1"/>
    </xf>
    <xf numFmtId="4" fontId="6" fillId="0" borderId="0" xfId="1" applyNumberFormat="1" applyFont="1" applyFill="1" applyBorder="1" applyAlignment="1" applyProtection="1">
      <alignment horizontal="center"/>
    </xf>
    <xf numFmtId="0" fontId="18" fillId="0" borderId="0" xfId="0" applyFont="1" applyAlignment="1">
      <alignment horizontal="center"/>
    </xf>
    <xf numFmtId="0" fontId="4" fillId="0" borderId="0" xfId="0" applyFont="1" applyProtection="1">
      <protection hidden="1"/>
    </xf>
    <xf numFmtId="0" fontId="17" fillId="0" borderId="0" xfId="0" applyFont="1" applyProtection="1">
      <protection hidden="1"/>
    </xf>
    <xf numFmtId="165" fontId="14" fillId="0" borderId="0" xfId="2" applyFont="1" applyFill="1" applyBorder="1" applyProtection="1">
      <protection hidden="1"/>
    </xf>
    <xf numFmtId="1" fontId="14" fillId="0" borderId="0" xfId="0" applyNumberFormat="1" applyFont="1" applyProtection="1">
      <protection hidden="1"/>
    </xf>
    <xf numFmtId="2" fontId="14" fillId="0" borderId="0" xfId="0" applyNumberFormat="1" applyFont="1" applyProtection="1">
      <protection hidden="1"/>
    </xf>
    <xf numFmtId="0" fontId="19" fillId="0" borderId="0" xfId="0" applyFont="1" applyProtection="1">
      <protection hidden="1"/>
    </xf>
    <xf numFmtId="165" fontId="12" fillId="0" borderId="0" xfId="2" applyFont="1" applyFill="1" applyBorder="1" applyProtection="1">
      <protection hidden="1"/>
    </xf>
    <xf numFmtId="1" fontId="12" fillId="0" borderId="0" xfId="0" applyNumberFormat="1" applyFont="1" applyProtection="1">
      <protection hidden="1"/>
    </xf>
    <xf numFmtId="0" fontId="12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16" fillId="0" borderId="0" xfId="0" applyFont="1"/>
    <xf numFmtId="164" fontId="7" fillId="0" borderId="0" xfId="1" applyFont="1" applyFill="1" applyBorder="1" applyAlignment="1" applyProtection="1">
      <protection hidden="1"/>
    </xf>
    <xf numFmtId="164" fontId="8" fillId="0" borderId="0" xfId="1" applyFont="1" applyFill="1" applyBorder="1" applyAlignment="1" applyProtection="1">
      <protection locked="0" hidden="1"/>
    </xf>
    <xf numFmtId="164" fontId="7" fillId="0" borderId="0" xfId="1" applyFont="1" applyFill="1" applyBorder="1" applyAlignment="1" applyProtection="1">
      <alignment vertical="center"/>
    </xf>
    <xf numFmtId="164" fontId="8" fillId="0" borderId="0" xfId="1" applyFont="1" applyFill="1" applyBorder="1" applyAlignment="1" applyProtection="1">
      <protection hidden="1"/>
    </xf>
    <xf numFmtId="0" fontId="3" fillId="0" borderId="0" xfId="0" applyFont="1"/>
    <xf numFmtId="0" fontId="4" fillId="0" borderId="19" xfId="0" applyFont="1" applyBorder="1"/>
    <xf numFmtId="0" fontId="4" fillId="0" borderId="11" xfId="0" applyFont="1" applyBorder="1"/>
    <xf numFmtId="0" fontId="3" fillId="0" borderId="20" xfId="0" applyFont="1" applyBorder="1" applyAlignment="1" applyProtection="1">
      <alignment vertical="center"/>
      <protection hidden="1"/>
    </xf>
    <xf numFmtId="0" fontId="3" fillId="0" borderId="5" xfId="0" applyFont="1" applyBorder="1" applyAlignment="1" applyProtection="1">
      <alignment vertical="center"/>
      <protection hidden="1"/>
    </xf>
    <xf numFmtId="0" fontId="3" fillId="0" borderId="5" xfId="0" applyFont="1" applyBorder="1" applyProtection="1">
      <protection hidden="1"/>
    </xf>
    <xf numFmtId="0" fontId="15" fillId="0" borderId="5" xfId="0" applyFont="1" applyBorder="1" applyAlignment="1" applyProtection="1">
      <alignment vertical="center"/>
      <protection hidden="1"/>
    </xf>
    <xf numFmtId="0" fontId="4" fillId="0" borderId="5" xfId="0" applyFont="1" applyBorder="1"/>
    <xf numFmtId="0" fontId="15" fillId="0" borderId="5" xfId="0" applyFont="1" applyBorder="1" applyAlignment="1">
      <alignment vertical="center"/>
    </xf>
    <xf numFmtId="0" fontId="3" fillId="0" borderId="5" xfId="0" applyFont="1" applyBorder="1" applyAlignment="1" applyProtection="1">
      <alignment horizontal="left" vertical="center"/>
      <protection hidden="1"/>
    </xf>
    <xf numFmtId="0" fontId="3" fillId="0" borderId="5" xfId="0" applyFont="1" applyBorder="1"/>
    <xf numFmtId="0" fontId="3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hidden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 applyProtection="1">
      <alignment horizontal="center" wrapText="1"/>
      <protection locked="0" hidden="1"/>
    </xf>
    <xf numFmtId="0" fontId="6" fillId="0" borderId="0" xfId="0" applyFont="1" applyAlignment="1" applyProtection="1">
      <alignment horizontal="center" wrapText="1"/>
      <protection locked="0" hidden="1"/>
    </xf>
    <xf numFmtId="0" fontId="7" fillId="0" borderId="0" xfId="0" applyFont="1" applyAlignment="1">
      <alignment horizontal="center" wrapText="1"/>
    </xf>
    <xf numFmtId="14" fontId="8" fillId="0" borderId="0" xfId="0" applyNumberFormat="1" applyFont="1" applyAlignment="1">
      <alignment horizontal="center" wrapText="1"/>
    </xf>
    <xf numFmtId="14" fontId="9" fillId="0" borderId="0" xfId="0" applyNumberFormat="1" applyFont="1" applyAlignment="1" applyProtection="1">
      <alignment horizontal="center"/>
      <protection locked="0"/>
    </xf>
    <xf numFmtId="1" fontId="21" fillId="0" borderId="0" xfId="0" applyNumberFormat="1" applyFont="1" applyProtection="1">
      <protection locked="0" hidden="1"/>
    </xf>
    <xf numFmtId="0" fontId="22" fillId="0" borderId="0" xfId="0" applyFont="1" applyProtection="1">
      <protection hidden="1"/>
    </xf>
    <xf numFmtId="1" fontId="20" fillId="0" borderId="0" xfId="0" applyNumberFormat="1" applyFont="1" applyProtection="1">
      <protection hidden="1"/>
    </xf>
    <xf numFmtId="0" fontId="3" fillId="0" borderId="0" xfId="0" applyFont="1" applyAlignment="1">
      <alignment horizontal="left"/>
    </xf>
    <xf numFmtId="0" fontId="5" fillId="0" borderId="21" xfId="0" applyFont="1" applyBorder="1" applyProtection="1">
      <protection hidden="1"/>
    </xf>
    <xf numFmtId="0" fontId="9" fillId="0" borderId="1" xfId="0" applyFont="1" applyBorder="1" applyAlignment="1">
      <alignment horizontal="center" wrapText="1"/>
    </xf>
    <xf numFmtId="0" fontId="23" fillId="0" borderId="2" xfId="0" applyFont="1" applyBorder="1" applyAlignment="1">
      <alignment horizontal="center" wrapText="1"/>
    </xf>
    <xf numFmtId="0" fontId="5" fillId="0" borderId="3" xfId="0" applyFont="1" applyBorder="1" applyAlignment="1" applyProtection="1">
      <alignment horizontal="center" wrapText="1"/>
      <protection hidden="1"/>
    </xf>
    <xf numFmtId="0" fontId="5" fillId="0" borderId="4" xfId="0" applyFont="1" applyBorder="1" applyAlignment="1" applyProtection="1">
      <alignment horizontal="center" wrapText="1"/>
      <protection hidden="1"/>
    </xf>
    <xf numFmtId="0" fontId="5" fillId="0" borderId="22" xfId="0" applyFont="1" applyBorder="1" applyAlignment="1" applyProtection="1">
      <alignment horizontal="center" wrapText="1"/>
      <protection hidden="1"/>
    </xf>
    <xf numFmtId="0" fontId="3" fillId="0" borderId="1" xfId="0" applyFont="1" applyBorder="1" applyAlignment="1">
      <alignment horizontal="center" wrapText="1"/>
    </xf>
    <xf numFmtId="0" fontId="3" fillId="0" borderId="18" xfId="0" applyFont="1" applyBorder="1" applyAlignment="1" applyProtection="1">
      <alignment horizontal="center" wrapText="1"/>
      <protection hidden="1"/>
    </xf>
    <xf numFmtId="0" fontId="3" fillId="0" borderId="0" xfId="0" applyFont="1" applyAlignment="1" applyProtection="1">
      <alignment horizontal="center" wrapText="1"/>
      <protection hidden="1"/>
    </xf>
    <xf numFmtId="164" fontId="8" fillId="0" borderId="0" xfId="1" applyFont="1" applyFill="1" applyBorder="1" applyAlignment="1" applyProtection="1">
      <alignment horizontal="center" wrapText="1"/>
      <protection hidden="1"/>
    </xf>
    <xf numFmtId="0" fontId="11" fillId="0" borderId="11" xfId="0" applyFont="1" applyBorder="1" applyProtection="1">
      <protection locked="0"/>
    </xf>
    <xf numFmtId="1" fontId="13" fillId="0" borderId="23" xfId="2" applyNumberFormat="1" applyFont="1" applyFill="1" applyBorder="1" applyAlignment="1" applyProtection="1">
      <alignment horizontal="center" vertical="center"/>
      <protection locked="0"/>
    </xf>
    <xf numFmtId="0" fontId="4" fillId="0" borderId="6" xfId="0" applyFont="1" applyBorder="1"/>
    <xf numFmtId="0" fontId="3" fillId="0" borderId="8" xfId="0" applyFont="1" applyBorder="1" applyAlignment="1" applyProtection="1">
      <alignment vertical="center"/>
      <protection hidden="1"/>
    </xf>
    <xf numFmtId="0" fontId="15" fillId="0" borderId="0" xfId="0" applyFont="1" applyProtection="1">
      <protection hidden="1"/>
    </xf>
    <xf numFmtId="1" fontId="13" fillId="0" borderId="0" xfId="0" applyNumberFormat="1" applyFont="1" applyProtection="1">
      <protection hidden="1"/>
    </xf>
    <xf numFmtId="1" fontId="26" fillId="0" borderId="0" xfId="0" applyNumberFormat="1" applyFont="1" applyProtection="1">
      <protection locked="0" hidden="1"/>
    </xf>
    <xf numFmtId="0" fontId="27" fillId="0" borderId="0" xfId="0" applyFont="1"/>
    <xf numFmtId="0" fontId="4" fillId="0" borderId="24" xfId="0" applyFont="1" applyBorder="1"/>
    <xf numFmtId="1" fontId="13" fillId="0" borderId="25" xfId="2" applyNumberFormat="1" applyFont="1" applyFill="1" applyBorder="1" applyAlignment="1" applyProtection="1">
      <alignment horizontal="center" vertical="center"/>
      <protection locked="0"/>
    </xf>
    <xf numFmtId="1" fontId="13" fillId="0" borderId="26" xfId="2" applyNumberFormat="1" applyFont="1" applyFill="1" applyBorder="1" applyAlignment="1" applyProtection="1">
      <alignment horizontal="center" vertical="center"/>
      <protection locked="0"/>
    </xf>
    <xf numFmtId="1" fontId="10" fillId="0" borderId="26" xfId="0" applyNumberFormat="1" applyFont="1" applyBorder="1" applyAlignment="1" applyProtection="1">
      <alignment horizontal="center"/>
      <protection locked="0" hidden="1"/>
    </xf>
    <xf numFmtId="0" fontId="11" fillId="0" borderId="27" xfId="0" applyFont="1" applyBorder="1" applyProtection="1">
      <protection locked="0"/>
    </xf>
    <xf numFmtId="1" fontId="13" fillId="0" borderId="28" xfId="2" applyNumberFormat="1" applyFont="1" applyFill="1" applyBorder="1" applyAlignment="1" applyProtection="1">
      <alignment horizontal="center" vertical="center"/>
      <protection locked="0"/>
    </xf>
    <xf numFmtId="0" fontId="3" fillId="0" borderId="18" xfId="0" applyFont="1" applyBorder="1" applyAlignment="1">
      <alignment horizontal="center" wrapText="1"/>
    </xf>
    <xf numFmtId="0" fontId="23" fillId="0" borderId="20" xfId="0" applyFont="1" applyBorder="1" applyAlignment="1">
      <alignment horizontal="center" wrapText="1"/>
    </xf>
    <xf numFmtId="0" fontId="9" fillId="0" borderId="20" xfId="0" applyFont="1" applyBorder="1" applyAlignment="1">
      <alignment horizontal="center" wrapText="1"/>
    </xf>
    <xf numFmtId="0" fontId="5" fillId="0" borderId="31" xfId="0" applyFont="1" applyBorder="1" applyAlignment="1" applyProtection="1">
      <alignment horizontal="center" wrapText="1"/>
      <protection hidden="1"/>
    </xf>
    <xf numFmtId="0" fontId="11" fillId="0" borderId="6" xfId="0" applyFont="1" applyBorder="1" applyProtection="1">
      <protection locked="0"/>
    </xf>
    <xf numFmtId="1" fontId="13" fillId="0" borderId="32" xfId="2" applyNumberFormat="1" applyFont="1" applyFill="1" applyBorder="1" applyAlignment="1" applyProtection="1">
      <alignment horizontal="center" vertical="center"/>
      <protection locked="0"/>
    </xf>
    <xf numFmtId="0" fontId="23" fillId="0" borderId="1" xfId="0" applyFont="1" applyBorder="1" applyAlignment="1">
      <alignment horizontal="center" wrapText="1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27" xfId="0" applyFont="1" applyBorder="1" applyAlignment="1" applyProtection="1">
      <alignment horizontal="center" vertical="center"/>
      <protection locked="0"/>
    </xf>
    <xf numFmtId="0" fontId="23" fillId="0" borderId="35" xfId="0" applyFont="1" applyBorder="1" applyAlignment="1">
      <alignment horizontal="center" wrapText="1"/>
    </xf>
    <xf numFmtId="0" fontId="11" fillId="0" borderId="5" xfId="0" applyFont="1" applyBorder="1" applyAlignment="1" applyProtection="1">
      <alignment horizontal="left"/>
      <protection locked="0"/>
    </xf>
    <xf numFmtId="0" fontId="34" fillId="0" borderId="11" xfId="0" applyFont="1" applyBorder="1" applyAlignment="1">
      <alignment horizontal="center"/>
    </xf>
    <xf numFmtId="0" fontId="11" fillId="0" borderId="11" xfId="0" applyFont="1" applyBorder="1"/>
    <xf numFmtId="0" fontId="35" fillId="0" borderId="11" xfId="0" applyFont="1" applyBorder="1"/>
    <xf numFmtId="0" fontId="35" fillId="0" borderId="11" xfId="0" applyFont="1" applyBorder="1" applyAlignment="1">
      <alignment horizontal="center"/>
    </xf>
    <xf numFmtId="0" fontId="3" fillId="0" borderId="20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7" fillId="0" borderId="23" xfId="0" applyFont="1" applyBorder="1" applyAlignment="1" applyProtection="1">
      <alignment horizontal="center" wrapText="1"/>
      <protection hidden="1"/>
    </xf>
    <xf numFmtId="0" fontId="37" fillId="0" borderId="7" xfId="0" applyFont="1" applyBorder="1" applyAlignment="1" applyProtection="1">
      <alignment horizontal="center" wrapText="1"/>
      <protection hidden="1"/>
    </xf>
    <xf numFmtId="0" fontId="37" fillId="0" borderId="34" xfId="0" applyFont="1" applyBorder="1" applyAlignment="1" applyProtection="1">
      <alignment horizontal="center" wrapText="1"/>
      <protection hidden="1"/>
    </xf>
    <xf numFmtId="0" fontId="37" fillId="0" borderId="33" xfId="0" applyFont="1" applyBorder="1" applyAlignment="1" applyProtection="1">
      <alignment horizontal="center" wrapText="1"/>
      <protection hidden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center" wrapText="1"/>
      <protection hidden="1"/>
    </xf>
    <xf numFmtId="0" fontId="10" fillId="0" borderId="32" xfId="0" applyFont="1" applyBorder="1" applyAlignment="1" applyProtection="1">
      <alignment horizontal="center" wrapText="1"/>
      <protection hidden="1"/>
    </xf>
    <xf numFmtId="0" fontId="10" fillId="0" borderId="10" xfId="0" applyFont="1" applyBorder="1" applyAlignment="1" applyProtection="1">
      <alignment horizontal="center" wrapText="1"/>
      <protection hidden="1"/>
    </xf>
    <xf numFmtId="0" fontId="10" fillId="0" borderId="40" xfId="0" applyFont="1" applyBorder="1" applyAlignment="1" applyProtection="1">
      <alignment horizontal="center" wrapText="1"/>
      <protection hidden="1"/>
    </xf>
    <xf numFmtId="0" fontId="21" fillId="0" borderId="38" xfId="0" applyFont="1" applyBorder="1" applyAlignment="1">
      <alignment horizontal="center" wrapText="1"/>
    </xf>
    <xf numFmtId="0" fontId="11" fillId="0" borderId="5" xfId="0" applyFont="1" applyBorder="1" applyAlignment="1" applyProtection="1">
      <alignment wrapText="1"/>
      <protection locked="0"/>
    </xf>
    <xf numFmtId="0" fontId="3" fillId="0" borderId="36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left" wrapText="1"/>
      <protection locked="0"/>
    </xf>
    <xf numFmtId="0" fontId="11" fillId="0" borderId="8" xfId="0" applyFont="1" applyBorder="1" applyAlignment="1" applyProtection="1">
      <alignment wrapText="1"/>
      <protection locked="0"/>
    </xf>
    <xf numFmtId="0" fontId="11" fillId="0" borderId="11" xfId="0" applyFont="1" applyBorder="1" applyAlignment="1" applyProtection="1">
      <alignment wrapText="1"/>
      <protection locked="0"/>
    </xf>
    <xf numFmtId="1" fontId="10" fillId="0" borderId="10" xfId="0" applyNumberFormat="1" applyFont="1" applyBorder="1" applyAlignment="1" applyProtection="1">
      <alignment horizontal="center" vertical="center"/>
      <protection locked="0" hidden="1"/>
    </xf>
    <xf numFmtId="0" fontId="38" fillId="0" borderId="5" xfId="0" applyFont="1" applyBorder="1" applyAlignment="1" applyProtection="1">
      <alignment wrapText="1"/>
      <protection locked="0"/>
    </xf>
    <xf numFmtId="0" fontId="3" fillId="0" borderId="37" xfId="0" applyFont="1" applyBorder="1" applyAlignment="1" applyProtection="1">
      <alignment horizontal="center" vertical="center"/>
      <protection locked="0"/>
    </xf>
    <xf numFmtId="0" fontId="3" fillId="0" borderId="38" xfId="0" applyFont="1" applyBorder="1" applyAlignment="1" applyProtection="1">
      <alignment horizontal="center" vertical="center"/>
      <protection locked="0"/>
    </xf>
    <xf numFmtId="0" fontId="30" fillId="0" borderId="11" xfId="0" applyFont="1" applyBorder="1"/>
    <xf numFmtId="0" fontId="30" fillId="0" borderId="6" xfId="0" applyFont="1" applyBorder="1"/>
    <xf numFmtId="0" fontId="30" fillId="0" borderId="5" xfId="0" applyFont="1" applyBorder="1"/>
    <xf numFmtId="0" fontId="30" fillId="0" borderId="5" xfId="0" applyFont="1" applyBorder="1" applyAlignment="1">
      <alignment horizontal="left"/>
    </xf>
    <xf numFmtId="0" fontId="30" fillId="0" borderId="5" xfId="0" applyFont="1" applyBorder="1" applyAlignment="1" applyProtection="1">
      <alignment vertical="center"/>
      <protection hidden="1"/>
    </xf>
    <xf numFmtId="0" fontId="30" fillId="0" borderId="5" xfId="0" applyFont="1" applyBorder="1" applyAlignment="1">
      <alignment wrapText="1"/>
    </xf>
    <xf numFmtId="0" fontId="30" fillId="0" borderId="27" xfId="0" applyFont="1" applyBorder="1"/>
    <xf numFmtId="0" fontId="30" fillId="0" borderId="11" xfId="0" applyFont="1" applyBorder="1" applyAlignment="1">
      <alignment horizontal="left"/>
    </xf>
    <xf numFmtId="0" fontId="39" fillId="0" borderId="11" xfId="0" applyFont="1" applyBorder="1"/>
    <xf numFmtId="0" fontId="35" fillId="0" borderId="5" xfId="0" applyFont="1" applyBorder="1"/>
    <xf numFmtId="0" fontId="30" fillId="0" borderId="32" xfId="0" applyFont="1" applyBorder="1"/>
    <xf numFmtId="0" fontId="30" fillId="0" borderId="20" xfId="0" applyFont="1" applyBorder="1"/>
    <xf numFmtId="0" fontId="38" fillId="0" borderId="30" xfId="0" applyFont="1" applyBorder="1" applyAlignment="1" applyProtection="1">
      <alignment wrapText="1"/>
      <protection locked="0"/>
    </xf>
    <xf numFmtId="1" fontId="13" fillId="0" borderId="10" xfId="0" applyNumberFormat="1" applyFont="1" applyBorder="1" applyAlignment="1" applyProtection="1">
      <alignment horizontal="center" vertical="center"/>
      <protection locked="0" hidden="1"/>
    </xf>
    <xf numFmtId="0" fontId="38" fillId="0" borderId="5" xfId="0" applyFont="1" applyBorder="1" applyProtection="1">
      <protection locked="0"/>
    </xf>
    <xf numFmtId="0" fontId="30" fillId="0" borderId="23" xfId="0" applyFont="1" applyBorder="1"/>
    <xf numFmtId="0" fontId="3" fillId="0" borderId="5" xfId="0" applyFont="1" applyBorder="1" applyAlignment="1">
      <alignment horizontal="center" wrapText="1"/>
    </xf>
    <xf numFmtId="0" fontId="3" fillId="0" borderId="32" xfId="0" applyFont="1" applyBorder="1" applyAlignment="1" applyProtection="1">
      <alignment horizontal="center" wrapText="1"/>
      <protection hidden="1"/>
    </xf>
    <xf numFmtId="0" fontId="9" fillId="0" borderId="19" xfId="0" applyFont="1" applyBorder="1" applyAlignment="1">
      <alignment horizontal="center" wrapText="1"/>
    </xf>
    <xf numFmtId="0" fontId="5" fillId="0" borderId="29" xfId="0" applyFont="1" applyBorder="1" applyAlignment="1" applyProtection="1">
      <alignment horizontal="center" wrapText="1"/>
      <protection hidden="1"/>
    </xf>
    <xf numFmtId="1" fontId="13" fillId="0" borderId="33" xfId="2" applyNumberFormat="1" applyFont="1" applyFill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left" wrapText="1"/>
      <protection locked="0"/>
    </xf>
    <xf numFmtId="0" fontId="38" fillId="0" borderId="5" xfId="0" applyFont="1" applyBorder="1" applyAlignment="1" applyProtection="1">
      <alignment horizontal="center"/>
      <protection locked="0"/>
    </xf>
    <xf numFmtId="0" fontId="11" fillId="0" borderId="42" xfId="0" applyFont="1" applyBorder="1"/>
    <xf numFmtId="0" fontId="11" fillId="0" borderId="24" xfId="0" applyFont="1" applyBorder="1"/>
    <xf numFmtId="0" fontId="4" fillId="0" borderId="42" xfId="0" applyFont="1" applyBorder="1"/>
    <xf numFmtId="0" fontId="42" fillId="0" borderId="5" xfId="0" applyFont="1" applyBorder="1" applyAlignment="1" applyProtection="1">
      <alignment horizontal="center"/>
      <protection locked="0"/>
    </xf>
    <xf numFmtId="0" fontId="3" fillId="0" borderId="35" xfId="0" applyFont="1" applyBorder="1" applyAlignment="1" applyProtection="1">
      <alignment horizontal="center" wrapText="1"/>
      <protection hidden="1"/>
    </xf>
    <xf numFmtId="0" fontId="42" fillId="0" borderId="8" xfId="0" applyFont="1" applyBorder="1" applyProtection="1">
      <protection locked="0"/>
    </xf>
    <xf numFmtId="0" fontId="30" fillId="0" borderId="5" xfId="0" applyFont="1" applyBorder="1" applyProtection="1">
      <protection locked="0"/>
    </xf>
    <xf numFmtId="0" fontId="42" fillId="0" borderId="5" xfId="0" applyFont="1" applyBorder="1" applyProtection="1">
      <protection locked="0"/>
    </xf>
    <xf numFmtId="0" fontId="30" fillId="0" borderId="5" xfId="0" applyFont="1" applyBorder="1" applyAlignment="1" applyProtection="1">
      <alignment wrapText="1"/>
      <protection locked="0"/>
    </xf>
    <xf numFmtId="0" fontId="42" fillId="0" borderId="5" xfId="0" applyFont="1" applyBorder="1" applyAlignment="1" applyProtection="1">
      <alignment wrapText="1"/>
      <protection locked="0"/>
    </xf>
    <xf numFmtId="0" fontId="44" fillId="0" borderId="21" xfId="0" applyFont="1" applyBorder="1" applyProtection="1">
      <protection hidden="1"/>
    </xf>
    <xf numFmtId="1" fontId="13" fillId="0" borderId="32" xfId="2" applyNumberFormat="1" applyFont="1" applyFill="1" applyBorder="1" applyAlignment="1" applyProtection="1">
      <alignment horizontal="center"/>
      <protection locked="0"/>
    </xf>
    <xf numFmtId="1" fontId="13" fillId="0" borderId="10" xfId="2" applyNumberFormat="1" applyFont="1" applyFill="1" applyBorder="1" applyAlignment="1" applyProtection="1">
      <alignment horizontal="center"/>
      <protection locked="0"/>
    </xf>
    <xf numFmtId="0" fontId="30" fillId="0" borderId="43" xfId="0" applyFont="1" applyBorder="1"/>
    <xf numFmtId="0" fontId="3" fillId="0" borderId="5" xfId="0" applyFont="1" applyBorder="1" applyAlignment="1" applyProtection="1">
      <alignment horizontal="center"/>
      <protection locked="0"/>
    </xf>
    <xf numFmtId="1" fontId="13" fillId="0" borderId="23" xfId="2" applyNumberFormat="1" applyFont="1" applyFill="1" applyBorder="1" applyAlignment="1" applyProtection="1">
      <alignment horizontal="center"/>
      <protection locked="0"/>
    </xf>
    <xf numFmtId="1" fontId="13" fillId="0" borderId="7" xfId="2" applyNumberFormat="1" applyFont="1" applyFill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43" fillId="0" borderId="5" xfId="0" applyFont="1" applyBorder="1" applyAlignment="1" applyProtection="1">
      <alignment horizontal="center"/>
      <protection locked="0"/>
    </xf>
    <xf numFmtId="1" fontId="45" fillId="0" borderId="10" xfId="2" applyNumberFormat="1" applyFont="1" applyFill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1" fontId="13" fillId="0" borderId="9" xfId="2" applyNumberFormat="1" applyFont="1" applyFill="1" applyBorder="1" applyAlignment="1" applyProtection="1">
      <alignment horizontal="center"/>
      <protection locked="0"/>
    </xf>
    <xf numFmtId="0" fontId="3" fillId="0" borderId="27" xfId="0" applyFont="1" applyBorder="1" applyAlignment="1" applyProtection="1">
      <alignment horizontal="center"/>
      <protection locked="0"/>
    </xf>
    <xf numFmtId="1" fontId="13" fillId="0" borderId="41" xfId="2" applyNumberFormat="1" applyFont="1" applyFill="1" applyBorder="1" applyAlignment="1" applyProtection="1">
      <alignment horizontal="center"/>
      <protection locked="0"/>
    </xf>
    <xf numFmtId="1" fontId="13" fillId="0" borderId="26" xfId="2" applyNumberFormat="1" applyFont="1" applyFill="1" applyBorder="1" applyAlignment="1" applyProtection="1">
      <alignment horizontal="center"/>
      <protection locked="0"/>
    </xf>
    <xf numFmtId="0" fontId="38" fillId="0" borderId="11" xfId="0" applyFont="1" applyBorder="1" applyProtection="1">
      <protection locked="0"/>
    </xf>
    <xf numFmtId="0" fontId="47" fillId="0" borderId="12" xfId="0" applyFont="1" applyBorder="1" applyAlignment="1" applyProtection="1">
      <alignment horizontal="center"/>
      <protection locked="0"/>
    </xf>
    <xf numFmtId="0" fontId="48" fillId="0" borderId="5" xfId="0" applyFont="1" applyBorder="1" applyProtection="1"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43" fillId="0" borderId="11" xfId="0" applyFont="1" applyBorder="1" applyAlignment="1" applyProtection="1">
      <alignment horizontal="center"/>
      <protection locked="0"/>
    </xf>
    <xf numFmtId="0" fontId="3" fillId="0" borderId="38" xfId="0" applyFont="1" applyBorder="1" applyAlignment="1" applyProtection="1">
      <alignment horizontal="center"/>
      <protection locked="0"/>
    </xf>
    <xf numFmtId="0" fontId="3" fillId="0" borderId="36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0" fontId="43" fillId="0" borderId="36" xfId="0" applyFont="1" applyBorder="1" applyAlignment="1" applyProtection="1">
      <alignment horizontal="center"/>
      <protection locked="0"/>
    </xf>
    <xf numFmtId="0" fontId="15" fillId="0" borderId="13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1" fillId="0" borderId="12" xfId="0" applyFont="1" applyBorder="1" applyAlignment="1" applyProtection="1">
      <alignment horizontal="left" wrapText="1"/>
      <protection locked="0"/>
    </xf>
    <xf numFmtId="0" fontId="11" fillId="0" borderId="39" xfId="0" applyFont="1" applyBorder="1" applyAlignment="1" applyProtection="1">
      <alignment horizontal="left" wrapText="1"/>
      <protection locked="0"/>
    </xf>
    <xf numFmtId="0" fontId="11" fillId="0" borderId="8" xfId="0" applyFont="1" applyBorder="1" applyAlignment="1" applyProtection="1">
      <alignment horizontal="left" wrapText="1"/>
      <protection locked="0"/>
    </xf>
    <xf numFmtId="0" fontId="36" fillId="0" borderId="12" xfId="0" applyFont="1" applyBorder="1" applyAlignment="1" applyProtection="1">
      <alignment horizontal="left" vertical="center" wrapText="1"/>
      <protection locked="0"/>
    </xf>
    <xf numFmtId="0" fontId="36" fillId="0" borderId="39" xfId="0" applyFont="1" applyBorder="1" applyAlignment="1" applyProtection="1">
      <alignment horizontal="left" vertical="center" wrapText="1"/>
      <protection locked="0"/>
    </xf>
    <xf numFmtId="0" fontId="36" fillId="0" borderId="8" xfId="0" applyFont="1" applyBorder="1" applyAlignment="1" applyProtection="1">
      <alignment horizontal="left" vertical="center" wrapText="1"/>
      <protection locked="0"/>
    </xf>
    <xf numFmtId="0" fontId="11" fillId="0" borderId="12" xfId="0" applyFont="1" applyBorder="1" applyAlignment="1" applyProtection="1">
      <alignment horizontal="left" vertical="center" wrapText="1"/>
      <protection locked="0"/>
    </xf>
    <xf numFmtId="0" fontId="11" fillId="0" borderId="8" xfId="0" applyFont="1" applyBorder="1" applyAlignment="1" applyProtection="1">
      <alignment horizontal="left" vertical="center" wrapText="1"/>
      <protection locked="0"/>
    </xf>
  </cellXfs>
  <cellStyles count="9">
    <cellStyle name="Moeda 2" xfId="1" xr:uid="{00000000-0005-0000-0000-000000000000}"/>
    <cellStyle name="Moeda 2 2" xfId="3" xr:uid="{00000000-0005-0000-0000-000001000000}"/>
    <cellStyle name="Moeda 3" xfId="4" xr:uid="{00000000-0005-0000-0000-000002000000}"/>
    <cellStyle name="Normal" xfId="0" builtinId="0"/>
    <cellStyle name="Normal 2" xfId="5" xr:uid="{00000000-0005-0000-0000-000004000000}"/>
    <cellStyle name="Normal 3" xfId="6" xr:uid="{00000000-0005-0000-0000-000005000000}"/>
    <cellStyle name="Separador de milhares 2" xfId="2" xr:uid="{00000000-0005-0000-0000-000006000000}"/>
    <cellStyle name="Separador de milhares 2 2" xfId="7" xr:uid="{00000000-0005-0000-0000-000007000000}"/>
    <cellStyle name="Separador de milhares 3" xfId="8" xr:uid="{00000000-0005-0000-0000-000008000000}"/>
  </cellStyles>
  <dxfs count="168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ciana ROMICA" id="{AA0C7D57-2DF8-4403-8C2E-FBA9962651C1}" userId="a76fd037a7c46314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5-08-18T17:34:53.22" personId="{AA0C7D57-2DF8-4403-8C2E-FBA9962651C1}" id="{5086CF04-9A7C-45E8-A695-9658F954388B}">
    <text>Minimo s/ nf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58" dT="2025-07-31T13:07:03.08" personId="{AA0C7D57-2DF8-4403-8C2E-FBA9962651C1}" id="{6F89AE6D-6F4F-4DFE-A102-BC7EB0B33F95}">
    <text>Manda mensagem quando precisa</text>
  </threadedComment>
  <threadedComment ref="A60" dT="2025-07-31T13:50:39.69" personId="{AA0C7D57-2DF8-4403-8C2E-FBA9962651C1}" id="{A26B86D1-3BDE-4121-863F-9106A966D6A3}">
    <text>Avisar Alexandre para verificar o pedido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2" dT="2025-07-30T14:08:46.75" personId="{AA0C7D57-2DF8-4403-8C2E-FBA9962651C1}" id="{7759FC37-D4CA-47A5-A418-DE8A1092CC8D}">
    <text xml:space="preserve">Entra em contato quando precisa
</text>
  </threadedComment>
  <threadedComment ref="A15" dT="2025-07-30T14:09:19.68" personId="{AA0C7D57-2DF8-4403-8C2E-FBA9962651C1}" id="{95DDC2B7-E7FB-4B0F-9A81-91BD14D306D8}">
    <text xml:space="preserve">Entra em contato quando precisa
</text>
  </threadedComment>
  <threadedComment ref="A23" dT="2025-07-30T14:53:46.35" personId="{AA0C7D57-2DF8-4403-8C2E-FBA9962651C1}" id="{68BC1380-CD69-43C2-8164-6E3296C0843A}">
    <text xml:space="preserve">Entra em contato quando precisa
</text>
  </threadedComment>
  <threadedComment ref="A28" dT="2025-07-30T14:54:18.20" personId="{AA0C7D57-2DF8-4403-8C2E-FBA9962651C1}" id="{97F057F9-E768-47C4-AEC7-01ADAB33F32D}">
    <text>Mario quem passa o pedido</text>
  </threadedComment>
  <threadedComment ref="A29" dT="2025-09-01T13:51:38.37" personId="{AA0C7D57-2DF8-4403-8C2E-FBA9962651C1}" id="{A90C26CD-6B11-4634-8AEE-B7E27189F647}">
    <text xml:space="preserve">16,00  LT
</text>
  </threadedComment>
  <threadedComment ref="A29" dT="2025-09-01T13:52:32.32" personId="{AA0C7D57-2DF8-4403-8C2E-FBA9962651C1}" id="{01598F0B-4DDA-427C-9BF7-23E25091B4BE}" parentId="{A90C26CD-6B11-4634-8AEE-B7E27189F647}">
    <text>Quando precisa manda mensagem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20" dT="2025-07-30T16:56:50.40" personId="{AA0C7D57-2DF8-4403-8C2E-FBA9962651C1}" id="{DDA820A8-05D9-46D9-9D7E-A6A8C7C4FDD9}">
    <text>Manda mensagem quando precisa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7" dT="2025-07-30T17:15:01.66" personId="{AA0C7D57-2DF8-4403-8C2E-FBA9962651C1}" id="{AE4CB2A2-CD6E-4637-B632-B7DDFCDF24DC}">
    <text>Marcio quem passa pedido</text>
  </threadedComment>
  <threadedComment ref="A25" dT="2025-07-30T17:13:15.36" personId="{AA0C7D57-2DF8-4403-8C2E-FBA9962651C1}" id="{E7859108-0FF5-4044-8C40-23F9533F4875}">
    <text>Marcio quem passa o pedido</text>
  </threadedComment>
  <threadedComment ref="A28" dT="2025-07-30T17:13:15.36" personId="{AA0C7D57-2DF8-4403-8C2E-FBA9962651C1}" id="{28B64BC3-3C6A-452C-B9EF-A2257F38471B}">
    <text>Marcio quem passa o pedido</text>
  </threadedComment>
  <threadedComment ref="A29" dT="2025-07-30T17:21:08.80" personId="{AA0C7D57-2DF8-4403-8C2E-FBA9962651C1}" id="{644D3323-AD80-4F9D-8252-0490C6A10DC5}">
    <text>Liga ou manda mensagem quando precisa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A8" dT="2025-08-05T12:23:00.05" personId="{AA0C7D57-2DF8-4403-8C2E-FBA9962651C1}" id="{0019F4E4-A933-43AA-B4BF-548CBBE51EA7}">
    <text>Manda mensagem quando precisa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A8" dT="2025-07-30T17:31:21.20" personId="{AA0C7D57-2DF8-4403-8C2E-FBA9962651C1}" id="{FF6D5C8A-B111-4F59-BA8E-37AC0A49AC5D}">
    <text xml:space="preserve">Pedido por email
</text>
  </threadedComment>
  <threadedComment ref="A9" dT="2025-07-30T17:31:49.52" personId="{AA0C7D57-2DF8-4403-8C2E-FBA9962651C1}" id="{3C7D48C0-601C-4CC7-A4B9-7E845CCEF2C5}">
    <text>Pedido por email</text>
  </threadedComment>
  <threadedComment ref="A13" dT="2025-07-30T13:59:45.67" personId="{AA0C7D57-2DF8-4403-8C2E-FBA9962651C1}" id="{ED323240-5877-4CC5-8CC5-D2684F57C949}">
    <text xml:space="preserve">Cliente do Alexandre quando o cliente precisa ele quem passa o pedido
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A9" dT="2025-07-30T17:48:27.81" personId="{AA0C7D57-2DF8-4403-8C2E-FBA9962651C1}" id="{106C4443-C539-4285-B45C-46556571C6F9}">
    <text xml:space="preserve">Liga ou manda mensagem quando precisa
</text>
  </threadedComment>
  <threadedComment ref="A22" dT="2025-07-30T17:58:37.46" personId="{AA0C7D57-2DF8-4403-8C2E-FBA9962651C1}" id="{4E76972E-4145-4EE9-8499-DCBBBCDE1FB4}">
    <text xml:space="preserve">Manda mensagem quando precisa
</text>
  </threadedComment>
  <threadedComment ref="A35" dT="2025-07-30T17:59:51.83" personId="{AA0C7D57-2DF8-4403-8C2E-FBA9962651C1}" id="{AF5D80C2-0963-48D4-925D-835F87B28790}">
    <text xml:space="preserve">Manda mensagem quando precisa
</text>
  </threadedComment>
  <threadedComment ref="A42" dT="2025-08-18T17:34:23.32" personId="{AA0C7D57-2DF8-4403-8C2E-FBA9962651C1}" id="{4BB109B5-8299-438C-9E57-FE792DC552D3}">
    <text>L 16,40 FR500 13,00 MARSH1 22,40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A15" dT="2025-07-30T18:23:48.14" personId="{AA0C7D57-2DF8-4403-8C2E-FBA9962651C1}" id="{F38E8709-5B6B-4087-9F80-B755B3F93C15}">
    <text>Manda mensagem quando precisa</text>
  </threadedComment>
  <threadedComment ref="A22" dT="2025-07-30T14:13:49.66" personId="{AA0C7D57-2DF8-4403-8C2E-FBA9962651C1}" id="{A26A0725-CA5E-4058-8F17-2B421E05CE19}">
    <text>Manda pedido quando precisa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AH37"/>
  <sheetViews>
    <sheetView showGridLines="0" zoomScale="60" zoomScaleNormal="60" workbookViewId="0">
      <pane xSplit="1" topLeftCell="B1" activePane="topRight" state="frozen"/>
      <selection pane="topRight" activeCell="A10" sqref="A10"/>
    </sheetView>
  </sheetViews>
  <sheetFormatPr defaultColWidth="9.140625" defaultRowHeight="12.75" x14ac:dyDescent="0.2"/>
  <cols>
    <col min="1" max="1" width="52.28515625" style="1" customWidth="1"/>
    <col min="2" max="2" width="22.85546875" style="1" customWidth="1"/>
    <col min="3" max="3" width="10.7109375" style="1" customWidth="1"/>
    <col min="4" max="4" width="11.85546875" style="1" customWidth="1"/>
    <col min="5" max="5" width="12.140625" style="1" customWidth="1"/>
    <col min="6" max="28" width="10.7109375" style="1" customWidth="1"/>
    <col min="29" max="29" width="57.8554687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298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C27</f>
        <v>0</v>
      </c>
      <c r="D2" s="58">
        <f t="shared" ref="D2:H2" si="0">D27</f>
        <v>0</v>
      </c>
      <c r="E2" s="58">
        <f t="shared" si="0"/>
        <v>0</v>
      </c>
      <c r="F2" s="58">
        <f t="shared" si="0"/>
        <v>0</v>
      </c>
      <c r="G2" s="58">
        <f t="shared" si="0"/>
        <v>0</v>
      </c>
      <c r="H2" s="58">
        <f t="shared" si="0"/>
        <v>0</v>
      </c>
      <c r="I2" s="58">
        <f t="shared" ref="I2:AB2" si="1">I27</f>
        <v>0</v>
      </c>
      <c r="J2" s="58">
        <f t="shared" si="1"/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C27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C27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45.75" customHeight="1" thickBot="1" x14ac:dyDescent="0.55000000000000004">
      <c r="A6" s="157" t="s">
        <v>319</v>
      </c>
      <c r="B6" s="62"/>
      <c r="C6" s="62"/>
      <c r="D6" s="62"/>
      <c r="E6" s="62"/>
      <c r="F6" s="62"/>
      <c r="G6" s="157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63" t="s">
        <v>21</v>
      </c>
      <c r="B7" s="92" t="s">
        <v>12</v>
      </c>
      <c r="C7" s="89" t="str">
        <f t="shared" ref="C7:AB7" si="5">C1</f>
        <v>Molho</v>
      </c>
      <c r="D7" s="66" t="str">
        <f t="shared" si="5"/>
        <v>Litros Chantilly</v>
      </c>
      <c r="E7" s="89" t="str">
        <f t="shared" si="5"/>
        <v>Mini Chantilly</v>
      </c>
      <c r="F7" s="66" t="str">
        <f t="shared" si="5"/>
        <v>Tetra</v>
      </c>
      <c r="G7" s="66" t="str">
        <f t="shared" si="5"/>
        <v>Tp Cul.</v>
      </c>
      <c r="H7" s="66" t="str">
        <f t="shared" si="5"/>
        <v>Fresco 250g</v>
      </c>
      <c r="I7" s="66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Jundmel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67" t="str">
        <f t="shared" si="5"/>
        <v>Clara</v>
      </c>
      <c r="AC7" s="68" t="s">
        <v>14</v>
      </c>
      <c r="AD7" s="69" t="s">
        <v>15</v>
      </c>
      <c r="AE7" s="70"/>
      <c r="AF7" s="71"/>
      <c r="AG7" s="71"/>
      <c r="AH7" s="71"/>
    </row>
    <row r="8" spans="1:34" ht="28.5" customHeight="1" x14ac:dyDescent="0.3">
      <c r="A8" s="5" t="s">
        <v>152</v>
      </c>
      <c r="B8" s="161"/>
      <c r="C8" s="158"/>
      <c r="D8" s="158"/>
      <c r="E8" s="11"/>
      <c r="F8" s="11"/>
      <c r="G8" s="11"/>
      <c r="H8" s="159"/>
      <c r="I8" s="11"/>
      <c r="J8" s="11"/>
      <c r="K8" s="11"/>
      <c r="L8" s="159"/>
      <c r="M8" s="11"/>
      <c r="N8" s="159"/>
      <c r="O8" s="11"/>
      <c r="P8" s="11"/>
      <c r="Q8" s="11"/>
      <c r="R8" s="159"/>
      <c r="S8" s="11"/>
      <c r="T8" s="10"/>
      <c r="U8" s="11"/>
      <c r="V8" s="11"/>
      <c r="W8" s="10"/>
      <c r="X8" s="11"/>
      <c r="Y8" s="11"/>
      <c r="Z8" s="10"/>
      <c r="AA8" s="11"/>
      <c r="AB8" s="10"/>
      <c r="AC8" s="40"/>
      <c r="AD8" s="45"/>
    </row>
    <row r="9" spans="1:34" ht="27" customHeight="1" x14ac:dyDescent="0.3">
      <c r="A9" s="5" t="s">
        <v>309</v>
      </c>
      <c r="B9" s="161"/>
      <c r="C9" s="158"/>
      <c r="D9" s="158"/>
      <c r="E9" s="11"/>
      <c r="F9" s="11"/>
      <c r="G9" s="11"/>
      <c r="H9" s="159"/>
      <c r="I9" s="11"/>
      <c r="J9" s="11"/>
      <c r="K9" s="11"/>
      <c r="L9" s="159"/>
      <c r="M9" s="11"/>
      <c r="N9" s="159"/>
      <c r="O9" s="11"/>
      <c r="P9" s="11"/>
      <c r="Q9" s="11"/>
      <c r="R9" s="159"/>
      <c r="S9" s="11"/>
      <c r="T9" s="10"/>
      <c r="U9" s="11"/>
      <c r="V9" s="11"/>
      <c r="W9" s="10"/>
      <c r="X9" s="11"/>
      <c r="Y9" s="11"/>
      <c r="Z9" s="10"/>
      <c r="AA9" s="11"/>
      <c r="AB9" s="10"/>
      <c r="AC9" s="40"/>
      <c r="AD9" s="45"/>
    </row>
    <row r="10" spans="1:34" ht="27" customHeight="1" x14ac:dyDescent="0.3">
      <c r="A10" s="72" t="s">
        <v>155</v>
      </c>
      <c r="B10" s="161"/>
      <c r="C10" s="158"/>
      <c r="D10" s="158"/>
      <c r="E10" s="11"/>
      <c r="F10" s="11"/>
      <c r="G10" s="11"/>
      <c r="H10" s="159"/>
      <c r="I10" s="11"/>
      <c r="J10" s="11"/>
      <c r="K10" s="11"/>
      <c r="L10" s="159"/>
      <c r="M10" s="11"/>
      <c r="N10" s="159"/>
      <c r="O10" s="11"/>
      <c r="P10" s="11"/>
      <c r="Q10" s="11"/>
      <c r="R10" s="159"/>
      <c r="S10" s="11"/>
      <c r="T10" s="10"/>
      <c r="U10" s="11"/>
      <c r="V10" s="11"/>
      <c r="W10" s="10"/>
      <c r="X10" s="11"/>
      <c r="Y10" s="11"/>
      <c r="Z10" s="10"/>
      <c r="AA10" s="11"/>
      <c r="AB10" s="10"/>
      <c r="AC10" s="40"/>
      <c r="AD10" s="45"/>
    </row>
    <row r="11" spans="1:34" ht="27" customHeight="1" x14ac:dyDescent="0.3">
      <c r="A11" s="8" t="s">
        <v>153</v>
      </c>
      <c r="B11" s="161"/>
      <c r="C11" s="158"/>
      <c r="D11" s="158"/>
      <c r="E11" s="11"/>
      <c r="F11" s="11"/>
      <c r="G11" s="11"/>
      <c r="H11" s="159"/>
      <c r="I11" s="11"/>
      <c r="J11" s="11"/>
      <c r="K11" s="11"/>
      <c r="L11" s="159"/>
      <c r="M11" s="11"/>
      <c r="N11" s="159"/>
      <c r="O11" s="11"/>
      <c r="P11" s="11"/>
      <c r="Q11" s="11"/>
      <c r="R11" s="159"/>
      <c r="S11" s="11"/>
      <c r="T11" s="10"/>
      <c r="U11" s="11"/>
      <c r="V11" s="11"/>
      <c r="W11" s="10"/>
      <c r="X11" s="11"/>
      <c r="Y11" s="11"/>
      <c r="Z11" s="10"/>
      <c r="AA11" s="11"/>
      <c r="AB11" s="10"/>
      <c r="AC11" s="40"/>
      <c r="AD11" s="45"/>
    </row>
    <row r="12" spans="1:34" ht="26.25" customHeight="1" x14ac:dyDescent="0.3">
      <c r="A12" s="5" t="s">
        <v>154</v>
      </c>
      <c r="B12" s="161"/>
      <c r="C12" s="158"/>
      <c r="D12" s="158"/>
      <c r="E12" s="11"/>
      <c r="F12" s="11"/>
      <c r="G12" s="11"/>
      <c r="H12" s="159"/>
      <c r="I12" s="11"/>
      <c r="J12" s="11"/>
      <c r="K12" s="11"/>
      <c r="L12" s="159"/>
      <c r="M12" s="11"/>
      <c r="N12" s="159"/>
      <c r="O12" s="11"/>
      <c r="P12" s="11"/>
      <c r="Q12" s="11"/>
      <c r="R12" s="159"/>
      <c r="S12" s="11"/>
      <c r="T12" s="10"/>
      <c r="U12" s="11"/>
      <c r="V12" s="11"/>
      <c r="W12" s="10"/>
      <c r="X12" s="11"/>
      <c r="Y12" s="11"/>
      <c r="Z12" s="10"/>
      <c r="AA12" s="11"/>
      <c r="AB12" s="10"/>
      <c r="AC12" s="40"/>
      <c r="AD12" s="45"/>
    </row>
    <row r="13" spans="1:34" ht="24.95" hidden="1" customHeight="1" x14ac:dyDescent="0.3">
      <c r="A13" s="5" t="s">
        <v>156</v>
      </c>
      <c r="B13" s="161"/>
      <c r="C13" s="158"/>
      <c r="D13" s="158"/>
      <c r="E13" s="11"/>
      <c r="F13" s="11"/>
      <c r="G13" s="11"/>
      <c r="H13" s="159"/>
      <c r="I13" s="11"/>
      <c r="J13" s="11"/>
      <c r="K13" s="11"/>
      <c r="L13" s="159"/>
      <c r="M13" s="11"/>
      <c r="N13" s="159"/>
      <c r="O13" s="11"/>
      <c r="P13" s="11"/>
      <c r="Q13" s="11"/>
      <c r="R13" s="159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40"/>
      <c r="AD13" s="45"/>
    </row>
    <row r="14" spans="1:34" ht="24.95" hidden="1" customHeight="1" x14ac:dyDescent="0.35">
      <c r="A14" s="5" t="s">
        <v>157</v>
      </c>
      <c r="B14" s="161"/>
      <c r="C14" s="158"/>
      <c r="D14" s="158"/>
      <c r="E14" s="11"/>
      <c r="F14" s="11"/>
      <c r="G14" s="11"/>
      <c r="H14" s="159"/>
      <c r="I14" s="11"/>
      <c r="J14" s="11"/>
      <c r="K14" s="11"/>
      <c r="L14" s="159"/>
      <c r="M14" s="11"/>
      <c r="N14" s="159"/>
      <c r="O14" s="11"/>
      <c r="P14" s="11"/>
      <c r="Q14" s="11"/>
      <c r="R14" s="159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40"/>
      <c r="AD14" s="47"/>
      <c r="AE14" s="4"/>
      <c r="AF14" s="37"/>
      <c r="AG14" s="37"/>
      <c r="AH14" s="37"/>
    </row>
    <row r="15" spans="1:34" ht="24.95" hidden="1" customHeight="1" x14ac:dyDescent="0.35">
      <c r="A15" s="154" t="s">
        <v>295</v>
      </c>
      <c r="B15" s="161"/>
      <c r="C15" s="158"/>
      <c r="D15" s="158"/>
      <c r="E15" s="11"/>
      <c r="F15" s="11"/>
      <c r="G15" s="11"/>
      <c r="H15" s="159"/>
      <c r="I15" s="11"/>
      <c r="J15" s="11"/>
      <c r="K15" s="11"/>
      <c r="L15" s="159"/>
      <c r="M15" s="11"/>
      <c r="N15" s="159"/>
      <c r="O15" s="11"/>
      <c r="P15" s="11"/>
      <c r="Q15" s="11"/>
      <c r="R15" s="159"/>
      <c r="S15" s="11"/>
      <c r="T15" s="10"/>
      <c r="U15" s="11"/>
      <c r="V15" s="11"/>
      <c r="W15" s="10"/>
      <c r="X15" s="11"/>
      <c r="Y15" s="11"/>
      <c r="Z15" s="10"/>
      <c r="AA15" s="11"/>
      <c r="AB15" s="10"/>
      <c r="AC15" s="40"/>
      <c r="AD15" s="47"/>
      <c r="AE15" s="4"/>
      <c r="AF15" s="37"/>
      <c r="AG15" s="37"/>
      <c r="AH15" s="37"/>
    </row>
    <row r="16" spans="1:34" ht="24.95" hidden="1" customHeight="1" x14ac:dyDescent="0.35">
      <c r="A16" s="5" t="s">
        <v>172</v>
      </c>
      <c r="B16" s="161"/>
      <c r="C16" s="158"/>
      <c r="D16" s="158"/>
      <c r="E16" s="11"/>
      <c r="F16" s="11"/>
      <c r="G16" s="11"/>
      <c r="H16" s="159"/>
      <c r="I16" s="11"/>
      <c r="J16" s="11"/>
      <c r="K16" s="11"/>
      <c r="L16" s="159"/>
      <c r="M16" s="11"/>
      <c r="N16" s="159"/>
      <c r="O16" s="11"/>
      <c r="P16" s="11"/>
      <c r="Q16" s="11"/>
      <c r="R16" s="159"/>
      <c r="S16" s="11"/>
      <c r="T16" s="10"/>
      <c r="U16" s="11"/>
      <c r="V16" s="11"/>
      <c r="W16" s="10"/>
      <c r="X16" s="11"/>
      <c r="Y16" s="11"/>
      <c r="Z16" s="10"/>
      <c r="AA16" s="11"/>
      <c r="AB16" s="10"/>
      <c r="AC16" s="40"/>
      <c r="AD16" s="42"/>
      <c r="AE16" s="15"/>
      <c r="AF16" s="34"/>
      <c r="AG16" s="34"/>
      <c r="AH16" s="34"/>
    </row>
    <row r="17" spans="1:34" ht="41.25" hidden="1" x14ac:dyDescent="0.35">
      <c r="A17" s="115" t="s">
        <v>184</v>
      </c>
      <c r="B17" s="161" t="s">
        <v>44</v>
      </c>
      <c r="C17" s="158"/>
      <c r="D17" s="158" t="s">
        <v>196</v>
      </c>
      <c r="E17" s="11" t="s">
        <v>196</v>
      </c>
      <c r="F17" s="11"/>
      <c r="G17" s="11"/>
      <c r="H17" s="159"/>
      <c r="I17" s="11"/>
      <c r="J17" s="11"/>
      <c r="K17" s="11"/>
      <c r="L17" s="159"/>
      <c r="M17" s="11" t="s">
        <v>196</v>
      </c>
      <c r="N17" s="159"/>
      <c r="O17" s="11"/>
      <c r="P17" s="11"/>
      <c r="Q17" s="11"/>
      <c r="R17" s="159"/>
      <c r="S17" s="11"/>
      <c r="T17" s="10"/>
      <c r="U17" s="11"/>
      <c r="V17" s="11"/>
      <c r="W17" s="10"/>
      <c r="X17" s="11"/>
      <c r="Y17" s="11"/>
      <c r="Z17" s="10"/>
      <c r="AA17" s="11"/>
      <c r="AB17" s="10"/>
      <c r="AC17" s="40"/>
      <c r="AD17" s="42"/>
      <c r="AE17" s="15"/>
      <c r="AF17" s="34"/>
      <c r="AG17" s="34"/>
      <c r="AH17" s="34"/>
    </row>
    <row r="18" spans="1:34" ht="31.5" customHeight="1" x14ac:dyDescent="0.35">
      <c r="A18" s="72" t="s">
        <v>156</v>
      </c>
      <c r="B18" s="161"/>
      <c r="C18" s="158"/>
      <c r="D18" s="158"/>
      <c r="E18" s="11"/>
      <c r="F18" s="11"/>
      <c r="G18" s="11"/>
      <c r="H18" s="159"/>
      <c r="I18" s="11"/>
      <c r="J18" s="11"/>
      <c r="K18" s="11"/>
      <c r="L18" s="159"/>
      <c r="M18" s="11"/>
      <c r="N18" s="159"/>
      <c r="O18" s="11"/>
      <c r="P18" s="11"/>
      <c r="Q18" s="11"/>
      <c r="R18" s="159"/>
      <c r="S18" s="11"/>
      <c r="T18" s="10"/>
      <c r="U18" s="11"/>
      <c r="V18" s="11"/>
      <c r="W18" s="10"/>
      <c r="X18" s="11"/>
      <c r="Y18" s="11"/>
      <c r="Z18" s="10"/>
      <c r="AA18" s="11"/>
      <c r="AB18" s="10"/>
      <c r="AC18" s="40"/>
      <c r="AD18" s="42"/>
      <c r="AE18" s="15"/>
      <c r="AF18" s="34"/>
      <c r="AG18" s="34"/>
      <c r="AH18" s="34"/>
    </row>
    <row r="19" spans="1:34" ht="61.5" hidden="1" x14ac:dyDescent="0.35">
      <c r="A19" s="119" t="s">
        <v>271</v>
      </c>
      <c r="B19" s="161"/>
      <c r="C19" s="162"/>
      <c r="D19" s="162"/>
      <c r="E19" s="7"/>
      <c r="F19" s="7"/>
      <c r="G19" s="7"/>
      <c r="H19" s="163"/>
      <c r="I19" s="7"/>
      <c r="J19" s="7"/>
      <c r="K19" s="7"/>
      <c r="L19" s="163"/>
      <c r="M19" s="7"/>
      <c r="N19" s="163"/>
      <c r="O19" s="7"/>
      <c r="P19" s="7"/>
      <c r="Q19" s="7"/>
      <c r="R19" s="163"/>
      <c r="S19" s="7"/>
      <c r="T19" s="6"/>
      <c r="U19" s="7"/>
      <c r="V19" s="7"/>
      <c r="W19" s="6"/>
      <c r="X19" s="7"/>
      <c r="Y19" s="7"/>
      <c r="Z19" s="6"/>
      <c r="AA19" s="7"/>
      <c r="AB19" s="144"/>
      <c r="AC19" s="147"/>
      <c r="AD19" s="42"/>
      <c r="AE19" s="15"/>
      <c r="AF19" s="34"/>
      <c r="AG19" s="34"/>
      <c r="AH19" s="34"/>
    </row>
    <row r="20" spans="1:34" ht="24.95" customHeight="1" x14ac:dyDescent="0.35">
      <c r="A20" s="5"/>
      <c r="B20" s="161"/>
      <c r="C20" s="158"/>
      <c r="D20" s="158"/>
      <c r="E20" s="11"/>
      <c r="F20" s="11"/>
      <c r="G20" s="11"/>
      <c r="H20" s="159"/>
      <c r="I20" s="11"/>
      <c r="J20" s="11"/>
      <c r="K20" s="11"/>
      <c r="L20" s="159"/>
      <c r="M20" s="11"/>
      <c r="N20" s="159"/>
      <c r="O20" s="11"/>
      <c r="P20" s="11"/>
      <c r="Q20" s="11"/>
      <c r="R20" s="159"/>
      <c r="S20" s="11"/>
      <c r="T20" s="10"/>
      <c r="U20" s="11"/>
      <c r="V20" s="11"/>
      <c r="W20" s="10"/>
      <c r="X20" s="11"/>
      <c r="Y20" s="11"/>
      <c r="Z20" s="10"/>
      <c r="AA20" s="11"/>
      <c r="AB20" s="10"/>
      <c r="AC20" s="40"/>
      <c r="AD20" s="42"/>
      <c r="AE20" s="15"/>
      <c r="AF20" s="34"/>
      <c r="AG20" s="34"/>
      <c r="AH20" s="34"/>
    </row>
    <row r="21" spans="1:34" ht="24.95" hidden="1" customHeight="1" x14ac:dyDescent="0.35">
      <c r="A21" s="154" t="s">
        <v>294</v>
      </c>
      <c r="B21" s="161"/>
      <c r="C21" s="158"/>
      <c r="D21" s="158"/>
      <c r="E21" s="11"/>
      <c r="F21" s="11"/>
      <c r="G21" s="11"/>
      <c r="H21" s="159"/>
      <c r="I21" s="11"/>
      <c r="J21" s="11"/>
      <c r="K21" s="11"/>
      <c r="L21" s="159"/>
      <c r="M21" s="11"/>
      <c r="N21" s="159"/>
      <c r="O21" s="11"/>
      <c r="P21" s="11"/>
      <c r="Q21" s="11"/>
      <c r="R21" s="159"/>
      <c r="S21" s="11"/>
      <c r="T21" s="10"/>
      <c r="U21" s="11"/>
      <c r="V21" s="11"/>
      <c r="W21" s="10"/>
      <c r="X21" s="11"/>
      <c r="Y21" s="11"/>
      <c r="Z21" s="10"/>
      <c r="AA21" s="11"/>
      <c r="AB21" s="10"/>
      <c r="AC21" s="40"/>
      <c r="AD21" s="42"/>
      <c r="AE21" s="15"/>
      <c r="AF21" s="34"/>
      <c r="AG21" s="34"/>
      <c r="AH21" s="34"/>
    </row>
    <row r="22" spans="1:34" ht="61.5" x14ac:dyDescent="0.35">
      <c r="A22" s="121" t="s">
        <v>374</v>
      </c>
      <c r="B22" s="161"/>
      <c r="C22" s="158"/>
      <c r="D22" s="158"/>
      <c r="E22" s="11"/>
      <c r="F22" s="11"/>
      <c r="G22" s="11"/>
      <c r="H22" s="159"/>
      <c r="I22" s="11"/>
      <c r="J22" s="11"/>
      <c r="K22" s="11"/>
      <c r="L22" s="159"/>
      <c r="M22" s="11"/>
      <c r="N22" s="159"/>
      <c r="O22" s="11"/>
      <c r="P22" s="11"/>
      <c r="Q22" s="11"/>
      <c r="R22" s="159"/>
      <c r="S22" s="11"/>
      <c r="T22" s="10"/>
      <c r="U22" s="11"/>
      <c r="V22" s="11"/>
      <c r="W22" s="10"/>
      <c r="X22" s="11"/>
      <c r="Y22" s="11"/>
      <c r="Z22" s="10"/>
      <c r="AA22" s="11"/>
      <c r="AB22" s="10"/>
      <c r="AC22" s="40"/>
      <c r="AD22" s="42"/>
      <c r="AE22" s="15"/>
      <c r="AF22" s="34"/>
      <c r="AG22" s="34"/>
      <c r="AH22" s="34"/>
    </row>
    <row r="23" spans="1:34" ht="23.25" x14ac:dyDescent="0.35">
      <c r="A23" s="121"/>
      <c r="B23" s="161"/>
      <c r="C23" s="158"/>
      <c r="D23" s="158"/>
      <c r="E23" s="11"/>
      <c r="F23" s="11"/>
      <c r="G23" s="11"/>
      <c r="H23" s="159"/>
      <c r="I23" s="11"/>
      <c r="J23" s="11"/>
      <c r="K23" s="11"/>
      <c r="L23" s="159"/>
      <c r="M23" s="11"/>
      <c r="N23" s="159"/>
      <c r="O23" s="11"/>
      <c r="P23" s="11"/>
      <c r="Q23" s="11"/>
      <c r="R23" s="159"/>
      <c r="S23" s="11"/>
      <c r="T23" s="10"/>
      <c r="U23" s="11"/>
      <c r="V23" s="11"/>
      <c r="W23" s="10"/>
      <c r="X23" s="11"/>
      <c r="Y23" s="11"/>
      <c r="Z23" s="10"/>
      <c r="AA23" s="11"/>
      <c r="AB23" s="10"/>
      <c r="AC23" s="40"/>
      <c r="AD23" s="42"/>
      <c r="AE23" s="15"/>
      <c r="AF23" s="34"/>
      <c r="AG23" s="34"/>
      <c r="AH23" s="34"/>
    </row>
    <row r="24" spans="1:34" ht="24.95" customHeight="1" x14ac:dyDescent="0.35">
      <c r="A24" s="5" t="s">
        <v>101</v>
      </c>
      <c r="B24" s="161"/>
      <c r="C24" s="158"/>
      <c r="D24" s="158"/>
      <c r="E24" s="11"/>
      <c r="F24" s="11"/>
      <c r="G24" s="11"/>
      <c r="H24" s="159"/>
      <c r="I24" s="11"/>
      <c r="J24" s="11"/>
      <c r="K24" s="11"/>
      <c r="L24" s="159"/>
      <c r="M24" s="11"/>
      <c r="N24" s="159"/>
      <c r="O24" s="11"/>
      <c r="P24" s="11"/>
      <c r="Q24" s="11"/>
      <c r="R24" s="159"/>
      <c r="S24" s="11"/>
      <c r="T24" s="10"/>
      <c r="U24" s="11"/>
      <c r="V24" s="11"/>
      <c r="W24" s="10"/>
      <c r="X24" s="11"/>
      <c r="Y24" s="11"/>
      <c r="Z24" s="10"/>
      <c r="AA24" s="11"/>
      <c r="AB24" s="10"/>
      <c r="AC24" s="40"/>
      <c r="AD24" s="42"/>
      <c r="AE24" s="15"/>
      <c r="AF24" s="34"/>
      <c r="AG24" s="34"/>
      <c r="AH24" s="34"/>
    </row>
    <row r="25" spans="1:34" ht="24.95" customHeight="1" x14ac:dyDescent="0.35">
      <c r="A25" s="5" t="s">
        <v>102</v>
      </c>
      <c r="B25" s="161"/>
      <c r="C25" s="158"/>
      <c r="D25" s="158"/>
      <c r="E25" s="11"/>
      <c r="F25" s="11"/>
      <c r="G25" s="11"/>
      <c r="H25" s="159"/>
      <c r="I25" s="11"/>
      <c r="J25" s="11"/>
      <c r="K25" s="11"/>
      <c r="L25" s="159"/>
      <c r="M25" s="11"/>
      <c r="N25" s="159"/>
      <c r="O25" s="11"/>
      <c r="P25" s="11"/>
      <c r="Q25" s="11"/>
      <c r="R25" s="159"/>
      <c r="S25" s="11"/>
      <c r="T25" s="10"/>
      <c r="U25" s="11"/>
      <c r="V25" s="11"/>
      <c r="W25" s="10"/>
      <c r="X25" s="11"/>
      <c r="Y25" s="11"/>
      <c r="Z25" s="10"/>
      <c r="AA25" s="11"/>
      <c r="AB25" s="10"/>
      <c r="AC25" s="40"/>
      <c r="AD25" s="42"/>
      <c r="AE25" s="15"/>
      <c r="AF25" s="34"/>
      <c r="AG25" s="34"/>
      <c r="AH25" s="34"/>
    </row>
    <row r="26" spans="1:34" ht="24.95" customHeight="1" thickBot="1" x14ac:dyDescent="0.35">
      <c r="A26" s="5" t="s">
        <v>103</v>
      </c>
      <c r="B26" s="95"/>
      <c r="C26" s="91"/>
      <c r="D26" s="91"/>
      <c r="E26" s="11"/>
      <c r="F26" s="11"/>
      <c r="G26" s="11"/>
      <c r="H26" s="10"/>
      <c r="I26" s="11"/>
      <c r="J26" s="11"/>
      <c r="K26" s="11"/>
      <c r="L26" s="10"/>
      <c r="M26" s="11"/>
      <c r="N26" s="10"/>
      <c r="O26" s="11"/>
      <c r="P26" s="11"/>
      <c r="Q26" s="11"/>
      <c r="R26" s="10"/>
      <c r="S26" s="11"/>
      <c r="T26" s="10"/>
      <c r="U26" s="11"/>
      <c r="V26" s="11"/>
      <c r="W26" s="10"/>
      <c r="X26" s="11"/>
      <c r="Y26" s="11"/>
      <c r="Z26" s="10"/>
      <c r="AA26" s="11"/>
      <c r="AB26" s="10"/>
      <c r="AC26" s="40"/>
      <c r="AD26" s="48"/>
      <c r="AE26" s="38"/>
      <c r="AF26" s="38"/>
      <c r="AG26" s="38"/>
      <c r="AH26" s="38"/>
    </row>
    <row r="27" spans="1:34" ht="24.95" customHeight="1" thickBot="1" x14ac:dyDescent="0.35">
      <c r="A27" s="182" t="s">
        <v>13</v>
      </c>
      <c r="B27" s="183"/>
      <c r="C27" s="18">
        <f t="shared" ref="C27:AB27" si="6">SUM(C8:C26)</f>
        <v>0</v>
      </c>
      <c r="D27" s="18">
        <f t="shared" si="6"/>
        <v>0</v>
      </c>
      <c r="E27" s="18">
        <f t="shared" si="6"/>
        <v>0</v>
      </c>
      <c r="F27" s="19">
        <f t="shared" si="6"/>
        <v>0</v>
      </c>
      <c r="G27" s="19">
        <f t="shared" si="6"/>
        <v>0</v>
      </c>
      <c r="H27" s="19">
        <f t="shared" si="6"/>
        <v>0</v>
      </c>
      <c r="I27" s="19">
        <f t="shared" si="6"/>
        <v>0</v>
      </c>
      <c r="J27" s="19">
        <f t="shared" si="6"/>
        <v>0</v>
      </c>
      <c r="K27" s="19">
        <f t="shared" si="6"/>
        <v>0</v>
      </c>
      <c r="L27" s="19">
        <f t="shared" si="6"/>
        <v>0</v>
      </c>
      <c r="M27" s="19">
        <f t="shared" si="6"/>
        <v>0</v>
      </c>
      <c r="N27" s="19">
        <f t="shared" si="6"/>
        <v>0</v>
      </c>
      <c r="O27" s="19">
        <f t="shared" si="6"/>
        <v>0</v>
      </c>
      <c r="P27" s="19">
        <f t="shared" si="6"/>
        <v>0</v>
      </c>
      <c r="Q27" s="19">
        <f t="shared" si="6"/>
        <v>0</v>
      </c>
      <c r="R27" s="19">
        <f t="shared" si="6"/>
        <v>0</v>
      </c>
      <c r="S27" s="19">
        <f t="shared" si="6"/>
        <v>0</v>
      </c>
      <c r="T27" s="19">
        <f t="shared" si="6"/>
        <v>0</v>
      </c>
      <c r="U27" s="19">
        <f t="shared" si="6"/>
        <v>0</v>
      </c>
      <c r="V27" s="19">
        <f t="shared" si="6"/>
        <v>0</v>
      </c>
      <c r="W27" s="19">
        <f t="shared" si="6"/>
        <v>0</v>
      </c>
      <c r="X27" s="19">
        <f t="shared" si="6"/>
        <v>0</v>
      </c>
      <c r="Y27" s="19">
        <f t="shared" si="6"/>
        <v>0</v>
      </c>
      <c r="Z27" s="19">
        <f t="shared" si="6"/>
        <v>0</v>
      </c>
      <c r="AA27" s="20">
        <f t="shared" si="6"/>
        <v>0</v>
      </c>
      <c r="AB27" s="20">
        <f t="shared" si="6"/>
        <v>0</v>
      </c>
    </row>
    <row r="28" spans="1:34" s="23" customFormat="1" ht="24.95" customHeight="1" x14ac:dyDescent="0.25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</row>
    <row r="29" spans="1:34" s="23" customFormat="1" ht="24.95" customHeight="1" x14ac:dyDescent="0.25">
      <c r="J29" s="24"/>
      <c r="K29" s="24"/>
      <c r="L29" s="24"/>
      <c r="M29" s="25"/>
      <c r="N29" s="26"/>
      <c r="O29" s="27"/>
      <c r="R29" s="24"/>
      <c r="S29" s="24"/>
      <c r="T29" s="24"/>
      <c r="U29" s="24"/>
      <c r="V29" s="24"/>
      <c r="W29" s="24"/>
      <c r="X29" s="28"/>
      <c r="Y29" s="24"/>
      <c r="Z29" s="24"/>
      <c r="AA29" s="28"/>
      <c r="AB29" s="24"/>
    </row>
    <row r="30" spans="1:34" s="23" customFormat="1" ht="24.95" customHeight="1" x14ac:dyDescent="0.25">
      <c r="J30" s="24"/>
      <c r="M30" s="25"/>
      <c r="N30" s="26"/>
      <c r="O30" s="27"/>
      <c r="R30" s="24"/>
      <c r="U30" s="24"/>
      <c r="X30" s="28"/>
      <c r="AA30" s="28"/>
    </row>
    <row r="31" spans="1:34" s="23" customFormat="1" ht="24.95" customHeight="1" x14ac:dyDescent="0.25">
      <c r="J31" s="24"/>
      <c r="K31" s="24"/>
      <c r="L31" s="24"/>
      <c r="M31" s="29"/>
      <c r="N31" s="30"/>
      <c r="O31" s="29"/>
      <c r="R31" s="24"/>
      <c r="S31" s="24"/>
      <c r="T31" s="24"/>
      <c r="U31" s="24"/>
      <c r="V31" s="24"/>
      <c r="W31" s="24"/>
      <c r="X31" s="16"/>
      <c r="Y31" s="24"/>
      <c r="Z31" s="24"/>
      <c r="AA31" s="16"/>
      <c r="AB31" s="24"/>
    </row>
    <row r="32" spans="1:34" s="23" customFormat="1" ht="23.1" customHeight="1" x14ac:dyDescent="0.25">
      <c r="F32" s="16"/>
      <c r="G32" s="16"/>
      <c r="H32" s="16"/>
      <c r="I32" s="16"/>
      <c r="J32" s="24"/>
      <c r="K32" s="16"/>
      <c r="L32" s="16"/>
      <c r="M32" s="31"/>
      <c r="N32" s="31"/>
      <c r="O32" s="31"/>
      <c r="P32" s="16"/>
      <c r="Q32" s="16"/>
      <c r="R32" s="24"/>
      <c r="S32" s="16"/>
      <c r="T32" s="16"/>
      <c r="U32" s="24"/>
      <c r="V32" s="16"/>
      <c r="W32" s="16"/>
      <c r="X32" s="32"/>
      <c r="Y32" s="16"/>
      <c r="Z32" s="16"/>
      <c r="AA32" s="32"/>
      <c r="AB32" s="16"/>
    </row>
    <row r="33" spans="1:34" ht="23.1" customHeight="1" x14ac:dyDescent="0.2">
      <c r="A33" s="23"/>
      <c r="B33" s="23"/>
      <c r="C33" s="23"/>
      <c r="D33" s="23"/>
      <c r="E33" s="23"/>
      <c r="F33" s="23"/>
      <c r="G33" s="23"/>
      <c r="H33" s="23"/>
      <c r="I33" s="23"/>
      <c r="J33" s="16"/>
      <c r="K33" s="23"/>
      <c r="L33" s="23"/>
      <c r="M33" s="16"/>
      <c r="N33" s="16"/>
      <c r="O33" s="16"/>
      <c r="P33" s="23"/>
      <c r="Q33" s="23"/>
      <c r="R33" s="16"/>
      <c r="S33" s="23"/>
      <c r="T33" s="23"/>
      <c r="U33" s="16"/>
      <c r="V33" s="23"/>
      <c r="W33" s="23"/>
      <c r="X33" s="16"/>
      <c r="Y33" s="23"/>
      <c r="Z33" s="23"/>
      <c r="AA33" s="16"/>
      <c r="AB33" s="23"/>
      <c r="AC33" s="23"/>
      <c r="AD33" s="23"/>
      <c r="AE33" s="23"/>
      <c r="AF33" s="23"/>
      <c r="AG33" s="23"/>
      <c r="AH33" s="23"/>
    </row>
    <row r="34" spans="1:34" ht="23.1" customHeight="1" x14ac:dyDescent="0.2">
      <c r="K34" s="33"/>
      <c r="L34" s="33"/>
      <c r="M34" s="33"/>
      <c r="N34" s="33"/>
      <c r="O34" s="33"/>
      <c r="P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34" ht="23.1" customHeight="1" x14ac:dyDescent="0.2">
      <c r="A35" s="33"/>
      <c r="B35" s="33"/>
      <c r="C35" s="33"/>
      <c r="D35" s="33"/>
      <c r="E35" s="33"/>
      <c r="F35" s="33"/>
      <c r="G35" s="33"/>
      <c r="L35" s="33"/>
      <c r="M35" s="33"/>
      <c r="N35" s="33"/>
      <c r="O35" s="33"/>
      <c r="P35" s="33"/>
      <c r="S35" s="33"/>
      <c r="T35" s="33"/>
      <c r="U35" s="33"/>
      <c r="V35" s="33"/>
      <c r="W35" s="33"/>
      <c r="X35" s="33"/>
      <c r="Y35" s="33"/>
      <c r="Z35" s="33"/>
      <c r="AA35" s="33"/>
      <c r="AB35" s="33"/>
    </row>
    <row r="36" spans="1:34" ht="23.1" customHeight="1" x14ac:dyDescent="0.2">
      <c r="T36" s="33"/>
      <c r="U36" s="33"/>
      <c r="V36" s="33"/>
      <c r="W36" s="33"/>
      <c r="X36" s="33"/>
      <c r="Y36" s="33"/>
      <c r="Z36" s="33"/>
      <c r="AA36" s="33"/>
      <c r="AB36" s="33"/>
    </row>
    <row r="37" spans="1:34" ht="23.1" customHeight="1" x14ac:dyDescent="0.2"/>
  </sheetData>
  <mergeCells count="1">
    <mergeCell ref="A27:B27"/>
  </mergeCells>
  <conditionalFormatting sqref="J31">
    <cfRule type="expression" dxfId="167" priority="13" stopIfTrue="1">
      <formula>#REF!="sobra"</formula>
    </cfRule>
    <cfRule type="expression" dxfId="166" priority="14" stopIfTrue="1">
      <formula>#REF!="Falta"</formula>
    </cfRule>
  </conditionalFormatting>
  <conditionalFormatting sqref="L31 R31">
    <cfRule type="expression" dxfId="165" priority="15" stopIfTrue="1">
      <formula>#REF!="sobra"</formula>
    </cfRule>
    <cfRule type="expression" dxfId="164" priority="16" stopIfTrue="1">
      <formula>#REF!="Falta"</formula>
    </cfRule>
  </conditionalFormatting>
  <conditionalFormatting sqref="T31:U31">
    <cfRule type="expression" dxfId="163" priority="11" stopIfTrue="1">
      <formula>#REF!="sobra"</formula>
    </cfRule>
    <cfRule type="expression" dxfId="162" priority="12" stopIfTrue="1">
      <formula>#REF!="Falta"</formula>
    </cfRule>
  </conditionalFormatting>
  <conditionalFormatting sqref="W31">
    <cfRule type="expression" dxfId="161" priority="9" stopIfTrue="1">
      <formula>#REF!="sobra"</formula>
    </cfRule>
    <cfRule type="expression" dxfId="160" priority="10" stopIfTrue="1">
      <formula>#REF!="Falta"</formula>
    </cfRule>
  </conditionalFormatting>
  <conditionalFormatting sqref="Z31">
    <cfRule type="expression" dxfId="159" priority="3" stopIfTrue="1">
      <formula>#REF!="sobra"</formula>
    </cfRule>
    <cfRule type="expression" dxfId="158" priority="4" stopIfTrue="1">
      <formula>#REF!="Falta"</formula>
    </cfRule>
  </conditionalFormatting>
  <conditionalFormatting sqref="AB31">
    <cfRule type="expression" dxfId="157" priority="1" stopIfTrue="1">
      <formula>#REF!="sobra"</formula>
    </cfRule>
    <cfRule type="expression" dxfId="156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H39"/>
  <sheetViews>
    <sheetView showGridLines="0" zoomScale="60" zoomScaleNormal="60" workbookViewId="0">
      <pane xSplit="1" topLeftCell="B1" activePane="topRight" state="frozen"/>
      <selection pane="topRight" activeCell="A18" sqref="A18:A19"/>
    </sheetView>
  </sheetViews>
  <sheetFormatPr defaultColWidth="9.140625" defaultRowHeight="12.75" x14ac:dyDescent="0.2"/>
  <cols>
    <col min="1" max="1" width="72.28515625" style="1" customWidth="1"/>
    <col min="2" max="2" width="16.85546875" style="1" customWidth="1"/>
    <col min="3" max="3" width="10.7109375" style="1" customWidth="1"/>
    <col min="4" max="4" width="11.28515625" style="1" bestFit="1" customWidth="1"/>
    <col min="5" max="5" width="12" style="1" customWidth="1"/>
    <col min="6" max="28" width="10.7109375" style="1" customWidth="1"/>
    <col min="29" max="29" width="33.8554687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298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C29</f>
        <v>0</v>
      </c>
      <c r="D2" s="58">
        <f t="shared" ref="D2:I2" si="0">D29</f>
        <v>0</v>
      </c>
      <c r="E2" s="58">
        <f t="shared" si="0"/>
        <v>0</v>
      </c>
      <c r="F2" s="58">
        <f t="shared" si="0"/>
        <v>0</v>
      </c>
      <c r="G2" s="58">
        <f t="shared" si="0"/>
        <v>0</v>
      </c>
      <c r="H2" s="58">
        <f t="shared" si="0"/>
        <v>0</v>
      </c>
      <c r="I2" s="58">
        <f t="shared" si="0"/>
        <v>0</v>
      </c>
      <c r="J2" s="58">
        <f t="shared" ref="J2:AB2" si="1">J29</f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C29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C29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63" t="s">
        <v>21</v>
      </c>
      <c r="B7" s="64" t="s">
        <v>12</v>
      </c>
      <c r="C7" s="65" t="str">
        <f t="shared" ref="C7:AB7" si="5">C1</f>
        <v>Molho</v>
      </c>
      <c r="D7" s="66" t="str">
        <f t="shared" si="5"/>
        <v>Litros Chantilly</v>
      </c>
      <c r="E7" s="66" t="str">
        <f t="shared" si="5"/>
        <v>Mini Chantilly</v>
      </c>
      <c r="F7" s="89" t="str">
        <f t="shared" si="5"/>
        <v>Tetra</v>
      </c>
      <c r="G7" s="89" t="str">
        <f t="shared" si="5"/>
        <v>Tp Cul.</v>
      </c>
      <c r="H7" s="89" t="str">
        <f t="shared" si="5"/>
        <v>Fresco 250g</v>
      </c>
      <c r="I7" s="67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Jundmel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67" t="str">
        <f t="shared" si="5"/>
        <v>Clara</v>
      </c>
      <c r="AC7" s="68" t="s">
        <v>14</v>
      </c>
      <c r="AD7" s="69" t="s">
        <v>15</v>
      </c>
      <c r="AE7" s="70"/>
      <c r="AF7" s="71"/>
      <c r="AG7" s="71"/>
      <c r="AH7" s="71"/>
    </row>
    <row r="8" spans="1:34" ht="24.95" hidden="1" customHeight="1" x14ac:dyDescent="0.3">
      <c r="A8" s="5" t="s">
        <v>286</v>
      </c>
      <c r="B8" s="93"/>
      <c r="C8" s="91"/>
      <c r="D8" s="91" t="s">
        <v>196</v>
      </c>
      <c r="E8" s="11"/>
      <c r="F8" s="11"/>
      <c r="G8" s="11"/>
      <c r="H8" s="10"/>
      <c r="I8" s="11"/>
      <c r="J8" s="11"/>
      <c r="K8" s="11"/>
      <c r="L8" s="10"/>
      <c r="M8" s="11"/>
      <c r="N8" s="10"/>
      <c r="O8" s="11"/>
      <c r="P8" s="11"/>
      <c r="Q8" s="11"/>
      <c r="R8" s="10"/>
      <c r="S8" s="11"/>
      <c r="T8" s="10"/>
      <c r="U8" s="11"/>
      <c r="V8" s="11"/>
      <c r="W8" s="10"/>
      <c r="X8" s="11"/>
      <c r="Y8" s="11"/>
      <c r="Z8" s="10"/>
      <c r="AA8" s="11"/>
      <c r="AB8" s="10"/>
      <c r="AC8" s="72"/>
      <c r="AD8" s="128" t="s">
        <v>188</v>
      </c>
      <c r="AE8" s="13"/>
      <c r="AF8" s="36"/>
      <c r="AG8" s="36"/>
      <c r="AH8" s="36"/>
    </row>
    <row r="9" spans="1:34" ht="24.95" customHeight="1" x14ac:dyDescent="0.3">
      <c r="A9" s="72" t="s">
        <v>142</v>
      </c>
      <c r="B9" s="168"/>
      <c r="C9" s="169"/>
      <c r="D9" s="158"/>
      <c r="E9" s="11"/>
      <c r="F9" s="11"/>
      <c r="G9" s="11"/>
      <c r="H9" s="159"/>
      <c r="I9" s="11"/>
      <c r="J9" s="11"/>
      <c r="K9" s="11"/>
      <c r="L9" s="159"/>
      <c r="M9" s="11"/>
      <c r="N9" s="159"/>
      <c r="O9" s="11"/>
      <c r="P9" s="11"/>
      <c r="Q9" s="11"/>
      <c r="R9" s="159"/>
      <c r="S9" s="11"/>
      <c r="T9" s="159"/>
      <c r="U9" s="11"/>
      <c r="V9" s="11"/>
      <c r="W9" s="159"/>
      <c r="X9" s="11"/>
      <c r="Y9" s="11"/>
      <c r="Z9" s="159"/>
      <c r="AA9" s="11"/>
      <c r="AB9" s="159"/>
      <c r="AC9" s="40"/>
      <c r="AD9" s="46"/>
      <c r="AE9" s="13"/>
      <c r="AF9" s="36"/>
      <c r="AG9" s="36"/>
      <c r="AH9" s="36"/>
    </row>
    <row r="10" spans="1:34" ht="24.95" customHeight="1" x14ac:dyDescent="0.3">
      <c r="A10" s="8" t="s">
        <v>143</v>
      </c>
      <c r="B10" s="168"/>
      <c r="C10" s="169"/>
      <c r="D10" s="158"/>
      <c r="E10" s="11"/>
      <c r="F10" s="11"/>
      <c r="G10" s="11"/>
      <c r="H10" s="159"/>
      <c r="I10" s="11"/>
      <c r="J10" s="11"/>
      <c r="K10" s="11"/>
      <c r="L10" s="159"/>
      <c r="M10" s="11"/>
      <c r="N10" s="159"/>
      <c r="O10" s="11"/>
      <c r="P10" s="11"/>
      <c r="Q10" s="11"/>
      <c r="R10" s="159"/>
      <c r="S10" s="11"/>
      <c r="T10" s="159"/>
      <c r="U10" s="11"/>
      <c r="V10" s="11"/>
      <c r="W10" s="159"/>
      <c r="X10" s="11"/>
      <c r="Y10" s="11"/>
      <c r="Z10" s="159"/>
      <c r="AA10" s="11"/>
      <c r="AB10" s="159"/>
      <c r="AC10" s="40"/>
      <c r="AD10" s="45"/>
    </row>
    <row r="11" spans="1:34" ht="24.95" customHeight="1" x14ac:dyDescent="0.35">
      <c r="A11" s="5" t="s">
        <v>144</v>
      </c>
      <c r="B11" s="168"/>
      <c r="C11" s="169"/>
      <c r="D11" s="158"/>
      <c r="E11" s="11"/>
      <c r="F11" s="11"/>
      <c r="G11" s="11"/>
      <c r="H11" s="159"/>
      <c r="I11" s="11"/>
      <c r="J11" s="11"/>
      <c r="K11" s="11"/>
      <c r="L11" s="159"/>
      <c r="M11" s="11"/>
      <c r="N11" s="159"/>
      <c r="O11" s="11"/>
      <c r="P11" s="11"/>
      <c r="Q11" s="11"/>
      <c r="R11" s="159"/>
      <c r="S11" s="11"/>
      <c r="T11" s="159"/>
      <c r="U11" s="11"/>
      <c r="V11" s="11"/>
      <c r="W11" s="159"/>
      <c r="X11" s="11"/>
      <c r="Y11" s="11"/>
      <c r="Z11" s="159"/>
      <c r="AA11" s="11"/>
      <c r="AB11" s="159"/>
      <c r="AC11" s="40"/>
      <c r="AD11" s="42"/>
      <c r="AE11" s="14"/>
      <c r="AF11" s="37"/>
      <c r="AG11" s="37"/>
      <c r="AH11" s="37"/>
    </row>
    <row r="12" spans="1:34" ht="24.95" customHeight="1" x14ac:dyDescent="0.35">
      <c r="A12" s="5" t="s">
        <v>296</v>
      </c>
      <c r="B12" s="168" t="s">
        <v>310</v>
      </c>
      <c r="C12" s="169"/>
      <c r="D12" s="158"/>
      <c r="E12" s="11"/>
      <c r="F12" s="11"/>
      <c r="G12" s="11"/>
      <c r="H12" s="159"/>
      <c r="I12" s="11"/>
      <c r="J12" s="11"/>
      <c r="K12" s="11"/>
      <c r="L12" s="159"/>
      <c r="M12" s="11"/>
      <c r="N12" s="159"/>
      <c r="O12" s="11"/>
      <c r="P12" s="11"/>
      <c r="Q12" s="11"/>
      <c r="R12" s="159"/>
      <c r="S12" s="11"/>
      <c r="T12" s="159"/>
      <c r="U12" s="11"/>
      <c r="V12" s="11"/>
      <c r="W12" s="159"/>
      <c r="X12" s="11"/>
      <c r="Y12" s="11"/>
      <c r="Z12" s="159"/>
      <c r="AA12" s="11"/>
      <c r="AB12" s="159"/>
      <c r="AC12" s="40"/>
      <c r="AD12" s="42"/>
      <c r="AE12" s="14"/>
      <c r="AF12" s="37"/>
      <c r="AG12" s="37"/>
      <c r="AH12" s="37"/>
    </row>
    <row r="13" spans="1:34" ht="24.95" customHeight="1" x14ac:dyDescent="0.35">
      <c r="A13" s="5" t="s">
        <v>172</v>
      </c>
      <c r="B13" s="161"/>
      <c r="C13" s="158"/>
      <c r="D13" s="158"/>
      <c r="E13" s="11"/>
      <c r="F13" s="11"/>
      <c r="G13" s="11"/>
      <c r="H13" s="159"/>
      <c r="I13" s="11"/>
      <c r="J13" s="11"/>
      <c r="K13" s="11"/>
      <c r="L13" s="159"/>
      <c r="M13" s="11"/>
      <c r="N13" s="159"/>
      <c r="O13" s="11"/>
      <c r="P13" s="11"/>
      <c r="Q13" s="11"/>
      <c r="R13" s="159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40"/>
      <c r="AD13" s="42"/>
      <c r="AE13" s="15"/>
      <c r="AF13" s="34"/>
      <c r="AG13" s="34"/>
      <c r="AH13" s="34"/>
    </row>
    <row r="14" spans="1:34" ht="23.25" x14ac:dyDescent="0.35">
      <c r="A14" s="115" t="s">
        <v>184</v>
      </c>
      <c r="B14" s="161" t="s">
        <v>44</v>
      </c>
      <c r="C14" s="158"/>
      <c r="D14" s="158" t="s">
        <v>196</v>
      </c>
      <c r="E14" s="11" t="s">
        <v>196</v>
      </c>
      <c r="F14" s="11"/>
      <c r="G14" s="11"/>
      <c r="H14" s="159"/>
      <c r="I14" s="11"/>
      <c r="J14" s="11"/>
      <c r="K14" s="11"/>
      <c r="L14" s="159"/>
      <c r="M14" s="11" t="s">
        <v>196</v>
      </c>
      <c r="N14" s="159"/>
      <c r="O14" s="11"/>
      <c r="P14" s="11"/>
      <c r="Q14" s="11"/>
      <c r="R14" s="159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40"/>
      <c r="AD14" s="42"/>
      <c r="AE14" s="15"/>
      <c r="AF14" s="34"/>
      <c r="AG14" s="34"/>
      <c r="AH14" s="34"/>
    </row>
    <row r="15" spans="1:34" ht="24.95" customHeight="1" x14ac:dyDescent="0.35">
      <c r="A15" s="5" t="s">
        <v>139</v>
      </c>
      <c r="B15" s="168"/>
      <c r="C15" s="169"/>
      <c r="D15" s="158"/>
      <c r="E15" s="11"/>
      <c r="F15" s="11"/>
      <c r="G15" s="11"/>
      <c r="H15" s="159"/>
      <c r="I15" s="11"/>
      <c r="J15" s="11"/>
      <c r="K15" s="11"/>
      <c r="L15" s="159"/>
      <c r="M15" s="11"/>
      <c r="N15" s="159"/>
      <c r="O15" s="11"/>
      <c r="P15" s="11"/>
      <c r="Q15" s="11"/>
      <c r="R15" s="159"/>
      <c r="S15" s="11"/>
      <c r="T15" s="159"/>
      <c r="U15" s="11"/>
      <c r="V15" s="11"/>
      <c r="W15" s="159"/>
      <c r="X15" s="11"/>
      <c r="Y15" s="11"/>
      <c r="Z15" s="159"/>
      <c r="AA15" s="11"/>
      <c r="AB15" s="159"/>
      <c r="AC15" s="40"/>
      <c r="AD15" s="42"/>
      <c r="AE15" s="14"/>
      <c r="AF15" s="37"/>
      <c r="AG15" s="37"/>
      <c r="AH15" s="37"/>
    </row>
    <row r="16" spans="1:34" ht="24.95" customHeight="1" x14ac:dyDescent="0.35">
      <c r="A16" s="5" t="s">
        <v>140</v>
      </c>
      <c r="B16" s="168"/>
      <c r="C16" s="169"/>
      <c r="D16" s="158"/>
      <c r="E16" s="11"/>
      <c r="F16" s="11"/>
      <c r="G16" s="11"/>
      <c r="H16" s="159"/>
      <c r="I16" s="11"/>
      <c r="J16" s="11"/>
      <c r="K16" s="11"/>
      <c r="L16" s="159"/>
      <c r="M16" s="11"/>
      <c r="N16" s="159"/>
      <c r="O16" s="11"/>
      <c r="P16" s="11"/>
      <c r="Q16" s="11"/>
      <c r="R16" s="159"/>
      <c r="S16" s="11"/>
      <c r="T16" s="159"/>
      <c r="U16" s="11"/>
      <c r="V16" s="11"/>
      <c r="W16" s="159"/>
      <c r="X16" s="11"/>
      <c r="Y16" s="11"/>
      <c r="Z16" s="159"/>
      <c r="AA16" s="11"/>
      <c r="AB16" s="159"/>
      <c r="AC16" s="40"/>
      <c r="AD16" s="47"/>
      <c r="AE16" s="4"/>
      <c r="AF16" s="37"/>
      <c r="AG16" s="37"/>
      <c r="AH16" s="37"/>
    </row>
    <row r="17" spans="1:34" ht="24.95" customHeight="1" x14ac:dyDescent="0.35">
      <c r="A17" s="5" t="s">
        <v>141</v>
      </c>
      <c r="B17" s="168"/>
      <c r="C17" s="169"/>
      <c r="D17" s="158"/>
      <c r="E17" s="11"/>
      <c r="F17" s="11"/>
      <c r="G17" s="11"/>
      <c r="H17" s="159"/>
      <c r="I17" s="11"/>
      <c r="J17" s="11"/>
      <c r="K17" s="11"/>
      <c r="L17" s="159"/>
      <c r="M17" s="11"/>
      <c r="N17" s="159"/>
      <c r="O17" s="11"/>
      <c r="P17" s="11"/>
      <c r="Q17" s="11"/>
      <c r="R17" s="159"/>
      <c r="S17" s="11"/>
      <c r="T17" s="159"/>
      <c r="U17" s="11"/>
      <c r="V17" s="11"/>
      <c r="W17" s="159"/>
      <c r="X17" s="11"/>
      <c r="Y17" s="11"/>
      <c r="Z17" s="159"/>
      <c r="AA17" s="11"/>
      <c r="AB17" s="159"/>
      <c r="AC17" s="40"/>
      <c r="AD17" s="42"/>
      <c r="AE17" s="15"/>
      <c r="AF17" s="34"/>
      <c r="AG17" s="34"/>
      <c r="AH17" s="34"/>
    </row>
    <row r="18" spans="1:34" ht="24.95" customHeight="1" x14ac:dyDescent="0.35">
      <c r="A18" s="5" t="s">
        <v>352</v>
      </c>
      <c r="B18" s="168"/>
      <c r="C18" s="169"/>
      <c r="D18" s="158"/>
      <c r="E18" s="11"/>
      <c r="F18" s="11"/>
      <c r="G18" s="11"/>
      <c r="H18" s="159"/>
      <c r="I18" s="11"/>
      <c r="J18" s="11"/>
      <c r="K18" s="11"/>
      <c r="L18" s="159"/>
      <c r="M18" s="11"/>
      <c r="N18" s="159"/>
      <c r="O18" s="11"/>
      <c r="P18" s="11"/>
      <c r="Q18" s="11"/>
      <c r="R18" s="159"/>
      <c r="S18" s="11"/>
      <c r="T18" s="159"/>
      <c r="U18" s="11"/>
      <c r="V18" s="11"/>
      <c r="W18" s="159"/>
      <c r="X18" s="11"/>
      <c r="Y18" s="11"/>
      <c r="Z18" s="159"/>
      <c r="AA18" s="11"/>
      <c r="AB18" s="159"/>
      <c r="AC18" s="40"/>
      <c r="AD18" s="42"/>
      <c r="AE18" s="15"/>
      <c r="AF18" s="34"/>
      <c r="AG18" s="34"/>
      <c r="AH18" s="34"/>
    </row>
    <row r="19" spans="1:34" ht="24.95" customHeight="1" x14ac:dyDescent="0.35">
      <c r="A19" s="5" t="s">
        <v>353</v>
      </c>
      <c r="B19" s="168"/>
      <c r="C19" s="169"/>
      <c r="D19" s="158"/>
      <c r="E19" s="11"/>
      <c r="F19" s="11"/>
      <c r="G19" s="11"/>
      <c r="H19" s="159"/>
      <c r="I19" s="11"/>
      <c r="J19" s="11"/>
      <c r="K19" s="11"/>
      <c r="L19" s="159"/>
      <c r="M19" s="11"/>
      <c r="N19" s="159"/>
      <c r="O19" s="11"/>
      <c r="P19" s="11"/>
      <c r="Q19" s="11"/>
      <c r="R19" s="159"/>
      <c r="S19" s="11"/>
      <c r="T19" s="159"/>
      <c r="U19" s="11"/>
      <c r="V19" s="11"/>
      <c r="W19" s="159"/>
      <c r="X19" s="11"/>
      <c r="Y19" s="11"/>
      <c r="Z19" s="159"/>
      <c r="AA19" s="11"/>
      <c r="AB19" s="159"/>
      <c r="AC19" s="40"/>
      <c r="AD19" s="42"/>
      <c r="AE19" s="15"/>
      <c r="AF19" s="34"/>
      <c r="AG19" s="34"/>
      <c r="AH19" s="34"/>
    </row>
    <row r="20" spans="1:34" ht="24.95" customHeight="1" x14ac:dyDescent="0.35">
      <c r="A20" s="5"/>
      <c r="B20" s="168"/>
      <c r="C20" s="169"/>
      <c r="D20" s="158"/>
      <c r="E20" s="11"/>
      <c r="F20" s="11"/>
      <c r="G20" s="11"/>
      <c r="H20" s="159"/>
      <c r="I20" s="11"/>
      <c r="J20" s="11"/>
      <c r="K20" s="11"/>
      <c r="L20" s="159"/>
      <c r="M20" s="11"/>
      <c r="N20" s="159"/>
      <c r="O20" s="11"/>
      <c r="P20" s="11"/>
      <c r="Q20" s="11"/>
      <c r="R20" s="159"/>
      <c r="S20" s="11"/>
      <c r="T20" s="159"/>
      <c r="U20" s="11"/>
      <c r="V20" s="11"/>
      <c r="W20" s="159"/>
      <c r="X20" s="11"/>
      <c r="Y20" s="11"/>
      <c r="Z20" s="159"/>
      <c r="AA20" s="11"/>
      <c r="AB20" s="159"/>
      <c r="AC20" s="40"/>
      <c r="AD20" s="42"/>
      <c r="AE20" s="15"/>
      <c r="AF20" s="34"/>
      <c r="AG20" s="34"/>
      <c r="AH20" s="34"/>
    </row>
    <row r="21" spans="1:34" ht="44.25" hidden="1" customHeight="1" x14ac:dyDescent="0.35">
      <c r="A21" s="115" t="s">
        <v>304</v>
      </c>
      <c r="B21" s="168"/>
      <c r="C21" s="169"/>
      <c r="D21" s="158"/>
      <c r="E21" s="11"/>
      <c r="F21" s="11"/>
      <c r="G21" s="11"/>
      <c r="H21" s="159"/>
      <c r="I21" s="11"/>
      <c r="J21" s="11"/>
      <c r="K21" s="11"/>
      <c r="L21" s="159"/>
      <c r="M21" s="11"/>
      <c r="N21" s="159"/>
      <c r="O21" s="11"/>
      <c r="P21" s="11"/>
      <c r="Q21" s="11"/>
      <c r="R21" s="159"/>
      <c r="S21" s="11"/>
      <c r="T21" s="159"/>
      <c r="U21" s="11"/>
      <c r="V21" s="11"/>
      <c r="W21" s="159"/>
      <c r="X21" s="11"/>
      <c r="Y21" s="11"/>
      <c r="Z21" s="159"/>
      <c r="AA21" s="11"/>
      <c r="AB21" s="159"/>
      <c r="AC21" s="40"/>
      <c r="AD21" s="42"/>
      <c r="AE21" s="15"/>
      <c r="AF21" s="34"/>
      <c r="AG21" s="34"/>
      <c r="AH21" s="34"/>
    </row>
    <row r="22" spans="1:34" ht="41.25" x14ac:dyDescent="0.35">
      <c r="A22" s="115" t="s">
        <v>384</v>
      </c>
      <c r="B22" s="168"/>
      <c r="C22" s="169"/>
      <c r="D22" s="158"/>
      <c r="E22" s="11"/>
      <c r="F22" s="11"/>
      <c r="G22" s="11"/>
      <c r="H22" s="159"/>
      <c r="I22" s="11"/>
      <c r="J22" s="11"/>
      <c r="K22" s="11"/>
      <c r="L22" s="159"/>
      <c r="M22" s="11"/>
      <c r="N22" s="159"/>
      <c r="O22" s="11"/>
      <c r="P22" s="11"/>
      <c r="Q22" s="11"/>
      <c r="R22" s="159"/>
      <c r="S22" s="11"/>
      <c r="T22" s="159"/>
      <c r="U22" s="11"/>
      <c r="V22" s="11"/>
      <c r="W22" s="159"/>
      <c r="X22" s="11"/>
      <c r="Y22" s="11"/>
      <c r="Z22" s="159"/>
      <c r="AA22" s="11"/>
      <c r="AB22" s="159"/>
      <c r="AC22" s="40"/>
      <c r="AD22" s="42"/>
      <c r="AE22" s="15"/>
      <c r="AF22" s="34"/>
      <c r="AG22" s="34"/>
      <c r="AH22" s="34"/>
    </row>
    <row r="23" spans="1:34" ht="41.25" hidden="1" x14ac:dyDescent="0.35">
      <c r="A23" s="115" t="s">
        <v>171</v>
      </c>
      <c r="B23" s="161" t="s">
        <v>44</v>
      </c>
      <c r="C23" s="158"/>
      <c r="D23" s="158" t="s">
        <v>196</v>
      </c>
      <c r="E23" s="11" t="s">
        <v>196</v>
      </c>
      <c r="F23" s="11"/>
      <c r="G23" s="11"/>
      <c r="H23" s="159"/>
      <c r="I23" s="11"/>
      <c r="J23" s="11"/>
      <c r="K23" s="11"/>
      <c r="L23" s="159"/>
      <c r="M23" s="11"/>
      <c r="N23" s="159"/>
      <c r="O23" s="11"/>
      <c r="P23" s="11"/>
      <c r="Q23" s="11"/>
      <c r="R23" s="159"/>
      <c r="S23" s="11"/>
      <c r="T23" s="159"/>
      <c r="U23" s="11"/>
      <c r="V23" s="11"/>
      <c r="W23" s="159"/>
      <c r="X23" s="11"/>
      <c r="Y23" s="11"/>
      <c r="Z23" s="159"/>
      <c r="AA23" s="11"/>
      <c r="AB23" s="159"/>
      <c r="AC23" s="40"/>
      <c r="AD23" s="42"/>
      <c r="AE23" s="15"/>
      <c r="AF23" s="34"/>
      <c r="AG23" s="34"/>
      <c r="AH23" s="34"/>
    </row>
    <row r="24" spans="1:34" ht="41.25" hidden="1" x14ac:dyDescent="0.35">
      <c r="A24" s="115" t="s">
        <v>245</v>
      </c>
      <c r="B24" s="168"/>
      <c r="C24" s="169"/>
      <c r="D24" s="158"/>
      <c r="E24" s="11"/>
      <c r="F24" s="11"/>
      <c r="G24" s="11"/>
      <c r="H24" s="159"/>
      <c r="I24" s="11"/>
      <c r="J24" s="11"/>
      <c r="K24" s="11"/>
      <c r="L24" s="159"/>
      <c r="M24" s="11"/>
      <c r="N24" s="159"/>
      <c r="O24" s="11"/>
      <c r="P24" s="11"/>
      <c r="Q24" s="11"/>
      <c r="R24" s="159"/>
      <c r="S24" s="11"/>
      <c r="T24" s="159"/>
      <c r="U24" s="11"/>
      <c r="V24" s="11"/>
      <c r="W24" s="159"/>
      <c r="X24" s="11"/>
      <c r="Y24" s="11"/>
      <c r="Z24" s="159"/>
      <c r="AA24" s="11"/>
      <c r="AB24" s="159"/>
      <c r="AC24" s="40"/>
      <c r="AD24" s="42"/>
      <c r="AE24" s="15"/>
      <c r="AF24" s="34"/>
      <c r="AG24" s="34"/>
      <c r="AH24" s="34"/>
    </row>
    <row r="25" spans="1:34" ht="24.95" customHeight="1" x14ac:dyDescent="0.35">
      <c r="A25" s="5"/>
      <c r="B25" s="168"/>
      <c r="C25" s="169"/>
      <c r="D25" s="158"/>
      <c r="E25" s="11"/>
      <c r="F25" s="11"/>
      <c r="G25" s="11"/>
      <c r="H25" s="159"/>
      <c r="I25" s="11"/>
      <c r="J25" s="11"/>
      <c r="K25" s="11"/>
      <c r="L25" s="159"/>
      <c r="M25" s="11"/>
      <c r="N25" s="159"/>
      <c r="O25" s="11"/>
      <c r="P25" s="11"/>
      <c r="Q25" s="11"/>
      <c r="R25" s="159"/>
      <c r="S25" s="11"/>
      <c r="T25" s="159"/>
      <c r="U25" s="11"/>
      <c r="V25" s="11"/>
      <c r="W25" s="159"/>
      <c r="X25" s="11"/>
      <c r="Y25" s="11"/>
      <c r="Z25" s="159"/>
      <c r="AA25" s="11"/>
      <c r="AB25" s="159"/>
      <c r="AC25" s="40"/>
      <c r="AD25" s="42"/>
      <c r="AE25" s="15"/>
      <c r="AF25" s="34"/>
      <c r="AG25" s="34"/>
      <c r="AH25" s="34"/>
    </row>
    <row r="26" spans="1:34" ht="24.95" customHeight="1" x14ac:dyDescent="0.35">
      <c r="A26" s="5" t="s">
        <v>101</v>
      </c>
      <c r="B26" s="168"/>
      <c r="C26" s="169"/>
      <c r="D26" s="158"/>
      <c r="E26" s="11"/>
      <c r="F26" s="11"/>
      <c r="G26" s="11"/>
      <c r="H26" s="159"/>
      <c r="I26" s="11"/>
      <c r="J26" s="11"/>
      <c r="K26" s="11"/>
      <c r="L26" s="159"/>
      <c r="M26" s="11"/>
      <c r="N26" s="159"/>
      <c r="O26" s="11"/>
      <c r="P26" s="11"/>
      <c r="Q26" s="11"/>
      <c r="R26" s="159"/>
      <c r="S26" s="11"/>
      <c r="T26" s="159"/>
      <c r="U26" s="11"/>
      <c r="V26" s="11"/>
      <c r="W26" s="159"/>
      <c r="X26" s="11"/>
      <c r="Y26" s="11"/>
      <c r="Z26" s="159"/>
      <c r="AA26" s="11"/>
      <c r="AB26" s="159"/>
      <c r="AC26" s="40"/>
      <c r="AD26" s="42"/>
      <c r="AE26" s="15"/>
      <c r="AF26" s="34"/>
      <c r="AG26" s="34"/>
      <c r="AH26" s="34"/>
    </row>
    <row r="27" spans="1:34" ht="24.95" customHeight="1" x14ac:dyDescent="0.35">
      <c r="A27" s="5" t="s">
        <v>102</v>
      </c>
      <c r="B27" s="168"/>
      <c r="C27" s="169"/>
      <c r="D27" s="158"/>
      <c r="E27" s="11"/>
      <c r="F27" s="11"/>
      <c r="G27" s="11"/>
      <c r="H27" s="159"/>
      <c r="I27" s="11"/>
      <c r="J27" s="11"/>
      <c r="K27" s="11"/>
      <c r="L27" s="159"/>
      <c r="M27" s="11"/>
      <c r="N27" s="159"/>
      <c r="O27" s="11"/>
      <c r="P27" s="11"/>
      <c r="Q27" s="11"/>
      <c r="R27" s="159"/>
      <c r="S27" s="11"/>
      <c r="T27" s="159"/>
      <c r="U27" s="11"/>
      <c r="V27" s="11"/>
      <c r="W27" s="159"/>
      <c r="X27" s="11"/>
      <c r="Y27" s="11"/>
      <c r="Z27" s="159"/>
      <c r="AA27" s="11"/>
      <c r="AB27" s="159"/>
      <c r="AC27" s="40"/>
      <c r="AD27" s="42"/>
      <c r="AE27" s="15"/>
      <c r="AF27" s="34"/>
      <c r="AG27" s="34"/>
      <c r="AH27" s="34"/>
    </row>
    <row r="28" spans="1:34" ht="24.95" customHeight="1" thickBot="1" x14ac:dyDescent="0.35">
      <c r="A28" s="5" t="s">
        <v>103</v>
      </c>
      <c r="B28" s="168"/>
      <c r="C28" s="169"/>
      <c r="D28" s="158"/>
      <c r="E28" s="11"/>
      <c r="F28" s="11"/>
      <c r="G28" s="11"/>
      <c r="H28" s="159"/>
      <c r="I28" s="11"/>
      <c r="J28" s="11"/>
      <c r="K28" s="11"/>
      <c r="L28" s="159"/>
      <c r="M28" s="11"/>
      <c r="N28" s="159"/>
      <c r="O28" s="11"/>
      <c r="P28" s="11"/>
      <c r="Q28" s="11"/>
      <c r="R28" s="159"/>
      <c r="S28" s="11"/>
      <c r="T28" s="159"/>
      <c r="U28" s="11"/>
      <c r="V28" s="11"/>
      <c r="W28" s="159"/>
      <c r="X28" s="11"/>
      <c r="Y28" s="11"/>
      <c r="Z28" s="159"/>
      <c r="AA28" s="11"/>
      <c r="AB28" s="159"/>
      <c r="AC28" s="40"/>
      <c r="AD28" s="48"/>
      <c r="AE28" s="38"/>
      <c r="AF28" s="38"/>
      <c r="AG28" s="38"/>
      <c r="AH28" s="38"/>
    </row>
    <row r="29" spans="1:34" ht="24.95" customHeight="1" thickBot="1" x14ac:dyDescent="0.35">
      <c r="A29" s="182" t="s">
        <v>13</v>
      </c>
      <c r="B29" s="183"/>
      <c r="C29" s="18">
        <f t="shared" ref="C29:AB29" si="6">SUM(C8:C28)</f>
        <v>0</v>
      </c>
      <c r="D29" s="18">
        <f t="shared" si="6"/>
        <v>0</v>
      </c>
      <c r="E29" s="18">
        <f t="shared" si="6"/>
        <v>0</v>
      </c>
      <c r="F29" s="18">
        <f t="shared" si="6"/>
        <v>0</v>
      </c>
      <c r="G29" s="18">
        <f t="shared" si="6"/>
        <v>0</v>
      </c>
      <c r="H29" s="19">
        <f t="shared" si="6"/>
        <v>0</v>
      </c>
      <c r="I29" s="19">
        <f t="shared" si="6"/>
        <v>0</v>
      </c>
      <c r="J29" s="19">
        <f t="shared" si="6"/>
        <v>0</v>
      </c>
      <c r="K29" s="19">
        <f t="shared" si="6"/>
        <v>0</v>
      </c>
      <c r="L29" s="19">
        <f t="shared" si="6"/>
        <v>0</v>
      </c>
      <c r="M29" s="19">
        <f t="shared" si="6"/>
        <v>0</v>
      </c>
      <c r="N29" s="19">
        <f t="shared" si="6"/>
        <v>0</v>
      </c>
      <c r="O29" s="19">
        <f t="shared" si="6"/>
        <v>0</v>
      </c>
      <c r="P29" s="19">
        <f t="shared" si="6"/>
        <v>0</v>
      </c>
      <c r="Q29" s="19">
        <f t="shared" si="6"/>
        <v>0</v>
      </c>
      <c r="R29" s="19">
        <f t="shared" si="6"/>
        <v>0</v>
      </c>
      <c r="S29" s="19">
        <f t="shared" si="6"/>
        <v>0</v>
      </c>
      <c r="T29" s="19">
        <f t="shared" si="6"/>
        <v>0</v>
      </c>
      <c r="U29" s="19">
        <f t="shared" si="6"/>
        <v>0</v>
      </c>
      <c r="V29" s="19">
        <f t="shared" si="6"/>
        <v>0</v>
      </c>
      <c r="W29" s="19">
        <f t="shared" si="6"/>
        <v>0</v>
      </c>
      <c r="X29" s="19">
        <f t="shared" si="6"/>
        <v>0</v>
      </c>
      <c r="Y29" s="19">
        <f t="shared" si="6"/>
        <v>0</v>
      </c>
      <c r="Z29" s="19">
        <f t="shared" si="6"/>
        <v>0</v>
      </c>
      <c r="AA29" s="20">
        <f t="shared" si="6"/>
        <v>0</v>
      </c>
      <c r="AB29" s="20">
        <f t="shared" si="6"/>
        <v>0</v>
      </c>
    </row>
    <row r="30" spans="1:34" s="23" customFormat="1" ht="24.9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s="23" customFormat="1" ht="24.95" customHeight="1" x14ac:dyDescent="0.25">
      <c r="J31" s="24"/>
      <c r="K31" s="24"/>
      <c r="L31" s="24"/>
      <c r="M31" s="25"/>
      <c r="N31" s="26"/>
      <c r="O31" s="27"/>
      <c r="R31" s="24"/>
      <c r="S31" s="24"/>
      <c r="T31" s="24"/>
      <c r="U31" s="24"/>
      <c r="V31" s="24"/>
      <c r="W31" s="24"/>
      <c r="X31" s="28"/>
      <c r="Y31" s="24"/>
      <c r="Z31" s="24"/>
      <c r="AA31" s="28"/>
      <c r="AB31" s="24"/>
    </row>
    <row r="32" spans="1:34" s="23" customFormat="1" ht="24.95" customHeight="1" x14ac:dyDescent="0.25">
      <c r="J32" s="24"/>
      <c r="M32" s="25"/>
      <c r="N32" s="26"/>
      <c r="O32" s="27"/>
      <c r="R32" s="24"/>
      <c r="U32" s="24"/>
      <c r="X32" s="28"/>
      <c r="AA32" s="28"/>
    </row>
    <row r="33" spans="1:34" s="23" customFormat="1" ht="24.95" customHeight="1" x14ac:dyDescent="0.25">
      <c r="J33" s="24"/>
      <c r="K33" s="24"/>
      <c r="L33" s="24"/>
      <c r="M33" s="29"/>
      <c r="N33" s="30"/>
      <c r="O33" s="29"/>
      <c r="R33" s="24"/>
      <c r="S33" s="24"/>
      <c r="T33" s="24"/>
      <c r="U33" s="24"/>
      <c r="V33" s="24"/>
      <c r="W33" s="24"/>
      <c r="X33" s="16"/>
      <c r="Y33" s="24"/>
      <c r="Z33" s="24"/>
      <c r="AA33" s="16"/>
      <c r="AB33" s="24"/>
    </row>
    <row r="34" spans="1:34" s="23" customFormat="1" ht="23.1" customHeight="1" x14ac:dyDescent="0.25">
      <c r="F34" s="16"/>
      <c r="G34" s="16"/>
      <c r="H34" s="16"/>
      <c r="I34" s="16"/>
      <c r="J34" s="24"/>
      <c r="K34" s="16"/>
      <c r="L34" s="16"/>
      <c r="M34" s="31"/>
      <c r="N34" s="31"/>
      <c r="O34" s="31"/>
      <c r="P34" s="16"/>
      <c r="Q34" s="16"/>
      <c r="R34" s="24"/>
      <c r="S34" s="16"/>
      <c r="T34" s="16"/>
      <c r="U34" s="24"/>
      <c r="V34" s="16"/>
      <c r="W34" s="16"/>
      <c r="X34" s="32"/>
      <c r="Y34" s="16"/>
      <c r="Z34" s="16"/>
      <c r="AA34" s="32"/>
      <c r="AB34" s="16"/>
    </row>
    <row r="35" spans="1:34" ht="23.1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16"/>
      <c r="K35" s="23"/>
      <c r="L35" s="23"/>
      <c r="M35" s="16"/>
      <c r="N35" s="16"/>
      <c r="O35" s="16"/>
      <c r="P35" s="23"/>
      <c r="Q35" s="23"/>
      <c r="R35" s="16"/>
      <c r="S35" s="23"/>
      <c r="T35" s="23"/>
      <c r="U35" s="16"/>
      <c r="V35" s="23"/>
      <c r="W35" s="23"/>
      <c r="X35" s="16"/>
      <c r="Y35" s="23"/>
      <c r="Z35" s="23"/>
      <c r="AA35" s="16"/>
      <c r="AB35" s="23"/>
      <c r="AC35" s="23"/>
      <c r="AD35" s="23"/>
      <c r="AE35" s="23"/>
      <c r="AF35" s="23"/>
      <c r="AG35" s="23"/>
      <c r="AH35" s="23"/>
    </row>
    <row r="36" spans="1:34" ht="23.1" customHeight="1" x14ac:dyDescent="0.2">
      <c r="K36" s="33"/>
      <c r="L36" s="33"/>
      <c r="M36" s="33"/>
      <c r="N36" s="33"/>
      <c r="O36" s="33"/>
      <c r="P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34" ht="23.1" customHeight="1" x14ac:dyDescent="0.2">
      <c r="A37" s="33"/>
      <c r="B37" s="33"/>
      <c r="C37" s="33"/>
      <c r="D37" s="33"/>
      <c r="E37" s="33"/>
      <c r="F37" s="33"/>
      <c r="G37" s="33"/>
      <c r="L37" s="33"/>
      <c r="M37" s="33"/>
      <c r="N37" s="33"/>
      <c r="O37" s="33"/>
      <c r="P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34" ht="23.1" customHeight="1" x14ac:dyDescent="0.2">
      <c r="T38" s="33"/>
      <c r="U38" s="33"/>
      <c r="V38" s="33"/>
      <c r="W38" s="33"/>
      <c r="X38" s="33"/>
      <c r="Y38" s="33"/>
      <c r="Z38" s="33"/>
      <c r="AA38" s="33"/>
      <c r="AB38" s="33"/>
    </row>
    <row r="39" spans="1:34" ht="23.1" customHeight="1" x14ac:dyDescent="0.2"/>
  </sheetData>
  <mergeCells count="1">
    <mergeCell ref="A29:B29"/>
  </mergeCells>
  <conditionalFormatting sqref="J33">
    <cfRule type="expression" dxfId="155" priority="13" stopIfTrue="1">
      <formula>#REF!="sobra"</formula>
    </cfRule>
    <cfRule type="expression" dxfId="154" priority="14" stopIfTrue="1">
      <formula>#REF!="Falta"</formula>
    </cfRule>
  </conditionalFormatting>
  <conditionalFormatting sqref="L33 R33">
    <cfRule type="expression" dxfId="153" priority="15" stopIfTrue="1">
      <formula>#REF!="sobra"</formula>
    </cfRule>
    <cfRule type="expression" dxfId="152" priority="16" stopIfTrue="1">
      <formula>#REF!="Falta"</formula>
    </cfRule>
  </conditionalFormatting>
  <conditionalFormatting sqref="T33:U33">
    <cfRule type="expression" dxfId="151" priority="11" stopIfTrue="1">
      <formula>#REF!="sobra"</formula>
    </cfRule>
    <cfRule type="expression" dxfId="150" priority="12" stopIfTrue="1">
      <formula>#REF!="Falta"</formula>
    </cfRule>
  </conditionalFormatting>
  <conditionalFormatting sqref="W33">
    <cfRule type="expression" dxfId="149" priority="9" stopIfTrue="1">
      <formula>#REF!="sobra"</formula>
    </cfRule>
    <cfRule type="expression" dxfId="148" priority="10" stopIfTrue="1">
      <formula>#REF!="Falta"</formula>
    </cfRule>
  </conditionalFormatting>
  <conditionalFormatting sqref="Z33">
    <cfRule type="expression" dxfId="147" priority="3" stopIfTrue="1">
      <formula>#REF!="sobra"</formula>
    </cfRule>
    <cfRule type="expression" dxfId="146" priority="4" stopIfTrue="1">
      <formula>#REF!="Falta"</formula>
    </cfRule>
  </conditionalFormatting>
  <conditionalFormatting sqref="AB33">
    <cfRule type="expression" dxfId="145" priority="1" stopIfTrue="1">
      <formula>#REF!="sobra"</formula>
    </cfRule>
    <cfRule type="expression" dxfId="144" priority="2" stopIfTrue="1">
      <formula>#REF!="Falta"</formula>
    </cfRule>
  </conditionalFormatting>
  <conditionalFormatting sqref="AD9">
    <cfRule type="containsText" dxfId="143" priority="5" stopIfTrue="1" operator="containsText" text="FALTA">
      <formula>NOT(ISERROR(SEARCH("FALTA",AD9)))</formula>
    </cfRule>
    <cfRule type="containsText" dxfId="142" priority="6" stopIfTrue="1" operator="containsText" text="SOBRA">
      <formula>NOT(ISERROR(SEARCH("SOBRA",AD9)))</formula>
    </cfRule>
  </conditionalFormatting>
  <conditionalFormatting sqref="AF8:AF9">
    <cfRule type="expression" dxfId="141" priority="7" stopIfTrue="1">
      <formula>$AE$16="sobra"</formula>
    </cfRule>
    <cfRule type="expression" dxfId="140" priority="8" stopIfTrue="1">
      <formula>$AE$16="Falta"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AH103"/>
  <sheetViews>
    <sheetView showGridLines="0" zoomScale="60" zoomScaleNormal="60" workbookViewId="0">
      <pane xSplit="1" topLeftCell="B1" activePane="topRight" state="frozen"/>
      <selection pane="topRight" activeCell="J65" sqref="J65"/>
    </sheetView>
  </sheetViews>
  <sheetFormatPr defaultColWidth="9.140625" defaultRowHeight="12.75" x14ac:dyDescent="0.2"/>
  <cols>
    <col min="1" max="1" width="89.5703125" style="1" customWidth="1"/>
    <col min="2" max="2" width="18" style="1" customWidth="1"/>
    <col min="3" max="3" width="10.7109375" style="1" customWidth="1"/>
    <col min="4" max="4" width="12.140625" style="1" customWidth="1"/>
    <col min="5" max="5" width="11.5703125" style="1" customWidth="1"/>
    <col min="6" max="28" width="10.7109375" style="1" customWidth="1"/>
    <col min="29" max="29" width="89.85546875" style="1" bestFit="1" customWidth="1"/>
    <col min="30" max="30" width="47" style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42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C93</f>
        <v>0</v>
      </c>
      <c r="D2" s="58">
        <f t="shared" ref="D2:I2" si="0">D93</f>
        <v>0</v>
      </c>
      <c r="E2" s="58">
        <f t="shared" si="0"/>
        <v>0</v>
      </c>
      <c r="F2" s="58">
        <f t="shared" si="0"/>
        <v>0</v>
      </c>
      <c r="G2" s="58">
        <f t="shared" si="0"/>
        <v>0</v>
      </c>
      <c r="H2" s="58">
        <f t="shared" si="0"/>
        <v>0</v>
      </c>
      <c r="I2" s="58">
        <f t="shared" si="0"/>
        <v>0</v>
      </c>
      <c r="J2" s="58">
        <f t="shared" ref="J2:AB2" si="1">J93</f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C93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C93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24.95" customHeight="1" thickBot="1" x14ac:dyDescent="0.3">
      <c r="A6" s="3" t="s">
        <v>373</v>
      </c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63" t="s">
        <v>21</v>
      </c>
      <c r="B7" s="92" t="s">
        <v>12</v>
      </c>
      <c r="C7" s="89" t="str">
        <f t="shared" ref="C7:AB7" si="5">C1</f>
        <v>Molho</v>
      </c>
      <c r="D7" s="89" t="str">
        <f t="shared" si="5"/>
        <v>Litros Chantilly</v>
      </c>
      <c r="E7" s="89" t="str">
        <f t="shared" si="5"/>
        <v>Mini Chantilly</v>
      </c>
      <c r="F7" s="89" t="str">
        <f t="shared" si="5"/>
        <v>Tetra</v>
      </c>
      <c r="G7" s="89" t="str">
        <f t="shared" si="5"/>
        <v>Tp Cul.</v>
      </c>
      <c r="H7" s="89" t="str">
        <f t="shared" si="5"/>
        <v>Fresco 250g</v>
      </c>
      <c r="I7" s="67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Jundmel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66" t="str">
        <f t="shared" si="5"/>
        <v>Clara</v>
      </c>
      <c r="AC7" s="68" t="s">
        <v>14</v>
      </c>
      <c r="AD7" s="110"/>
      <c r="AE7" s="70"/>
      <c r="AF7" s="71"/>
      <c r="AG7" s="71"/>
      <c r="AH7" s="71"/>
    </row>
    <row r="8" spans="1:34" ht="24.95" hidden="1" customHeight="1" x14ac:dyDescent="0.35">
      <c r="A8" s="5" t="s">
        <v>278</v>
      </c>
      <c r="B8" s="93">
        <v>7</v>
      </c>
      <c r="C8" s="91"/>
      <c r="D8" s="91"/>
      <c r="E8" s="11"/>
      <c r="F8" s="11"/>
      <c r="G8" s="11"/>
      <c r="H8" s="10"/>
      <c r="I8" s="11"/>
      <c r="J8" s="11"/>
      <c r="K8" s="11"/>
      <c r="L8" s="10"/>
      <c r="M8" s="11"/>
      <c r="N8" s="10"/>
      <c r="O8" s="11"/>
      <c r="P8" s="11"/>
      <c r="Q8" s="11"/>
      <c r="R8" s="10"/>
      <c r="S8" s="11"/>
      <c r="T8" s="10"/>
      <c r="U8" s="11"/>
      <c r="V8" s="11"/>
      <c r="W8" s="10"/>
      <c r="X8" s="11"/>
      <c r="Y8" s="11"/>
      <c r="Z8" s="10"/>
      <c r="AA8" s="11"/>
      <c r="AB8" s="10"/>
      <c r="AC8" s="100"/>
      <c r="AD8" s="128"/>
      <c r="AE8" s="15"/>
      <c r="AF8" s="34"/>
      <c r="AG8" s="34"/>
      <c r="AH8" s="34"/>
    </row>
    <row r="9" spans="1:34" ht="24.95" hidden="1" customHeight="1" x14ac:dyDescent="0.35">
      <c r="A9" s="5" t="s">
        <v>267</v>
      </c>
      <c r="B9" s="93"/>
      <c r="C9" s="91"/>
      <c r="D9" s="91" t="s">
        <v>196</v>
      </c>
      <c r="E9" s="11"/>
      <c r="F9" s="11"/>
      <c r="G9" s="11"/>
      <c r="H9" s="10"/>
      <c r="I9" s="11"/>
      <c r="J9" s="11"/>
      <c r="K9" s="11"/>
      <c r="L9" s="10"/>
      <c r="M9" s="11"/>
      <c r="N9" s="10"/>
      <c r="O9" s="11"/>
      <c r="P9" s="11"/>
      <c r="Q9" s="11"/>
      <c r="R9" s="10"/>
      <c r="S9" s="11"/>
      <c r="T9" s="10"/>
      <c r="U9" s="11"/>
      <c r="V9" s="11"/>
      <c r="W9" s="10"/>
      <c r="X9" s="11"/>
      <c r="Y9" s="11"/>
      <c r="Z9" s="10"/>
      <c r="AA9" s="11"/>
      <c r="AB9" s="10"/>
      <c r="AC9" s="100"/>
      <c r="AD9" s="128"/>
      <c r="AE9" s="15"/>
      <c r="AF9" s="34"/>
      <c r="AG9" s="34"/>
      <c r="AH9" s="34"/>
    </row>
    <row r="10" spans="1:34" ht="41.25" hidden="1" x14ac:dyDescent="0.35">
      <c r="A10" s="145" t="s">
        <v>225</v>
      </c>
      <c r="B10" s="93">
        <v>3</v>
      </c>
      <c r="C10" s="91"/>
      <c r="D10" s="91"/>
      <c r="E10" s="11"/>
      <c r="F10" s="11"/>
      <c r="G10" s="11"/>
      <c r="H10" s="10"/>
      <c r="I10" s="11"/>
      <c r="J10" s="11"/>
      <c r="K10" s="11"/>
      <c r="L10" s="10"/>
      <c r="M10" s="11"/>
      <c r="N10" s="10"/>
      <c r="O10" s="11" t="s">
        <v>196</v>
      </c>
      <c r="P10" s="11"/>
      <c r="Q10" s="11"/>
      <c r="R10" s="10"/>
      <c r="S10" s="11"/>
      <c r="T10" s="10"/>
      <c r="U10" s="11"/>
      <c r="V10" s="11"/>
      <c r="W10" s="10"/>
      <c r="X10" s="11"/>
      <c r="Y10" s="11"/>
      <c r="Z10" s="10"/>
      <c r="AA10" s="11"/>
      <c r="AB10" s="10"/>
      <c r="AC10" s="100"/>
      <c r="AD10" s="128"/>
      <c r="AE10" s="15"/>
      <c r="AF10" s="34"/>
      <c r="AG10" s="34"/>
      <c r="AH10" s="34"/>
    </row>
    <row r="11" spans="1:34" ht="24.95" hidden="1" customHeight="1" x14ac:dyDescent="0.35">
      <c r="A11" s="5" t="s">
        <v>266</v>
      </c>
      <c r="B11" s="93"/>
      <c r="C11" s="91"/>
      <c r="D11" s="91"/>
      <c r="E11" s="11" t="s">
        <v>196</v>
      </c>
      <c r="F11" s="11"/>
      <c r="G11" s="11"/>
      <c r="H11" s="10"/>
      <c r="I11" s="11"/>
      <c r="J11" s="11"/>
      <c r="K11" s="11"/>
      <c r="L11" s="10"/>
      <c r="M11" s="11"/>
      <c r="N11" s="10"/>
      <c r="O11" s="11"/>
      <c r="P11" s="11"/>
      <c r="Q11" s="11"/>
      <c r="R11" s="10"/>
      <c r="S11" s="11"/>
      <c r="T11" s="10"/>
      <c r="U11" s="11"/>
      <c r="V11" s="11"/>
      <c r="W11" s="10"/>
      <c r="X11" s="11"/>
      <c r="Y11" s="11"/>
      <c r="Z11" s="10"/>
      <c r="AA11" s="11"/>
      <c r="AB11" s="10"/>
      <c r="AC11" s="100"/>
      <c r="AD11" s="128"/>
      <c r="AE11" s="15"/>
      <c r="AF11" s="34"/>
      <c r="AG11" s="34"/>
      <c r="AH11" s="34"/>
    </row>
    <row r="12" spans="1:34" ht="28.5" hidden="1" customHeight="1" x14ac:dyDescent="0.35">
      <c r="A12" s="5" t="s">
        <v>258</v>
      </c>
      <c r="B12" s="93">
        <v>4</v>
      </c>
      <c r="C12" s="91"/>
      <c r="D12" s="91"/>
      <c r="E12" s="11"/>
      <c r="F12" s="11"/>
      <c r="G12" s="11"/>
      <c r="H12" s="10"/>
      <c r="I12" s="11"/>
      <c r="J12" s="11"/>
      <c r="K12" s="11"/>
      <c r="L12" s="10"/>
      <c r="M12" s="11"/>
      <c r="N12" s="10"/>
      <c r="O12" s="11"/>
      <c r="P12" s="11"/>
      <c r="Q12" s="11"/>
      <c r="R12" s="10"/>
      <c r="S12" s="11"/>
      <c r="T12" s="10"/>
      <c r="U12" s="11"/>
      <c r="V12" s="11"/>
      <c r="W12" s="10"/>
      <c r="X12" s="11"/>
      <c r="Y12" s="11"/>
      <c r="Z12" s="10"/>
      <c r="AA12" s="11"/>
      <c r="AB12" s="10"/>
      <c r="AC12" s="100"/>
      <c r="AD12" s="128"/>
      <c r="AE12" s="15"/>
      <c r="AF12" s="34"/>
      <c r="AG12" s="34"/>
      <c r="AH12" s="34"/>
    </row>
    <row r="13" spans="1:34" ht="24.95" hidden="1" customHeight="1" x14ac:dyDescent="0.35">
      <c r="A13" s="5" t="s">
        <v>273</v>
      </c>
      <c r="B13" s="93">
        <v>2</v>
      </c>
      <c r="C13" s="91" t="s">
        <v>196</v>
      </c>
      <c r="D13" s="91"/>
      <c r="E13" s="11"/>
      <c r="F13" s="11"/>
      <c r="G13" s="11"/>
      <c r="H13" s="10"/>
      <c r="I13" s="11"/>
      <c r="J13" s="11"/>
      <c r="K13" s="11"/>
      <c r="L13" s="10"/>
      <c r="M13" s="11"/>
      <c r="N13" s="10"/>
      <c r="O13" s="11"/>
      <c r="P13" s="11"/>
      <c r="Q13" s="11"/>
      <c r="R13" s="10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100"/>
      <c r="AD13" s="128"/>
      <c r="AE13" s="15"/>
      <c r="AF13" s="34"/>
      <c r="AG13" s="34"/>
      <c r="AH13" s="34"/>
    </row>
    <row r="14" spans="1:34" ht="24.95" hidden="1" customHeight="1" x14ac:dyDescent="0.35">
      <c r="A14" s="5" t="s">
        <v>265</v>
      </c>
      <c r="B14" s="93">
        <v>1</v>
      </c>
      <c r="C14" s="91" t="s">
        <v>196</v>
      </c>
      <c r="D14" s="91"/>
      <c r="E14" s="11"/>
      <c r="F14" s="11"/>
      <c r="G14" s="11"/>
      <c r="H14" s="10"/>
      <c r="I14" s="11"/>
      <c r="J14" s="11"/>
      <c r="K14" s="11"/>
      <c r="L14" s="10"/>
      <c r="M14" s="11"/>
      <c r="N14" s="10"/>
      <c r="O14" s="11"/>
      <c r="P14" s="11"/>
      <c r="Q14" s="11"/>
      <c r="R14" s="10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100"/>
      <c r="AD14" s="128"/>
      <c r="AE14" s="15"/>
      <c r="AF14" s="34"/>
      <c r="AG14" s="34"/>
      <c r="AH14" s="34"/>
    </row>
    <row r="15" spans="1:34" ht="24.95" hidden="1" customHeight="1" x14ac:dyDescent="0.35">
      <c r="A15" s="5" t="s">
        <v>264</v>
      </c>
      <c r="B15" s="93">
        <v>5</v>
      </c>
      <c r="C15" s="91"/>
      <c r="D15" s="91"/>
      <c r="E15" s="11"/>
      <c r="F15" s="11"/>
      <c r="G15" s="11"/>
      <c r="H15" s="10"/>
      <c r="I15" s="11"/>
      <c r="J15" s="11"/>
      <c r="K15" s="11"/>
      <c r="L15" s="10"/>
      <c r="M15" s="11"/>
      <c r="N15" s="10"/>
      <c r="O15" s="11"/>
      <c r="P15" s="11"/>
      <c r="Q15" s="11"/>
      <c r="R15" s="10"/>
      <c r="S15" s="11"/>
      <c r="T15" s="10"/>
      <c r="U15" s="11"/>
      <c r="V15" s="11"/>
      <c r="W15" s="10"/>
      <c r="X15" s="11"/>
      <c r="Y15" s="11"/>
      <c r="Z15" s="10"/>
      <c r="AA15" s="11"/>
      <c r="AB15" s="10"/>
      <c r="AC15" s="100"/>
      <c r="AD15" s="128"/>
      <c r="AE15" s="15"/>
      <c r="AF15" s="34"/>
      <c r="AG15" s="34"/>
      <c r="AH15" s="34"/>
    </row>
    <row r="16" spans="1:34" ht="24.95" hidden="1" customHeight="1" x14ac:dyDescent="0.35">
      <c r="A16" s="5" t="s">
        <v>130</v>
      </c>
      <c r="B16" s="93"/>
      <c r="C16" s="91"/>
      <c r="D16" s="91"/>
      <c r="E16" s="11"/>
      <c r="F16" s="11"/>
      <c r="G16" s="11"/>
      <c r="H16" s="10"/>
      <c r="I16" s="11"/>
      <c r="J16" s="11"/>
      <c r="K16" s="11"/>
      <c r="L16" s="10"/>
      <c r="M16" s="11"/>
      <c r="N16" s="10"/>
      <c r="O16" s="11"/>
      <c r="P16" s="11"/>
      <c r="Q16" s="11"/>
      <c r="R16" s="10"/>
      <c r="S16" s="11"/>
      <c r="T16" s="10"/>
      <c r="U16" s="11"/>
      <c r="V16" s="11"/>
      <c r="W16" s="10"/>
      <c r="X16" s="11"/>
      <c r="Y16" s="11"/>
      <c r="Z16" s="10"/>
      <c r="AA16" s="11"/>
      <c r="AB16" s="10"/>
      <c r="AC16" s="100"/>
      <c r="AD16" s="128"/>
      <c r="AE16" s="15"/>
      <c r="AF16" s="34"/>
      <c r="AG16" s="34"/>
      <c r="AH16" s="34"/>
    </row>
    <row r="17" spans="1:34" ht="24.95" hidden="1" customHeight="1" x14ac:dyDescent="0.35">
      <c r="A17" s="5" t="s">
        <v>43</v>
      </c>
      <c r="B17" s="93"/>
      <c r="C17" s="91"/>
      <c r="D17" s="91"/>
      <c r="E17" s="11"/>
      <c r="F17" s="11"/>
      <c r="G17" s="11"/>
      <c r="H17" s="10"/>
      <c r="I17" s="11"/>
      <c r="J17" s="11"/>
      <c r="K17" s="11"/>
      <c r="L17" s="10"/>
      <c r="M17" s="11"/>
      <c r="N17" s="10"/>
      <c r="O17" s="11"/>
      <c r="P17" s="11"/>
      <c r="Q17" s="11"/>
      <c r="R17" s="10"/>
      <c r="S17" s="11"/>
      <c r="T17" s="10"/>
      <c r="U17" s="11"/>
      <c r="V17" s="11"/>
      <c r="W17" s="10"/>
      <c r="X17" s="11"/>
      <c r="Y17" s="11"/>
      <c r="Z17" s="10"/>
      <c r="AA17" s="11"/>
      <c r="AB17" s="10"/>
      <c r="AC17" s="100"/>
      <c r="AD17" s="128"/>
      <c r="AE17" s="15"/>
      <c r="AF17" s="34"/>
      <c r="AG17" s="34"/>
      <c r="AH17" s="34"/>
    </row>
    <row r="18" spans="1:34" ht="24.95" hidden="1" customHeight="1" x14ac:dyDescent="0.35">
      <c r="A18" s="153" t="s">
        <v>263</v>
      </c>
      <c r="B18" s="93">
        <v>9</v>
      </c>
      <c r="C18" s="91"/>
      <c r="D18" s="91" t="s">
        <v>196</v>
      </c>
      <c r="E18" s="11"/>
      <c r="F18" s="11"/>
      <c r="G18" s="11"/>
      <c r="H18" s="10"/>
      <c r="I18" s="11"/>
      <c r="J18" s="11"/>
      <c r="K18" s="11"/>
      <c r="L18" s="10"/>
      <c r="M18" s="11"/>
      <c r="N18" s="10"/>
      <c r="O18" s="11"/>
      <c r="P18" s="11"/>
      <c r="Q18" s="11"/>
      <c r="R18" s="10"/>
      <c r="S18" s="11"/>
      <c r="T18" s="10"/>
      <c r="U18" s="11"/>
      <c r="V18" s="11"/>
      <c r="W18" s="10"/>
      <c r="X18" s="11"/>
      <c r="Y18" s="11"/>
      <c r="Z18" s="10"/>
      <c r="AA18" s="11"/>
      <c r="AB18" s="10"/>
      <c r="AC18" s="100"/>
      <c r="AD18" s="128"/>
      <c r="AE18" s="15"/>
      <c r="AF18" s="34"/>
      <c r="AG18" s="34"/>
      <c r="AH18" s="34"/>
    </row>
    <row r="19" spans="1:34" ht="24.95" hidden="1" customHeight="1" x14ac:dyDescent="0.35">
      <c r="A19" s="8" t="s">
        <v>229</v>
      </c>
      <c r="B19" s="93"/>
      <c r="C19" s="91"/>
      <c r="D19" s="91"/>
      <c r="E19" s="11"/>
      <c r="F19" s="11"/>
      <c r="G19" s="11"/>
      <c r="H19" s="10"/>
      <c r="I19" s="11"/>
      <c r="J19" s="11"/>
      <c r="K19" s="11"/>
      <c r="L19" s="10"/>
      <c r="M19" s="11"/>
      <c r="N19" s="10"/>
      <c r="O19" s="11"/>
      <c r="P19" s="11"/>
      <c r="Q19" s="11"/>
      <c r="R19" s="10"/>
      <c r="S19" s="11"/>
      <c r="T19" s="10"/>
      <c r="U19" s="11"/>
      <c r="V19" s="11"/>
      <c r="W19" s="10"/>
      <c r="X19" s="11"/>
      <c r="Y19" s="11"/>
      <c r="Z19" s="10"/>
      <c r="AA19" s="11"/>
      <c r="AB19" s="10"/>
      <c r="AC19" s="100"/>
      <c r="AD19" s="128"/>
      <c r="AE19" s="15"/>
      <c r="AF19" s="34"/>
      <c r="AG19" s="34"/>
      <c r="AH19" s="34"/>
    </row>
    <row r="20" spans="1:34" ht="24.95" hidden="1" customHeight="1" x14ac:dyDescent="0.35">
      <c r="A20" s="8" t="s">
        <v>227</v>
      </c>
      <c r="B20" s="93"/>
      <c r="C20" s="91"/>
      <c r="D20" s="91"/>
      <c r="E20" s="11"/>
      <c r="F20" s="11"/>
      <c r="G20" s="11"/>
      <c r="H20" s="10"/>
      <c r="I20" s="11"/>
      <c r="J20" s="11"/>
      <c r="K20" s="11"/>
      <c r="L20" s="10"/>
      <c r="M20" s="11"/>
      <c r="N20" s="10"/>
      <c r="O20" s="11"/>
      <c r="P20" s="11"/>
      <c r="Q20" s="11"/>
      <c r="R20" s="10"/>
      <c r="S20" s="11"/>
      <c r="T20" s="10"/>
      <c r="U20" s="11"/>
      <c r="V20" s="11"/>
      <c r="W20" s="10"/>
      <c r="X20" s="11"/>
      <c r="Y20" s="11"/>
      <c r="Z20" s="10"/>
      <c r="AA20" s="11"/>
      <c r="AB20" s="10"/>
      <c r="AC20" s="100"/>
      <c r="AD20" s="128"/>
      <c r="AE20" s="15"/>
      <c r="AF20" s="34"/>
      <c r="AG20" s="34"/>
      <c r="AH20" s="34"/>
    </row>
    <row r="21" spans="1:34" ht="41.25" hidden="1" x14ac:dyDescent="0.35">
      <c r="A21" s="115" t="s">
        <v>262</v>
      </c>
      <c r="B21" s="93"/>
      <c r="C21" s="91"/>
      <c r="D21" s="91"/>
      <c r="E21" s="11"/>
      <c r="F21" s="11"/>
      <c r="G21" s="11"/>
      <c r="H21" s="10"/>
      <c r="I21" s="11"/>
      <c r="J21" s="11"/>
      <c r="K21" s="11"/>
      <c r="L21" s="10"/>
      <c r="M21" s="11"/>
      <c r="N21" s="10"/>
      <c r="O21" s="11"/>
      <c r="P21" s="11"/>
      <c r="Q21" s="11"/>
      <c r="R21" s="10"/>
      <c r="S21" s="11"/>
      <c r="T21" s="10"/>
      <c r="U21" s="11"/>
      <c r="V21" s="11"/>
      <c r="W21" s="10"/>
      <c r="X21" s="11"/>
      <c r="Y21" s="11"/>
      <c r="Z21" s="10"/>
      <c r="AA21" s="11"/>
      <c r="AB21" s="10"/>
      <c r="AC21" s="100"/>
      <c r="AD21" s="128"/>
      <c r="AE21" s="15"/>
      <c r="AF21" s="34"/>
      <c r="AG21" s="34"/>
      <c r="AH21" s="34"/>
    </row>
    <row r="22" spans="1:34" ht="28.5" hidden="1" customHeight="1" x14ac:dyDescent="0.35">
      <c r="A22" s="115" t="s">
        <v>246</v>
      </c>
      <c r="B22" s="93"/>
      <c r="C22" s="91"/>
      <c r="D22" s="91"/>
      <c r="E22" s="11"/>
      <c r="F22" s="11"/>
      <c r="G22" s="11"/>
      <c r="H22" s="10"/>
      <c r="I22" s="11"/>
      <c r="J22" s="11"/>
      <c r="K22" s="11"/>
      <c r="L22" s="10"/>
      <c r="M22" s="11"/>
      <c r="N22" s="10"/>
      <c r="O22" s="11"/>
      <c r="P22" s="11"/>
      <c r="Q22" s="11"/>
      <c r="R22" s="10"/>
      <c r="S22" s="11"/>
      <c r="T22" s="10"/>
      <c r="U22" s="11"/>
      <c r="V22" s="11"/>
      <c r="W22" s="10"/>
      <c r="X22" s="11"/>
      <c r="Y22" s="11"/>
      <c r="Z22" s="10"/>
      <c r="AA22" s="11"/>
      <c r="AB22" s="10"/>
      <c r="AC22" s="100"/>
      <c r="AD22" s="128"/>
      <c r="AE22" s="15"/>
      <c r="AF22" s="34"/>
      <c r="AG22" s="34"/>
      <c r="AH22" s="34"/>
    </row>
    <row r="23" spans="1:34" ht="33" hidden="1" customHeight="1" x14ac:dyDescent="0.35">
      <c r="A23" s="5" t="s">
        <v>231</v>
      </c>
      <c r="B23" s="93">
        <v>11</v>
      </c>
      <c r="C23" s="91"/>
      <c r="D23" s="91"/>
      <c r="E23" s="11"/>
      <c r="F23" s="11"/>
      <c r="G23" s="11"/>
      <c r="H23" s="10"/>
      <c r="I23" s="11"/>
      <c r="J23" s="11"/>
      <c r="K23" s="11"/>
      <c r="L23" s="10"/>
      <c r="M23" s="11"/>
      <c r="N23" s="10"/>
      <c r="O23" s="11"/>
      <c r="P23" s="11"/>
      <c r="Q23" s="11"/>
      <c r="R23" s="10"/>
      <c r="S23" s="11"/>
      <c r="T23" s="10"/>
      <c r="U23" s="11"/>
      <c r="V23" s="11"/>
      <c r="W23" s="10"/>
      <c r="X23" s="11"/>
      <c r="Y23" s="11"/>
      <c r="Z23" s="10"/>
      <c r="AA23" s="11"/>
      <c r="AB23" s="10"/>
      <c r="AC23" s="100"/>
      <c r="AD23" s="128"/>
      <c r="AE23" s="15"/>
      <c r="AF23" s="34"/>
      <c r="AG23" s="34"/>
      <c r="AH23" s="34"/>
    </row>
    <row r="24" spans="1:34" ht="24.95" hidden="1" customHeight="1" x14ac:dyDescent="0.35">
      <c r="A24" s="5" t="s">
        <v>197</v>
      </c>
      <c r="B24" s="93"/>
      <c r="C24" s="91"/>
      <c r="D24" s="91"/>
      <c r="E24" s="11"/>
      <c r="F24" s="11"/>
      <c r="G24" s="11"/>
      <c r="H24" s="10"/>
      <c r="I24" s="11"/>
      <c r="J24" s="11"/>
      <c r="K24" s="11"/>
      <c r="L24" s="10"/>
      <c r="M24" s="11"/>
      <c r="N24" s="10"/>
      <c r="O24" s="11"/>
      <c r="P24" s="11"/>
      <c r="Q24" s="11"/>
      <c r="R24" s="10"/>
      <c r="S24" s="11"/>
      <c r="T24" s="10"/>
      <c r="U24" s="11"/>
      <c r="V24" s="11"/>
      <c r="W24" s="10"/>
      <c r="X24" s="11"/>
      <c r="Y24" s="11"/>
      <c r="Z24" s="10"/>
      <c r="AA24" s="11"/>
      <c r="AB24" s="10"/>
      <c r="AC24" s="100"/>
      <c r="AD24" s="128"/>
      <c r="AE24" s="15"/>
      <c r="AF24" s="34"/>
      <c r="AG24" s="34"/>
      <c r="AH24" s="34"/>
    </row>
    <row r="25" spans="1:34" ht="26.25" hidden="1" customHeight="1" x14ac:dyDescent="0.35">
      <c r="A25" s="72" t="s">
        <v>284</v>
      </c>
      <c r="B25" s="93"/>
      <c r="C25" s="91"/>
      <c r="D25" s="91"/>
      <c r="E25" s="11"/>
      <c r="F25" s="11"/>
      <c r="G25" s="11"/>
      <c r="H25" s="10"/>
      <c r="I25" s="11"/>
      <c r="J25" s="11"/>
      <c r="K25" s="11"/>
      <c r="L25" s="10"/>
      <c r="M25" s="11"/>
      <c r="N25" s="10"/>
      <c r="O25" s="11"/>
      <c r="P25" s="11"/>
      <c r="Q25" s="11"/>
      <c r="R25" s="10"/>
      <c r="S25" s="11"/>
      <c r="T25" s="10"/>
      <c r="U25" s="11"/>
      <c r="V25" s="11"/>
      <c r="W25" s="10"/>
      <c r="X25" s="11"/>
      <c r="Y25" s="11"/>
      <c r="Z25" s="10"/>
      <c r="AA25" s="11"/>
      <c r="AB25" s="10"/>
      <c r="AC25" s="100"/>
      <c r="AD25" s="128"/>
      <c r="AE25" s="15"/>
      <c r="AF25" s="34"/>
      <c r="AG25" s="34"/>
      <c r="AH25" s="34"/>
    </row>
    <row r="26" spans="1:34" ht="30.75" hidden="1" customHeight="1" x14ac:dyDescent="0.35">
      <c r="A26" s="119" t="s">
        <v>238</v>
      </c>
      <c r="B26" s="93">
        <v>10</v>
      </c>
      <c r="C26" s="91"/>
      <c r="D26" s="91"/>
      <c r="E26" s="11"/>
      <c r="F26" s="11"/>
      <c r="G26" s="11"/>
      <c r="H26" s="10"/>
      <c r="I26" s="11"/>
      <c r="J26" s="11"/>
      <c r="K26" s="11"/>
      <c r="L26" s="10"/>
      <c r="M26" s="11"/>
      <c r="N26" s="10"/>
      <c r="O26" s="11"/>
      <c r="P26" s="11"/>
      <c r="Q26" s="11"/>
      <c r="R26" s="10"/>
      <c r="S26" s="11"/>
      <c r="T26" s="10"/>
      <c r="U26" s="11"/>
      <c r="V26" s="11"/>
      <c r="W26" s="10"/>
      <c r="X26" s="11"/>
      <c r="Y26" s="11"/>
      <c r="Z26" s="10"/>
      <c r="AA26" s="11"/>
      <c r="AB26" s="10"/>
      <c r="AC26" s="100"/>
      <c r="AD26" s="128"/>
      <c r="AE26" s="15"/>
      <c r="AF26" s="34"/>
      <c r="AG26" s="34"/>
      <c r="AH26" s="34"/>
    </row>
    <row r="27" spans="1:34" ht="41.25" hidden="1" x14ac:dyDescent="0.35">
      <c r="A27" s="115" t="s">
        <v>232</v>
      </c>
      <c r="B27" s="93">
        <v>8</v>
      </c>
      <c r="C27" s="91" t="s">
        <v>196</v>
      </c>
      <c r="D27" s="91"/>
      <c r="E27" s="11"/>
      <c r="F27" s="11"/>
      <c r="G27" s="11"/>
      <c r="H27" s="10"/>
      <c r="I27" s="11"/>
      <c r="J27" s="11"/>
      <c r="K27" s="11"/>
      <c r="L27" s="10"/>
      <c r="M27" s="11"/>
      <c r="N27" s="10"/>
      <c r="O27" s="11"/>
      <c r="P27" s="11"/>
      <c r="Q27" s="11"/>
      <c r="R27" s="10"/>
      <c r="S27" s="11"/>
      <c r="T27" s="10"/>
      <c r="U27" s="11"/>
      <c r="V27" s="11"/>
      <c r="W27" s="10"/>
      <c r="X27" s="11"/>
      <c r="Y27" s="11"/>
      <c r="Z27" s="10"/>
      <c r="AA27" s="11"/>
      <c r="AB27" s="10"/>
      <c r="AC27" s="100"/>
      <c r="AD27" s="128"/>
      <c r="AE27" s="15"/>
      <c r="AF27" s="34"/>
      <c r="AG27" s="34"/>
      <c r="AH27" s="34"/>
    </row>
    <row r="28" spans="1:34" ht="23.25" hidden="1" x14ac:dyDescent="0.35">
      <c r="A28" s="115" t="s">
        <v>233</v>
      </c>
      <c r="B28" s="93">
        <v>6</v>
      </c>
      <c r="C28" s="91"/>
      <c r="D28" s="91"/>
      <c r="E28" s="11"/>
      <c r="F28" s="11"/>
      <c r="G28" s="11"/>
      <c r="H28" s="10"/>
      <c r="I28" s="11"/>
      <c r="J28" s="11"/>
      <c r="K28" s="11"/>
      <c r="L28" s="10"/>
      <c r="M28" s="11"/>
      <c r="N28" s="10"/>
      <c r="O28" s="11" t="s">
        <v>196</v>
      </c>
      <c r="P28" s="11"/>
      <c r="Q28" s="11"/>
      <c r="R28" s="10"/>
      <c r="S28" s="11"/>
      <c r="T28" s="10"/>
      <c r="U28" s="11"/>
      <c r="V28" s="11"/>
      <c r="W28" s="10"/>
      <c r="X28" s="11"/>
      <c r="Y28" s="11"/>
      <c r="Z28" s="10"/>
      <c r="AA28" s="11"/>
      <c r="AB28" s="10"/>
      <c r="AC28" s="100"/>
      <c r="AD28" s="128"/>
      <c r="AE28" s="15"/>
      <c r="AF28" s="34"/>
      <c r="AG28" s="34"/>
      <c r="AH28" s="34"/>
    </row>
    <row r="29" spans="1:34" ht="24.95" hidden="1" customHeight="1" x14ac:dyDescent="0.35">
      <c r="A29" s="5" t="s">
        <v>216</v>
      </c>
      <c r="B29" s="93"/>
      <c r="C29" s="91"/>
      <c r="D29" s="91" t="s">
        <v>196</v>
      </c>
      <c r="E29" s="11" t="s">
        <v>196</v>
      </c>
      <c r="F29" s="11"/>
      <c r="G29" s="11"/>
      <c r="H29" s="10"/>
      <c r="I29" s="11"/>
      <c r="J29" s="11"/>
      <c r="K29" s="11"/>
      <c r="L29" s="10"/>
      <c r="M29" s="11"/>
      <c r="N29" s="10"/>
      <c r="O29" s="11"/>
      <c r="P29" s="11"/>
      <c r="Q29" s="11"/>
      <c r="R29" s="10"/>
      <c r="S29" s="11"/>
      <c r="T29" s="10"/>
      <c r="U29" s="11"/>
      <c r="V29" s="11"/>
      <c r="W29" s="10"/>
      <c r="X29" s="11"/>
      <c r="Y29" s="11"/>
      <c r="Z29" s="10"/>
      <c r="AA29" s="11"/>
      <c r="AB29" s="10"/>
      <c r="AC29" s="100"/>
      <c r="AD29" s="128"/>
      <c r="AE29" s="15"/>
      <c r="AF29" s="34"/>
      <c r="AG29" s="34"/>
      <c r="AH29" s="34"/>
    </row>
    <row r="30" spans="1:34" ht="24.95" hidden="1" customHeight="1" x14ac:dyDescent="0.35">
      <c r="A30" s="5" t="s">
        <v>218</v>
      </c>
      <c r="B30" s="93"/>
      <c r="C30" s="91"/>
      <c r="D30" s="91"/>
      <c r="E30" s="11"/>
      <c r="F30" s="11"/>
      <c r="G30" s="11"/>
      <c r="H30" s="10"/>
      <c r="I30" s="11"/>
      <c r="J30" s="11"/>
      <c r="K30" s="11"/>
      <c r="L30" s="10"/>
      <c r="M30" s="11"/>
      <c r="N30" s="10"/>
      <c r="O30" s="11"/>
      <c r="P30" s="11"/>
      <c r="Q30" s="11"/>
      <c r="R30" s="10"/>
      <c r="S30" s="11"/>
      <c r="T30" s="10"/>
      <c r="U30" s="11"/>
      <c r="V30" s="11"/>
      <c r="W30" s="10"/>
      <c r="X30" s="11"/>
      <c r="Y30" s="11"/>
      <c r="Z30" s="10"/>
      <c r="AA30" s="11"/>
      <c r="AB30" s="10"/>
      <c r="AC30" s="100"/>
      <c r="AD30" s="128"/>
      <c r="AE30" s="15"/>
      <c r="AF30" s="34"/>
      <c r="AG30" s="34"/>
      <c r="AH30" s="34"/>
    </row>
    <row r="31" spans="1:34" ht="24.95" hidden="1" customHeight="1" x14ac:dyDescent="0.35">
      <c r="A31" s="5"/>
      <c r="B31" s="93"/>
      <c r="C31" s="91"/>
      <c r="D31" s="91"/>
      <c r="E31" s="11"/>
      <c r="F31" s="11"/>
      <c r="G31" s="11"/>
      <c r="H31" s="10"/>
      <c r="I31" s="11"/>
      <c r="J31" s="11"/>
      <c r="K31" s="11"/>
      <c r="L31" s="10"/>
      <c r="M31" s="11"/>
      <c r="N31" s="10"/>
      <c r="O31" s="11"/>
      <c r="P31" s="11"/>
      <c r="Q31" s="11"/>
      <c r="R31" s="10"/>
      <c r="S31" s="11"/>
      <c r="T31" s="10"/>
      <c r="U31" s="11"/>
      <c r="V31" s="11"/>
      <c r="W31" s="10"/>
      <c r="X31" s="11"/>
      <c r="Y31" s="11"/>
      <c r="Z31" s="10"/>
      <c r="AA31" s="11"/>
      <c r="AB31" s="10"/>
      <c r="AC31" s="100"/>
      <c r="AD31" s="128"/>
      <c r="AE31" s="15"/>
      <c r="AF31" s="34"/>
      <c r="AG31" s="34"/>
      <c r="AH31" s="34"/>
    </row>
    <row r="32" spans="1:34" ht="41.25" hidden="1" x14ac:dyDescent="0.35">
      <c r="A32" s="115" t="s">
        <v>252</v>
      </c>
      <c r="B32" s="93" t="s">
        <v>44</v>
      </c>
      <c r="C32" s="91"/>
      <c r="D32" s="91" t="s">
        <v>196</v>
      </c>
      <c r="E32" s="120" t="s">
        <v>196</v>
      </c>
      <c r="F32" s="11"/>
      <c r="G32" s="11"/>
      <c r="H32" s="10"/>
      <c r="I32" s="11"/>
      <c r="J32" s="11"/>
      <c r="K32" s="11"/>
      <c r="L32" s="10"/>
      <c r="M32" s="11"/>
      <c r="N32" s="10"/>
      <c r="O32" s="11"/>
      <c r="P32" s="11"/>
      <c r="Q32" s="11"/>
      <c r="R32" s="10"/>
      <c r="S32" s="11"/>
      <c r="T32" s="10"/>
      <c r="U32" s="11"/>
      <c r="V32" s="11"/>
      <c r="W32" s="10"/>
      <c r="X32" s="11"/>
      <c r="Y32" s="11"/>
      <c r="Z32" s="10"/>
      <c r="AA32" s="11"/>
      <c r="AB32" s="10"/>
      <c r="AC32" s="100"/>
      <c r="AD32" s="128"/>
      <c r="AE32" s="15"/>
      <c r="AF32" s="34"/>
      <c r="AG32" s="34"/>
      <c r="AH32" s="34"/>
    </row>
    <row r="33" spans="1:34" ht="23.25" hidden="1" x14ac:dyDescent="0.35">
      <c r="A33" s="115" t="s">
        <v>251</v>
      </c>
      <c r="B33" s="93" t="s">
        <v>44</v>
      </c>
      <c r="C33" s="91"/>
      <c r="D33" s="91" t="s">
        <v>196</v>
      </c>
      <c r="E33" s="137" t="s">
        <v>196</v>
      </c>
      <c r="F33" s="11"/>
      <c r="G33" s="11"/>
      <c r="H33" s="10"/>
      <c r="I33" s="11"/>
      <c r="J33" s="11"/>
      <c r="K33" s="11"/>
      <c r="L33" s="10"/>
      <c r="M33" s="11"/>
      <c r="N33" s="10"/>
      <c r="O33" s="11"/>
      <c r="P33" s="11"/>
      <c r="Q33" s="11"/>
      <c r="R33" s="10"/>
      <c r="S33" s="11"/>
      <c r="T33" s="10"/>
      <c r="U33" s="11"/>
      <c r="V33" s="11"/>
      <c r="W33" s="10"/>
      <c r="X33" s="11"/>
      <c r="Y33" s="11"/>
      <c r="Z33" s="10"/>
      <c r="AA33" s="11"/>
      <c r="AB33" s="10"/>
      <c r="AC33" s="100"/>
      <c r="AD33" s="128"/>
      <c r="AE33" s="15"/>
      <c r="AF33" s="34"/>
      <c r="AG33" s="34"/>
      <c r="AH33" s="34"/>
    </row>
    <row r="34" spans="1:34" ht="23.25" hidden="1" x14ac:dyDescent="0.35">
      <c r="A34" s="115" t="s">
        <v>250</v>
      </c>
      <c r="B34" s="93" t="s">
        <v>44</v>
      </c>
      <c r="C34" s="91"/>
      <c r="D34" s="91"/>
      <c r="E34" s="120"/>
      <c r="F34" s="11"/>
      <c r="G34" s="11"/>
      <c r="H34" s="10"/>
      <c r="I34" s="11"/>
      <c r="J34" s="11"/>
      <c r="K34" s="11"/>
      <c r="L34" s="10"/>
      <c r="M34" s="11"/>
      <c r="N34" s="10"/>
      <c r="O34" s="11"/>
      <c r="P34" s="11"/>
      <c r="Q34" s="11"/>
      <c r="R34" s="10"/>
      <c r="S34" s="11"/>
      <c r="T34" s="10"/>
      <c r="U34" s="11"/>
      <c r="V34" s="11"/>
      <c r="W34" s="10"/>
      <c r="X34" s="11"/>
      <c r="Y34" s="11"/>
      <c r="Z34" s="10"/>
      <c r="AA34" s="11"/>
      <c r="AB34" s="10"/>
      <c r="AC34" s="100"/>
      <c r="AD34" s="128"/>
      <c r="AE34" s="15"/>
      <c r="AF34" s="34"/>
      <c r="AG34" s="34"/>
      <c r="AH34" s="34"/>
    </row>
    <row r="35" spans="1:34" ht="41.25" hidden="1" x14ac:dyDescent="0.35">
      <c r="A35" s="155" t="s">
        <v>234</v>
      </c>
      <c r="B35" s="93"/>
      <c r="C35" s="91"/>
      <c r="D35" s="91"/>
      <c r="E35" s="11"/>
      <c r="F35" s="11"/>
      <c r="G35" s="11"/>
      <c r="H35" s="10"/>
      <c r="I35" s="11"/>
      <c r="J35" s="11"/>
      <c r="K35" s="11"/>
      <c r="L35" s="10"/>
      <c r="M35" s="11"/>
      <c r="N35" s="10"/>
      <c r="O35" s="11"/>
      <c r="P35" s="11"/>
      <c r="Q35" s="11"/>
      <c r="R35" s="10"/>
      <c r="S35" s="11"/>
      <c r="T35" s="10"/>
      <c r="U35" s="11"/>
      <c r="V35" s="11"/>
      <c r="W35" s="10"/>
      <c r="X35" s="11"/>
      <c r="Y35" s="11"/>
      <c r="Z35" s="10"/>
      <c r="AA35" s="11"/>
      <c r="AB35" s="10"/>
      <c r="AC35" s="100"/>
      <c r="AD35" s="128"/>
      <c r="AE35" s="15"/>
      <c r="AF35" s="34"/>
      <c r="AG35" s="34"/>
      <c r="AH35" s="34"/>
    </row>
    <row r="36" spans="1:34" ht="24.95" hidden="1" customHeight="1" x14ac:dyDescent="0.35">
      <c r="A36" s="5" t="s">
        <v>145</v>
      </c>
      <c r="B36" s="93"/>
      <c r="C36" s="91"/>
      <c r="D36" s="91"/>
      <c r="E36" s="11"/>
      <c r="F36" s="11"/>
      <c r="G36" s="11"/>
      <c r="H36" s="10"/>
      <c r="I36" s="11"/>
      <c r="J36" s="11"/>
      <c r="K36" s="11"/>
      <c r="L36" s="10"/>
      <c r="M36" s="11"/>
      <c r="N36" s="10"/>
      <c r="O36" s="11"/>
      <c r="P36" s="11"/>
      <c r="Q36" s="11"/>
      <c r="R36" s="10"/>
      <c r="S36" s="11"/>
      <c r="T36" s="10"/>
      <c r="U36" s="11"/>
      <c r="V36" s="11"/>
      <c r="W36" s="10"/>
      <c r="X36" s="11"/>
      <c r="Y36" s="11"/>
      <c r="Z36" s="10"/>
      <c r="AA36" s="11"/>
      <c r="AB36" s="10"/>
      <c r="AC36" s="100"/>
      <c r="AD36" s="128"/>
      <c r="AE36" s="15"/>
      <c r="AF36" s="34"/>
      <c r="AG36" s="34"/>
      <c r="AH36" s="34"/>
    </row>
    <row r="37" spans="1:34" ht="24.95" hidden="1" customHeight="1" x14ac:dyDescent="0.35">
      <c r="A37" s="5" t="s">
        <v>174</v>
      </c>
      <c r="B37" s="93"/>
      <c r="C37" s="91"/>
      <c r="D37" s="91"/>
      <c r="E37" s="11"/>
      <c r="F37" s="11"/>
      <c r="G37" s="11"/>
      <c r="H37" s="10"/>
      <c r="I37" s="11"/>
      <c r="J37" s="11"/>
      <c r="K37" s="11"/>
      <c r="L37" s="10"/>
      <c r="M37" s="11"/>
      <c r="N37" s="10"/>
      <c r="O37" s="11"/>
      <c r="P37" s="11"/>
      <c r="Q37" s="11"/>
      <c r="R37" s="10"/>
      <c r="S37" s="11"/>
      <c r="T37" s="10"/>
      <c r="U37" s="11"/>
      <c r="V37" s="11"/>
      <c r="W37" s="10"/>
      <c r="X37" s="11"/>
      <c r="Y37" s="11"/>
      <c r="Z37" s="10"/>
      <c r="AA37" s="11"/>
      <c r="AB37" s="10"/>
      <c r="AC37" s="100"/>
      <c r="AD37" s="133" t="s">
        <v>186</v>
      </c>
      <c r="AE37" s="15"/>
      <c r="AF37" s="34"/>
      <c r="AG37" s="34"/>
      <c r="AH37" s="34"/>
    </row>
    <row r="38" spans="1:34" ht="41.25" hidden="1" x14ac:dyDescent="0.35">
      <c r="A38" s="115" t="s">
        <v>235</v>
      </c>
      <c r="B38" s="93"/>
      <c r="C38" s="91"/>
      <c r="D38" s="91"/>
      <c r="E38" s="11"/>
      <c r="F38" s="11"/>
      <c r="G38" s="11"/>
      <c r="H38" s="10"/>
      <c r="I38" s="11"/>
      <c r="J38" s="11"/>
      <c r="K38" s="11"/>
      <c r="L38" s="10"/>
      <c r="M38" s="11"/>
      <c r="N38" s="10"/>
      <c r="O38" s="11"/>
      <c r="P38" s="11"/>
      <c r="Q38" s="11"/>
      <c r="R38" s="10"/>
      <c r="S38" s="11"/>
      <c r="T38" s="10"/>
      <c r="U38" s="11"/>
      <c r="V38" s="11"/>
      <c r="W38" s="10"/>
      <c r="X38" s="11"/>
      <c r="Y38" s="11"/>
      <c r="Z38" s="10"/>
      <c r="AA38" s="11"/>
      <c r="AB38" s="10"/>
      <c r="AC38" s="72"/>
      <c r="AD38" s="128"/>
      <c r="AE38" s="15"/>
      <c r="AF38" s="34"/>
      <c r="AG38" s="34"/>
      <c r="AH38" s="34"/>
    </row>
    <row r="39" spans="1:34" ht="24.95" hidden="1" customHeight="1" x14ac:dyDescent="0.35">
      <c r="A39" s="5" t="s">
        <v>49</v>
      </c>
      <c r="B39" s="93"/>
      <c r="C39" s="91"/>
      <c r="D39" s="91" t="s">
        <v>196</v>
      </c>
      <c r="E39" s="11" t="s">
        <v>196</v>
      </c>
      <c r="F39" s="11"/>
      <c r="G39" s="11"/>
      <c r="H39" s="10"/>
      <c r="I39" s="11"/>
      <c r="J39" s="11"/>
      <c r="K39" s="11"/>
      <c r="L39" s="10"/>
      <c r="M39" s="11"/>
      <c r="N39" s="10"/>
      <c r="O39" s="11"/>
      <c r="P39" s="11"/>
      <c r="Q39" s="11"/>
      <c r="R39" s="10"/>
      <c r="S39" s="11"/>
      <c r="T39" s="10"/>
      <c r="U39" s="11"/>
      <c r="V39" s="11"/>
      <c r="W39" s="10"/>
      <c r="X39" s="11"/>
      <c r="Y39" s="11"/>
      <c r="Z39" s="10"/>
      <c r="AA39" s="11"/>
      <c r="AB39" s="10"/>
      <c r="AC39" s="72"/>
      <c r="AD39" s="128" t="s">
        <v>185</v>
      </c>
      <c r="AE39" s="15"/>
      <c r="AF39" s="34"/>
      <c r="AG39" s="34"/>
      <c r="AH39" s="34"/>
    </row>
    <row r="40" spans="1:34" ht="24.95" hidden="1" customHeight="1" x14ac:dyDescent="0.35">
      <c r="A40" s="5" t="s">
        <v>189</v>
      </c>
      <c r="B40" s="93"/>
      <c r="C40" s="91"/>
      <c r="D40" s="91"/>
      <c r="E40" s="11"/>
      <c r="F40" s="11"/>
      <c r="G40" s="11"/>
      <c r="H40" s="10"/>
      <c r="I40" s="11"/>
      <c r="J40" s="11"/>
      <c r="K40" s="11"/>
      <c r="L40" s="10"/>
      <c r="M40" s="11"/>
      <c r="N40" s="10"/>
      <c r="O40" s="11"/>
      <c r="P40" s="11"/>
      <c r="Q40" s="11"/>
      <c r="R40" s="10"/>
      <c r="S40" s="11"/>
      <c r="T40" s="10"/>
      <c r="U40" s="11"/>
      <c r="V40" s="11"/>
      <c r="W40" s="10"/>
      <c r="X40" s="11"/>
      <c r="Y40" s="11"/>
      <c r="Z40" s="10"/>
      <c r="AA40" s="11"/>
      <c r="AB40" s="10"/>
      <c r="AC40" s="72" t="s">
        <v>179</v>
      </c>
      <c r="AD40" s="128"/>
      <c r="AE40" s="15"/>
      <c r="AF40" s="34"/>
      <c r="AG40" s="34"/>
      <c r="AH40" s="34"/>
    </row>
    <row r="41" spans="1:34" ht="24.95" hidden="1" customHeight="1" x14ac:dyDescent="0.35">
      <c r="A41" s="5" t="s">
        <v>198</v>
      </c>
      <c r="B41" s="93"/>
      <c r="C41" s="91"/>
      <c r="D41" s="91"/>
      <c r="E41" s="11"/>
      <c r="F41" s="11"/>
      <c r="G41" s="11"/>
      <c r="H41" s="10"/>
      <c r="I41" s="11"/>
      <c r="J41" s="11"/>
      <c r="K41" s="11"/>
      <c r="L41" s="10"/>
      <c r="M41" s="11"/>
      <c r="N41" s="10"/>
      <c r="O41" s="11"/>
      <c r="P41" s="11"/>
      <c r="Q41" s="11"/>
      <c r="R41" s="10"/>
      <c r="S41" s="11"/>
      <c r="T41" s="10"/>
      <c r="U41" s="11"/>
      <c r="V41" s="11"/>
      <c r="W41" s="10"/>
      <c r="X41" s="11"/>
      <c r="Y41" s="11"/>
      <c r="Z41" s="10"/>
      <c r="AA41" s="11"/>
      <c r="AB41" s="10"/>
      <c r="AC41" s="5" t="s">
        <v>175</v>
      </c>
      <c r="AD41" s="128" t="s">
        <v>187</v>
      </c>
      <c r="AE41" s="15"/>
      <c r="AF41" s="34"/>
      <c r="AG41" s="34"/>
      <c r="AH41" s="34"/>
    </row>
    <row r="42" spans="1:34" ht="24.95" hidden="1" customHeight="1" x14ac:dyDescent="0.35">
      <c r="A42" s="8" t="s">
        <v>72</v>
      </c>
      <c r="B42" s="93">
        <v>17</v>
      </c>
      <c r="C42" s="91"/>
      <c r="D42" s="91"/>
      <c r="E42" s="11"/>
      <c r="F42" s="11"/>
      <c r="G42" s="11"/>
      <c r="H42" s="10"/>
      <c r="I42" s="11"/>
      <c r="J42" s="11"/>
      <c r="K42" s="11"/>
      <c r="L42" s="10"/>
      <c r="M42" s="11"/>
      <c r="N42" s="10"/>
      <c r="O42" s="11"/>
      <c r="P42" s="11"/>
      <c r="Q42" s="11"/>
      <c r="R42" s="10"/>
      <c r="S42" s="11"/>
      <c r="T42" s="10"/>
      <c r="U42" s="11"/>
      <c r="V42" s="11"/>
      <c r="W42" s="10"/>
      <c r="X42" s="11"/>
      <c r="Y42" s="11"/>
      <c r="Z42" s="10"/>
      <c r="AA42" s="11"/>
      <c r="AB42" s="10"/>
      <c r="AC42" s="72"/>
      <c r="AD42" s="128"/>
      <c r="AE42" s="15"/>
      <c r="AF42" s="34"/>
      <c r="AG42" s="34"/>
      <c r="AH42" s="34"/>
    </row>
    <row r="43" spans="1:34" ht="24.95" hidden="1" customHeight="1" x14ac:dyDescent="0.35">
      <c r="A43" s="5" t="s">
        <v>289</v>
      </c>
      <c r="B43" s="93">
        <v>14</v>
      </c>
      <c r="C43" s="91"/>
      <c r="D43" s="91" t="s">
        <v>196</v>
      </c>
      <c r="E43" s="11"/>
      <c r="F43" s="11"/>
      <c r="G43" s="11"/>
      <c r="H43" s="10"/>
      <c r="I43" s="11"/>
      <c r="J43" s="11"/>
      <c r="K43" s="11"/>
      <c r="L43" s="10"/>
      <c r="M43" s="11"/>
      <c r="N43" s="10"/>
      <c r="O43" s="11"/>
      <c r="P43" s="11"/>
      <c r="Q43" s="11"/>
      <c r="R43" s="10"/>
      <c r="S43" s="11"/>
      <c r="T43" s="10"/>
      <c r="U43" s="11"/>
      <c r="V43" s="11"/>
      <c r="W43" s="10"/>
      <c r="X43" s="11"/>
      <c r="Y43" s="11"/>
      <c r="Z43" s="10"/>
      <c r="AA43" s="11"/>
      <c r="AB43" s="10"/>
      <c r="AC43" s="5" t="s">
        <v>285</v>
      </c>
      <c r="AD43" s="128"/>
      <c r="AE43" s="15"/>
      <c r="AF43" s="34"/>
      <c r="AG43" s="34"/>
      <c r="AH43" s="34"/>
    </row>
    <row r="44" spans="1:34" ht="24.95" hidden="1" customHeight="1" x14ac:dyDescent="0.35">
      <c r="A44" s="5" t="s">
        <v>50</v>
      </c>
      <c r="B44" s="93">
        <v>13</v>
      </c>
      <c r="C44" s="91"/>
      <c r="D44" s="91"/>
      <c r="E44" s="11"/>
      <c r="F44" s="11"/>
      <c r="G44" s="11"/>
      <c r="H44" s="10"/>
      <c r="I44" s="11"/>
      <c r="J44" s="11"/>
      <c r="K44" s="11"/>
      <c r="L44" s="10"/>
      <c r="M44" s="11"/>
      <c r="N44" s="10"/>
      <c r="O44" s="11"/>
      <c r="P44" s="11"/>
      <c r="Q44" s="11"/>
      <c r="R44" s="10"/>
      <c r="S44" s="11"/>
      <c r="T44" s="10"/>
      <c r="U44" s="11"/>
      <c r="V44" s="11"/>
      <c r="W44" s="10"/>
      <c r="X44" s="11"/>
      <c r="Y44" s="11"/>
      <c r="Z44" s="10"/>
      <c r="AA44" s="11"/>
      <c r="AB44" s="10"/>
      <c r="AC44" s="72"/>
      <c r="AD44" s="128"/>
      <c r="AE44" s="15"/>
      <c r="AF44" s="34"/>
      <c r="AG44" s="34"/>
      <c r="AH44" s="34"/>
    </row>
    <row r="45" spans="1:34" ht="24.95" hidden="1" customHeight="1" x14ac:dyDescent="0.35">
      <c r="A45" s="5" t="s">
        <v>276</v>
      </c>
      <c r="B45" s="93">
        <v>12</v>
      </c>
      <c r="C45" s="91" t="s">
        <v>196</v>
      </c>
      <c r="D45" s="91"/>
      <c r="E45" s="11"/>
      <c r="F45" s="11"/>
      <c r="G45" s="11"/>
      <c r="H45" s="10"/>
      <c r="I45" s="11"/>
      <c r="J45" s="11"/>
      <c r="K45" s="11"/>
      <c r="L45" s="10"/>
      <c r="M45" s="11"/>
      <c r="N45" s="10"/>
      <c r="O45" s="11"/>
      <c r="P45" s="11"/>
      <c r="Q45" s="11"/>
      <c r="R45" s="10"/>
      <c r="S45" s="11"/>
      <c r="T45" s="10"/>
      <c r="U45" s="11"/>
      <c r="V45" s="11"/>
      <c r="W45" s="10"/>
      <c r="X45" s="11"/>
      <c r="Y45" s="11"/>
      <c r="Z45" s="10"/>
      <c r="AA45" s="11"/>
      <c r="AB45" s="10"/>
      <c r="AC45" s="72"/>
      <c r="AD45" s="128"/>
      <c r="AE45" s="15"/>
      <c r="AF45" s="34"/>
      <c r="AG45" s="34"/>
      <c r="AH45" s="34"/>
    </row>
    <row r="46" spans="1:34" ht="23.25" hidden="1" x14ac:dyDescent="0.35">
      <c r="A46" s="115" t="s">
        <v>236</v>
      </c>
      <c r="B46" s="93">
        <v>15</v>
      </c>
      <c r="C46" s="91"/>
      <c r="D46" s="91"/>
      <c r="E46" s="11"/>
      <c r="F46" s="11" t="s">
        <v>196</v>
      </c>
      <c r="G46" s="11"/>
      <c r="H46" s="10"/>
      <c r="I46" s="11"/>
      <c r="J46" s="11"/>
      <c r="K46" s="11"/>
      <c r="L46" s="10"/>
      <c r="M46" s="11"/>
      <c r="N46" s="10"/>
      <c r="O46" s="11"/>
      <c r="P46" s="11"/>
      <c r="Q46" s="11"/>
      <c r="R46" s="10"/>
      <c r="S46" s="11"/>
      <c r="T46" s="10"/>
      <c r="U46" s="11"/>
      <c r="V46" s="11"/>
      <c r="W46" s="10"/>
      <c r="X46" s="11"/>
      <c r="Y46" s="11"/>
      <c r="Z46" s="10"/>
      <c r="AA46" s="11"/>
      <c r="AB46" s="10"/>
      <c r="AC46" s="5"/>
      <c r="AD46" s="128"/>
      <c r="AE46" s="15"/>
      <c r="AF46" s="34"/>
      <c r="AG46" s="34"/>
      <c r="AH46" s="34"/>
    </row>
    <row r="47" spans="1:34" ht="24.95" hidden="1" customHeight="1" x14ac:dyDescent="0.35">
      <c r="A47" s="5" t="s">
        <v>86</v>
      </c>
      <c r="B47" s="93"/>
      <c r="C47" s="91"/>
      <c r="D47" s="91"/>
      <c r="E47" s="11"/>
      <c r="F47" s="11"/>
      <c r="G47" s="11"/>
      <c r="H47" s="10"/>
      <c r="I47" s="11"/>
      <c r="J47" s="11"/>
      <c r="K47" s="11"/>
      <c r="L47" s="10"/>
      <c r="M47" s="11"/>
      <c r="N47" s="10"/>
      <c r="O47" s="11"/>
      <c r="P47" s="11"/>
      <c r="Q47" s="11"/>
      <c r="R47" s="10"/>
      <c r="S47" s="11"/>
      <c r="T47" s="10"/>
      <c r="U47" s="11"/>
      <c r="V47" s="11"/>
      <c r="W47" s="10"/>
      <c r="X47" s="11"/>
      <c r="Y47" s="11"/>
      <c r="Z47" s="10"/>
      <c r="AA47" s="11"/>
      <c r="AB47" s="10"/>
      <c r="AC47" s="5" t="s">
        <v>97</v>
      </c>
      <c r="AD47" s="128"/>
      <c r="AE47" s="15"/>
      <c r="AF47" s="34"/>
      <c r="AG47" s="34"/>
      <c r="AH47" s="34"/>
    </row>
    <row r="48" spans="1:34" ht="24.95" hidden="1" customHeight="1" x14ac:dyDescent="0.35">
      <c r="A48" s="5" t="s">
        <v>90</v>
      </c>
      <c r="B48" s="93"/>
      <c r="C48" s="91"/>
      <c r="D48" s="91"/>
      <c r="E48" s="11"/>
      <c r="F48" s="11"/>
      <c r="G48" s="11"/>
      <c r="H48" s="10"/>
      <c r="I48" s="11"/>
      <c r="J48" s="11"/>
      <c r="K48" s="11"/>
      <c r="L48" s="10"/>
      <c r="M48" s="11"/>
      <c r="N48" s="10"/>
      <c r="O48" s="11"/>
      <c r="P48" s="11"/>
      <c r="Q48" s="11"/>
      <c r="R48" s="10"/>
      <c r="S48" s="11"/>
      <c r="T48" s="10"/>
      <c r="U48" s="11"/>
      <c r="V48" s="11"/>
      <c r="W48" s="10"/>
      <c r="X48" s="11"/>
      <c r="Y48" s="11"/>
      <c r="Z48" s="10"/>
      <c r="AA48" s="11"/>
      <c r="AB48" s="10"/>
      <c r="AC48" s="5" t="s">
        <v>98</v>
      </c>
      <c r="AD48" s="128"/>
      <c r="AE48" s="15"/>
      <c r="AF48" s="34"/>
      <c r="AG48" s="34"/>
      <c r="AH48" s="34"/>
    </row>
    <row r="49" spans="1:34" ht="24.95" hidden="1" customHeight="1" x14ac:dyDescent="0.35">
      <c r="A49" s="5" t="s">
        <v>290</v>
      </c>
      <c r="B49" s="93">
        <v>16</v>
      </c>
      <c r="C49" s="91"/>
      <c r="D49" s="91"/>
      <c r="E49" s="11"/>
      <c r="F49" s="11"/>
      <c r="G49" s="11"/>
      <c r="H49" s="10"/>
      <c r="I49" s="11"/>
      <c r="J49" s="11"/>
      <c r="K49" s="11"/>
      <c r="L49" s="10"/>
      <c r="M49" s="11"/>
      <c r="N49" s="10"/>
      <c r="O49" s="11"/>
      <c r="P49" s="11"/>
      <c r="Q49" s="11"/>
      <c r="R49" s="10"/>
      <c r="S49" s="11"/>
      <c r="T49" s="10"/>
      <c r="U49" s="11"/>
      <c r="V49" s="11"/>
      <c r="W49" s="10"/>
      <c r="X49" s="11"/>
      <c r="Y49" s="11"/>
      <c r="Z49" s="10"/>
      <c r="AA49" s="11"/>
      <c r="AB49" s="10"/>
      <c r="AC49" s="5"/>
      <c r="AD49" s="128"/>
      <c r="AE49" s="15"/>
      <c r="AF49" s="34"/>
      <c r="AG49" s="34"/>
      <c r="AH49" s="34"/>
    </row>
    <row r="50" spans="1:34" ht="41.25" hidden="1" x14ac:dyDescent="0.35">
      <c r="A50" s="115" t="s">
        <v>237</v>
      </c>
      <c r="B50" s="93">
        <v>18</v>
      </c>
      <c r="C50" s="91"/>
      <c r="D50" s="91"/>
      <c r="E50" s="11"/>
      <c r="F50" s="11"/>
      <c r="G50" s="11"/>
      <c r="H50" s="10"/>
      <c r="I50" s="11"/>
      <c r="J50" s="11"/>
      <c r="K50" s="11"/>
      <c r="L50" s="10"/>
      <c r="M50" s="11"/>
      <c r="N50" s="10"/>
      <c r="O50" s="11"/>
      <c r="P50" s="11"/>
      <c r="Q50" s="11"/>
      <c r="R50" s="10"/>
      <c r="S50" s="11"/>
      <c r="T50" s="10"/>
      <c r="U50" s="11"/>
      <c r="V50" s="11"/>
      <c r="W50" s="10"/>
      <c r="X50" s="11"/>
      <c r="Y50" s="11"/>
      <c r="Z50" s="10"/>
      <c r="AA50" s="11"/>
      <c r="AB50" s="10"/>
      <c r="AC50" s="5"/>
      <c r="AD50" s="129"/>
      <c r="AE50" s="15"/>
      <c r="AF50" s="34"/>
      <c r="AG50" s="34"/>
      <c r="AH50" s="34"/>
    </row>
    <row r="51" spans="1:34" ht="23.25" hidden="1" x14ac:dyDescent="0.35">
      <c r="A51" s="155"/>
      <c r="B51" s="93"/>
      <c r="C51" s="91"/>
      <c r="D51" s="91"/>
      <c r="E51" s="11"/>
      <c r="F51" s="11"/>
      <c r="G51" s="11"/>
      <c r="H51" s="10"/>
      <c r="I51" s="11"/>
      <c r="J51" s="11"/>
      <c r="K51" s="11"/>
      <c r="L51" s="10"/>
      <c r="M51" s="11"/>
      <c r="N51" s="10"/>
      <c r="O51" s="11"/>
      <c r="P51" s="11"/>
      <c r="Q51" s="11"/>
      <c r="R51" s="10"/>
      <c r="S51" s="11"/>
      <c r="T51" s="10"/>
      <c r="U51" s="11"/>
      <c r="V51" s="11"/>
      <c r="W51" s="10"/>
      <c r="X51" s="11"/>
      <c r="Y51" s="11"/>
      <c r="Z51" s="10"/>
      <c r="AA51" s="11"/>
      <c r="AB51" s="10"/>
      <c r="AC51" s="72"/>
      <c r="AD51" s="129"/>
      <c r="AE51" s="15"/>
      <c r="AF51" s="34"/>
      <c r="AG51" s="34"/>
      <c r="AH51" s="34"/>
    </row>
    <row r="52" spans="1:34" ht="27" customHeight="1" x14ac:dyDescent="0.35">
      <c r="A52" s="5" t="s">
        <v>261</v>
      </c>
      <c r="B52" s="161"/>
      <c r="C52" s="158"/>
      <c r="D52" s="158"/>
      <c r="E52" s="11"/>
      <c r="F52" s="11"/>
      <c r="G52" s="11"/>
      <c r="H52" s="159"/>
      <c r="I52" s="11"/>
      <c r="J52" s="11"/>
      <c r="K52" s="11"/>
      <c r="L52" s="159"/>
      <c r="M52" s="11"/>
      <c r="N52" s="159"/>
      <c r="O52" s="11"/>
      <c r="P52" s="11"/>
      <c r="Q52" s="11"/>
      <c r="R52" s="159"/>
      <c r="S52" s="11"/>
      <c r="T52" s="159"/>
      <c r="U52" s="11"/>
      <c r="V52" s="11"/>
      <c r="W52" s="10"/>
      <c r="X52" s="11"/>
      <c r="Y52" s="11"/>
      <c r="Z52" s="10"/>
      <c r="AA52" s="11"/>
      <c r="AB52" s="10"/>
      <c r="AC52" s="72"/>
      <c r="AD52" s="129"/>
      <c r="AE52" s="15"/>
      <c r="AF52" s="34"/>
      <c r="AG52" s="34"/>
      <c r="AH52" s="34"/>
    </row>
    <row r="53" spans="1:34" ht="29.25" hidden="1" customHeight="1" x14ac:dyDescent="0.35">
      <c r="A53" s="5" t="s">
        <v>273</v>
      </c>
      <c r="B53" s="161"/>
      <c r="C53" s="158" t="s">
        <v>196</v>
      </c>
      <c r="D53" s="158"/>
      <c r="E53" s="11"/>
      <c r="F53" s="11"/>
      <c r="G53" s="11"/>
      <c r="H53" s="159"/>
      <c r="I53" s="11"/>
      <c r="J53" s="11"/>
      <c r="K53" s="11"/>
      <c r="L53" s="159"/>
      <c r="M53" s="11"/>
      <c r="N53" s="159"/>
      <c r="O53" s="11"/>
      <c r="P53" s="11"/>
      <c r="Q53" s="11"/>
      <c r="R53" s="159"/>
      <c r="S53" s="11"/>
      <c r="T53" s="159"/>
      <c r="U53" s="11"/>
      <c r="V53" s="11"/>
      <c r="W53" s="10"/>
      <c r="X53" s="11"/>
      <c r="Y53" s="11"/>
      <c r="Z53" s="10"/>
      <c r="AA53" s="11"/>
      <c r="AB53" s="10"/>
      <c r="AC53" s="72"/>
      <c r="AD53" s="129"/>
      <c r="AE53" s="15"/>
      <c r="AF53" s="34"/>
      <c r="AG53" s="34"/>
      <c r="AH53" s="34"/>
    </row>
    <row r="54" spans="1:34" ht="29.25" customHeight="1" x14ac:dyDescent="0.35">
      <c r="A54" s="5" t="s">
        <v>265</v>
      </c>
      <c r="B54" s="161"/>
      <c r="C54" s="158" t="s">
        <v>196</v>
      </c>
      <c r="D54" s="158"/>
      <c r="E54" s="11"/>
      <c r="F54" s="11"/>
      <c r="G54" s="11"/>
      <c r="H54" s="159"/>
      <c r="I54" s="11"/>
      <c r="J54" s="11"/>
      <c r="K54" s="11"/>
      <c r="L54" s="159"/>
      <c r="M54" s="11"/>
      <c r="N54" s="159"/>
      <c r="O54" s="11"/>
      <c r="P54" s="11"/>
      <c r="Q54" s="11"/>
      <c r="R54" s="159"/>
      <c r="S54" s="11"/>
      <c r="T54" s="159"/>
      <c r="U54" s="11"/>
      <c r="V54" s="11"/>
      <c r="W54" s="10"/>
      <c r="X54" s="11"/>
      <c r="Y54" s="11"/>
      <c r="Z54" s="10"/>
      <c r="AA54" s="11"/>
      <c r="AB54" s="10"/>
      <c r="AC54" s="72"/>
      <c r="AD54" s="129"/>
      <c r="AE54" s="15"/>
      <c r="AF54" s="34"/>
      <c r="AG54" s="34"/>
      <c r="AH54" s="34"/>
    </row>
    <row r="55" spans="1:34" ht="33" customHeight="1" x14ac:dyDescent="0.35">
      <c r="A55" s="145" t="s">
        <v>367</v>
      </c>
      <c r="B55" s="161"/>
      <c r="C55" s="158"/>
      <c r="D55" s="158"/>
      <c r="E55" s="11"/>
      <c r="F55" s="11"/>
      <c r="G55" s="11"/>
      <c r="H55" s="159"/>
      <c r="I55" s="11"/>
      <c r="J55" s="11"/>
      <c r="K55" s="11"/>
      <c r="L55" s="159"/>
      <c r="M55" s="11"/>
      <c r="N55" s="159"/>
      <c r="O55" s="11" t="s">
        <v>196</v>
      </c>
      <c r="P55" s="11"/>
      <c r="Q55" s="11"/>
      <c r="R55" s="159"/>
      <c r="S55" s="11"/>
      <c r="T55" s="159"/>
      <c r="U55" s="11"/>
      <c r="V55" s="11"/>
      <c r="W55" s="10"/>
      <c r="X55" s="11"/>
      <c r="Y55" s="11"/>
      <c r="Z55" s="10"/>
      <c r="AA55" s="11"/>
      <c r="AB55" s="10"/>
      <c r="AC55" s="72" t="s">
        <v>303</v>
      </c>
      <c r="AD55" s="129"/>
      <c r="AE55" s="15"/>
      <c r="AF55" s="34"/>
      <c r="AG55" s="34"/>
      <c r="AH55" s="34"/>
    </row>
    <row r="56" spans="1:34" ht="41.25" hidden="1" x14ac:dyDescent="0.35">
      <c r="A56" s="118" t="s">
        <v>299</v>
      </c>
      <c r="B56" s="161"/>
      <c r="C56" s="158"/>
      <c r="D56" s="158"/>
      <c r="E56" s="11"/>
      <c r="F56" s="11"/>
      <c r="G56" s="11"/>
      <c r="H56" s="159"/>
      <c r="I56" s="11"/>
      <c r="J56" s="11"/>
      <c r="K56" s="11"/>
      <c r="L56" s="159"/>
      <c r="M56" s="11"/>
      <c r="N56" s="159"/>
      <c r="O56" s="11"/>
      <c r="P56" s="11"/>
      <c r="Q56" s="11"/>
      <c r="R56" s="159"/>
      <c r="S56" s="11"/>
      <c r="T56" s="159"/>
      <c r="U56" s="11"/>
      <c r="V56" s="11"/>
      <c r="W56" s="10"/>
      <c r="X56" s="11"/>
      <c r="Y56" s="11"/>
      <c r="Z56" s="10"/>
      <c r="AA56" s="11"/>
      <c r="AB56" s="10"/>
      <c r="AC56" s="72"/>
      <c r="AD56" s="129"/>
      <c r="AE56" s="15"/>
      <c r="AF56" s="34"/>
      <c r="AG56" s="34"/>
      <c r="AH56" s="34"/>
    </row>
    <row r="57" spans="1:34" ht="30.75" customHeight="1" x14ac:dyDescent="0.35">
      <c r="A57" s="5" t="s">
        <v>366</v>
      </c>
      <c r="B57" s="161"/>
      <c r="C57" s="158"/>
      <c r="D57" s="158" t="s">
        <v>196</v>
      </c>
      <c r="E57" s="11"/>
      <c r="F57" s="11"/>
      <c r="G57" s="11"/>
      <c r="H57" s="159"/>
      <c r="I57" s="11"/>
      <c r="J57" s="11"/>
      <c r="K57" s="11"/>
      <c r="L57" s="159"/>
      <c r="M57" s="11"/>
      <c r="N57" s="159"/>
      <c r="O57" s="11"/>
      <c r="P57" s="11"/>
      <c r="Q57" s="11"/>
      <c r="R57" s="159"/>
      <c r="S57" s="11"/>
      <c r="T57" s="159"/>
      <c r="U57" s="11"/>
      <c r="V57" s="11"/>
      <c r="W57" s="10"/>
      <c r="X57" s="11"/>
      <c r="Y57" s="11"/>
      <c r="Z57" s="10"/>
      <c r="AA57" s="11"/>
      <c r="AB57" s="10"/>
      <c r="AC57" s="72"/>
      <c r="AD57" s="129"/>
      <c r="AE57" s="15"/>
      <c r="AF57" s="34"/>
      <c r="AG57" s="34"/>
      <c r="AH57" s="34"/>
    </row>
    <row r="58" spans="1:34" ht="29.25" customHeight="1" x14ac:dyDescent="0.35">
      <c r="A58" s="5" t="s">
        <v>264</v>
      </c>
      <c r="B58" s="161"/>
      <c r="C58" s="158"/>
      <c r="D58" s="158" t="s">
        <v>196</v>
      </c>
      <c r="E58" s="11"/>
      <c r="F58" s="11"/>
      <c r="G58" s="11"/>
      <c r="H58" s="159"/>
      <c r="I58" s="11"/>
      <c r="J58" s="11"/>
      <c r="K58" s="11"/>
      <c r="L58" s="159"/>
      <c r="M58" s="11"/>
      <c r="N58" s="159"/>
      <c r="O58" s="11"/>
      <c r="P58" s="11"/>
      <c r="Q58" s="11"/>
      <c r="R58" s="159"/>
      <c r="S58" s="11"/>
      <c r="T58" s="159"/>
      <c r="U58" s="11"/>
      <c r="V58" s="11"/>
      <c r="W58" s="10"/>
      <c r="X58" s="11"/>
      <c r="Y58" s="11"/>
      <c r="Z58" s="10"/>
      <c r="AA58" s="11"/>
      <c r="AB58" s="10"/>
      <c r="AC58" s="72"/>
      <c r="AD58" s="129"/>
      <c r="AE58" s="15"/>
      <c r="AF58" s="34"/>
      <c r="AG58" s="34"/>
      <c r="AH58" s="34"/>
    </row>
    <row r="59" spans="1:34" ht="42" customHeight="1" x14ac:dyDescent="0.35">
      <c r="A59" s="115" t="s">
        <v>368</v>
      </c>
      <c r="B59" s="161"/>
      <c r="C59" s="158"/>
      <c r="D59" s="158" t="s">
        <v>196</v>
      </c>
      <c r="E59" s="11"/>
      <c r="F59" s="11"/>
      <c r="G59" s="11"/>
      <c r="H59" s="159"/>
      <c r="I59" s="11"/>
      <c r="J59" s="11"/>
      <c r="K59" s="11"/>
      <c r="L59" s="159"/>
      <c r="M59" s="11"/>
      <c r="N59" s="159"/>
      <c r="O59" s="11"/>
      <c r="P59" s="11"/>
      <c r="Q59" s="11"/>
      <c r="R59" s="159"/>
      <c r="S59" s="11"/>
      <c r="T59" s="159"/>
      <c r="U59" s="11"/>
      <c r="V59" s="11"/>
      <c r="W59" s="10"/>
      <c r="X59" s="11"/>
      <c r="Y59" s="11"/>
      <c r="Z59" s="10"/>
      <c r="AA59" s="11"/>
      <c r="AB59" s="10"/>
      <c r="AC59" s="72"/>
      <c r="AD59" s="129"/>
      <c r="AE59" s="15"/>
      <c r="AF59" s="34"/>
      <c r="AG59" s="34"/>
      <c r="AH59" s="34"/>
    </row>
    <row r="60" spans="1:34" ht="23.25" x14ac:dyDescent="0.35">
      <c r="A60" s="115" t="s">
        <v>233</v>
      </c>
      <c r="B60" s="161"/>
      <c r="C60" s="158"/>
      <c r="D60" s="158"/>
      <c r="E60" s="11"/>
      <c r="F60" s="11"/>
      <c r="G60" s="11"/>
      <c r="H60" s="159"/>
      <c r="I60" s="11"/>
      <c r="J60" s="11"/>
      <c r="K60" s="11"/>
      <c r="L60" s="159"/>
      <c r="M60" s="11"/>
      <c r="N60" s="159"/>
      <c r="O60" s="11" t="s">
        <v>196</v>
      </c>
      <c r="P60" s="11"/>
      <c r="Q60" s="11"/>
      <c r="R60" s="159"/>
      <c r="S60" s="11"/>
      <c r="T60" s="159"/>
      <c r="U60" s="11"/>
      <c r="V60" s="11"/>
      <c r="W60" s="10"/>
      <c r="X60" s="11"/>
      <c r="Y60" s="11"/>
      <c r="Z60" s="10"/>
      <c r="AA60" s="11"/>
      <c r="AB60" s="10"/>
      <c r="AC60" s="72"/>
      <c r="AD60" s="129"/>
      <c r="AE60" s="15"/>
      <c r="AF60" s="34"/>
      <c r="AG60" s="34"/>
      <c r="AH60" s="34"/>
    </row>
    <row r="61" spans="1:34" ht="29.25" hidden="1" customHeight="1" x14ac:dyDescent="0.35">
      <c r="A61" s="5" t="s">
        <v>278</v>
      </c>
      <c r="B61" s="161"/>
      <c r="C61" s="158"/>
      <c r="D61" s="158"/>
      <c r="E61" s="11"/>
      <c r="F61" s="11"/>
      <c r="G61" s="11"/>
      <c r="H61" s="159"/>
      <c r="I61" s="11"/>
      <c r="J61" s="11"/>
      <c r="K61" s="11"/>
      <c r="L61" s="159"/>
      <c r="M61" s="11"/>
      <c r="N61" s="159"/>
      <c r="O61" s="11"/>
      <c r="P61" s="11"/>
      <c r="Q61" s="11"/>
      <c r="R61" s="159"/>
      <c r="S61" s="11"/>
      <c r="T61" s="159"/>
      <c r="U61" s="11"/>
      <c r="V61" s="11"/>
      <c r="W61" s="10"/>
      <c r="X61" s="11"/>
      <c r="Y61" s="11"/>
      <c r="Z61" s="10"/>
      <c r="AA61" s="11"/>
      <c r="AB61" s="10"/>
      <c r="AC61" s="72"/>
      <c r="AD61" s="129"/>
      <c r="AE61" s="15"/>
      <c r="AF61" s="34"/>
      <c r="AG61" s="34"/>
      <c r="AH61" s="34"/>
    </row>
    <row r="62" spans="1:34" ht="41.25" hidden="1" x14ac:dyDescent="0.35">
      <c r="A62" s="115" t="s">
        <v>232</v>
      </c>
      <c r="B62" s="161"/>
      <c r="C62" s="158" t="s">
        <v>196</v>
      </c>
      <c r="D62" s="158"/>
      <c r="E62" s="11"/>
      <c r="F62" s="11"/>
      <c r="G62" s="11"/>
      <c r="H62" s="159"/>
      <c r="I62" s="11"/>
      <c r="J62" s="11"/>
      <c r="K62" s="11"/>
      <c r="L62" s="159"/>
      <c r="M62" s="11"/>
      <c r="N62" s="159"/>
      <c r="O62" s="11"/>
      <c r="P62" s="11"/>
      <c r="Q62" s="11"/>
      <c r="R62" s="159"/>
      <c r="S62" s="11"/>
      <c r="T62" s="159"/>
      <c r="U62" s="11"/>
      <c r="V62" s="11"/>
      <c r="W62" s="10"/>
      <c r="X62" s="11"/>
      <c r="Y62" s="11"/>
      <c r="Z62" s="10"/>
      <c r="AA62" s="11"/>
      <c r="AB62" s="10"/>
      <c r="AC62" s="72"/>
      <c r="AD62" s="129"/>
      <c r="AE62" s="15"/>
      <c r="AF62" s="34"/>
      <c r="AG62" s="34"/>
      <c r="AH62" s="34"/>
    </row>
    <row r="63" spans="1:34" ht="29.25" customHeight="1" x14ac:dyDescent="0.35">
      <c r="A63" s="5" t="s">
        <v>369</v>
      </c>
      <c r="B63" s="161" t="s">
        <v>323</v>
      </c>
      <c r="C63" s="158"/>
      <c r="D63" s="158" t="s">
        <v>196</v>
      </c>
      <c r="E63" s="11"/>
      <c r="F63" s="11"/>
      <c r="G63" s="11"/>
      <c r="H63" s="159"/>
      <c r="I63" s="11"/>
      <c r="J63" s="11"/>
      <c r="K63" s="11"/>
      <c r="L63" s="159"/>
      <c r="M63" s="11"/>
      <c r="N63" s="159"/>
      <c r="O63" s="11"/>
      <c r="P63" s="11"/>
      <c r="Q63" s="11"/>
      <c r="R63" s="159"/>
      <c r="S63" s="11"/>
      <c r="T63" s="159"/>
      <c r="U63" s="11"/>
      <c r="V63" s="11"/>
      <c r="W63" s="10"/>
      <c r="X63" s="11"/>
      <c r="Y63" s="11"/>
      <c r="Z63" s="10"/>
      <c r="AA63" s="11"/>
      <c r="AB63" s="10"/>
      <c r="AC63" s="72"/>
      <c r="AD63" s="129"/>
      <c r="AE63" s="15"/>
      <c r="AF63" s="34"/>
      <c r="AG63" s="34"/>
      <c r="AH63" s="34"/>
    </row>
    <row r="64" spans="1:34" ht="27" hidden="1" customHeight="1" x14ac:dyDescent="0.35">
      <c r="A64" s="119" t="s">
        <v>238</v>
      </c>
      <c r="B64" s="161"/>
      <c r="C64" s="158"/>
      <c r="D64" s="158"/>
      <c r="E64" s="11"/>
      <c r="F64" s="11"/>
      <c r="G64" s="11"/>
      <c r="H64" s="159"/>
      <c r="I64" s="11"/>
      <c r="J64" s="11"/>
      <c r="K64" s="11"/>
      <c r="L64" s="159"/>
      <c r="M64" s="11"/>
      <c r="N64" s="159"/>
      <c r="O64" s="11"/>
      <c r="P64" s="11"/>
      <c r="Q64" s="11"/>
      <c r="R64" s="159"/>
      <c r="S64" s="11"/>
      <c r="T64" s="159"/>
      <c r="U64" s="11"/>
      <c r="V64" s="11"/>
      <c r="W64" s="10"/>
      <c r="X64" s="11"/>
      <c r="Y64" s="11"/>
      <c r="Z64" s="10"/>
      <c r="AA64" s="11"/>
      <c r="AB64" s="10"/>
      <c r="AC64" s="72"/>
      <c r="AD64" s="129"/>
      <c r="AE64" s="15"/>
      <c r="AF64" s="34"/>
      <c r="AG64" s="34"/>
      <c r="AH64" s="34"/>
    </row>
    <row r="65" spans="1:34" ht="27" customHeight="1" x14ac:dyDescent="0.35">
      <c r="A65" s="72" t="s">
        <v>375</v>
      </c>
      <c r="B65" s="161"/>
      <c r="C65" s="158"/>
      <c r="D65" s="158"/>
      <c r="E65" s="11"/>
      <c r="F65" s="11"/>
      <c r="G65" s="11"/>
      <c r="H65" s="159"/>
      <c r="I65" s="11"/>
      <c r="J65" s="11"/>
      <c r="K65" s="11"/>
      <c r="L65" s="159"/>
      <c r="M65" s="11"/>
      <c r="N65" s="159"/>
      <c r="O65" s="11"/>
      <c r="P65" s="11"/>
      <c r="Q65" s="11"/>
      <c r="R65" s="159"/>
      <c r="S65" s="11"/>
      <c r="T65" s="159"/>
      <c r="U65" s="11"/>
      <c r="V65" s="11"/>
      <c r="W65" s="10"/>
      <c r="X65" s="11"/>
      <c r="Y65" s="11"/>
      <c r="Z65" s="10"/>
      <c r="AA65" s="11"/>
      <c r="AB65" s="10"/>
      <c r="AC65" s="72"/>
      <c r="AD65" s="129"/>
      <c r="AE65" s="15"/>
      <c r="AF65" s="34"/>
      <c r="AG65" s="34"/>
      <c r="AH65" s="34"/>
    </row>
    <row r="66" spans="1:34" ht="25.5" customHeight="1" x14ac:dyDescent="0.35">
      <c r="A66" s="5" t="s">
        <v>231</v>
      </c>
      <c r="B66" s="161"/>
      <c r="C66" s="158"/>
      <c r="D66" s="158"/>
      <c r="E66" s="11"/>
      <c r="F66" s="11"/>
      <c r="G66" s="11"/>
      <c r="H66" s="159"/>
      <c r="I66" s="11"/>
      <c r="J66" s="11"/>
      <c r="K66" s="11"/>
      <c r="L66" s="159"/>
      <c r="M66" s="11"/>
      <c r="N66" s="159"/>
      <c r="O66" s="11"/>
      <c r="P66" s="11" t="s">
        <v>196</v>
      </c>
      <c r="Q66" s="11"/>
      <c r="R66" s="159"/>
      <c r="S66" s="11"/>
      <c r="T66" s="159"/>
      <c r="U66" s="11"/>
      <c r="V66" s="11"/>
      <c r="W66" s="10"/>
      <c r="X66" s="11"/>
      <c r="Y66" s="11"/>
      <c r="Z66" s="10"/>
      <c r="AA66" s="11"/>
      <c r="AB66" s="10"/>
      <c r="AC66" s="72"/>
      <c r="AD66" s="129"/>
      <c r="AE66" s="15"/>
      <c r="AF66" s="34"/>
      <c r="AG66" s="34"/>
      <c r="AH66" s="34"/>
    </row>
    <row r="67" spans="1:34" ht="25.5" hidden="1" customHeight="1" x14ac:dyDescent="0.35">
      <c r="A67" s="5" t="s">
        <v>305</v>
      </c>
      <c r="B67" s="161"/>
      <c r="C67" s="158"/>
      <c r="D67" s="158"/>
      <c r="E67" s="11"/>
      <c r="F67" s="11"/>
      <c r="G67" s="11"/>
      <c r="H67" s="159"/>
      <c r="I67" s="11"/>
      <c r="J67" s="11"/>
      <c r="K67" s="11"/>
      <c r="L67" s="159"/>
      <c r="M67" s="11"/>
      <c r="N67" s="159"/>
      <c r="O67" s="11"/>
      <c r="P67" s="11"/>
      <c r="Q67" s="11"/>
      <c r="R67" s="159"/>
      <c r="S67" s="11"/>
      <c r="T67" s="159"/>
      <c r="U67" s="11"/>
      <c r="V67" s="11"/>
      <c r="W67" s="10"/>
      <c r="X67" s="11"/>
      <c r="Y67" s="11"/>
      <c r="Z67" s="10"/>
      <c r="AA67" s="11"/>
      <c r="AB67" s="10"/>
      <c r="AC67" s="72"/>
      <c r="AD67" s="129"/>
      <c r="AE67" s="15"/>
      <c r="AF67" s="34"/>
      <c r="AG67" s="34"/>
      <c r="AH67" s="34"/>
    </row>
    <row r="68" spans="1:34" ht="24.75" customHeight="1" x14ac:dyDescent="0.35">
      <c r="A68" s="5" t="s">
        <v>370</v>
      </c>
      <c r="B68" s="161"/>
      <c r="C68" s="158" t="s">
        <v>196</v>
      </c>
      <c r="D68" s="158"/>
      <c r="E68" s="11"/>
      <c r="F68" s="11"/>
      <c r="G68" s="11"/>
      <c r="H68" s="159"/>
      <c r="I68" s="11"/>
      <c r="J68" s="11"/>
      <c r="K68" s="11"/>
      <c r="L68" s="159"/>
      <c r="M68" s="11"/>
      <c r="N68" s="159"/>
      <c r="O68" s="11"/>
      <c r="P68" s="11"/>
      <c r="Q68" s="11"/>
      <c r="R68" s="159"/>
      <c r="S68" s="11"/>
      <c r="T68" s="159"/>
      <c r="U68" s="11"/>
      <c r="V68" s="11"/>
      <c r="W68" s="10"/>
      <c r="X68" s="11"/>
      <c r="Y68" s="11"/>
      <c r="Z68" s="10"/>
      <c r="AA68" s="11"/>
      <c r="AB68" s="10"/>
      <c r="AC68" s="72"/>
      <c r="AD68" s="129"/>
      <c r="AE68" s="15"/>
      <c r="AF68" s="34"/>
      <c r="AG68" s="34"/>
      <c r="AH68" s="34"/>
    </row>
    <row r="69" spans="1:34" ht="24.75" customHeight="1" x14ac:dyDescent="0.35">
      <c r="A69" s="5" t="s">
        <v>50</v>
      </c>
      <c r="B69" s="161" t="s">
        <v>364</v>
      </c>
      <c r="C69" s="158"/>
      <c r="D69" s="158"/>
      <c r="E69" s="11"/>
      <c r="F69" s="11"/>
      <c r="G69" s="11"/>
      <c r="H69" s="159"/>
      <c r="I69" s="11" t="s">
        <v>196</v>
      </c>
      <c r="J69" s="11"/>
      <c r="K69" s="11"/>
      <c r="L69" s="159"/>
      <c r="M69" s="11"/>
      <c r="N69" s="159"/>
      <c r="O69" s="11"/>
      <c r="P69" s="11"/>
      <c r="Q69" s="11"/>
      <c r="R69" s="159"/>
      <c r="S69" s="11"/>
      <c r="T69" s="159"/>
      <c r="U69" s="11"/>
      <c r="V69" s="11"/>
      <c r="W69" s="10"/>
      <c r="X69" s="11"/>
      <c r="Y69" s="11"/>
      <c r="Z69" s="10"/>
      <c r="AA69" s="11"/>
      <c r="AB69" s="10"/>
      <c r="AC69" s="72"/>
      <c r="AD69" s="129"/>
      <c r="AE69" s="15"/>
      <c r="AF69" s="34"/>
      <c r="AG69" s="34"/>
      <c r="AH69" s="34"/>
    </row>
    <row r="70" spans="1:34" ht="25.5" customHeight="1" x14ac:dyDescent="0.35">
      <c r="A70" s="5" t="s">
        <v>289</v>
      </c>
      <c r="B70" s="161"/>
      <c r="C70" s="158"/>
      <c r="D70" s="158" t="s">
        <v>196</v>
      </c>
      <c r="E70" s="11"/>
      <c r="F70" s="11"/>
      <c r="G70" s="11"/>
      <c r="H70" s="159"/>
      <c r="I70" s="11"/>
      <c r="J70" s="11"/>
      <c r="K70" s="11"/>
      <c r="L70" s="159"/>
      <c r="M70" s="11"/>
      <c r="N70" s="159"/>
      <c r="O70" s="11"/>
      <c r="P70" s="11"/>
      <c r="Q70" s="11"/>
      <c r="R70" s="159"/>
      <c r="S70" s="11"/>
      <c r="T70" s="159"/>
      <c r="U70" s="11"/>
      <c r="V70" s="11"/>
      <c r="W70" s="10"/>
      <c r="X70" s="11"/>
      <c r="Y70" s="11"/>
      <c r="Z70" s="10"/>
      <c r="AA70" s="11"/>
      <c r="AB70" s="10"/>
      <c r="AC70" s="72"/>
      <c r="AD70" s="129"/>
      <c r="AE70" s="15"/>
      <c r="AF70" s="34"/>
      <c r="AG70" s="34"/>
      <c r="AH70" s="34"/>
    </row>
    <row r="71" spans="1:34" ht="31.5" customHeight="1" x14ac:dyDescent="0.35">
      <c r="A71" s="115" t="s">
        <v>371</v>
      </c>
      <c r="B71" s="161"/>
      <c r="C71" s="158"/>
      <c r="D71" s="158"/>
      <c r="E71" s="11"/>
      <c r="F71" s="11" t="s">
        <v>196</v>
      </c>
      <c r="G71" s="11"/>
      <c r="H71" s="159"/>
      <c r="I71" s="11"/>
      <c r="J71" s="11"/>
      <c r="K71" s="11"/>
      <c r="L71" s="159"/>
      <c r="M71" s="11"/>
      <c r="N71" s="159"/>
      <c r="O71" s="11"/>
      <c r="P71" s="11"/>
      <c r="Q71" s="11"/>
      <c r="R71" s="159"/>
      <c r="S71" s="11"/>
      <c r="T71" s="159"/>
      <c r="U71" s="11"/>
      <c r="V71" s="11"/>
      <c r="W71" s="10"/>
      <c r="X71" s="11"/>
      <c r="Y71" s="11"/>
      <c r="Z71" s="10"/>
      <c r="AA71" s="11"/>
      <c r="AB71" s="10"/>
      <c r="AC71" s="72"/>
      <c r="AD71" s="129"/>
      <c r="AE71" s="15"/>
      <c r="AF71" s="34"/>
      <c r="AG71" s="34"/>
      <c r="AH71" s="34"/>
    </row>
    <row r="72" spans="1:34" ht="32.25" hidden="1" customHeight="1" x14ac:dyDescent="0.35">
      <c r="A72" s="5" t="s">
        <v>290</v>
      </c>
      <c r="B72" s="161"/>
      <c r="C72" s="158"/>
      <c r="D72" s="158"/>
      <c r="E72" s="11"/>
      <c r="F72" s="11"/>
      <c r="G72" s="11"/>
      <c r="H72" s="159"/>
      <c r="I72" s="11"/>
      <c r="J72" s="11"/>
      <c r="K72" s="11"/>
      <c r="L72" s="159"/>
      <c r="M72" s="11"/>
      <c r="N72" s="159"/>
      <c r="O72" s="11"/>
      <c r="P72" s="11"/>
      <c r="Q72" s="11"/>
      <c r="R72" s="159"/>
      <c r="S72" s="11"/>
      <c r="T72" s="159"/>
      <c r="U72" s="11"/>
      <c r="V72" s="11"/>
      <c r="W72" s="10"/>
      <c r="X72" s="11"/>
      <c r="Y72" s="11"/>
      <c r="Z72" s="10"/>
      <c r="AA72" s="11"/>
      <c r="AB72" s="10"/>
      <c r="AC72" s="72"/>
      <c r="AD72" s="129"/>
      <c r="AE72" s="15"/>
      <c r="AF72" s="34"/>
      <c r="AG72" s="34"/>
      <c r="AH72" s="34"/>
    </row>
    <row r="73" spans="1:34" ht="28.5" customHeight="1" x14ac:dyDescent="0.35">
      <c r="A73" s="8" t="s">
        <v>72</v>
      </c>
      <c r="B73" s="161" t="s">
        <v>364</v>
      </c>
      <c r="C73" s="158"/>
      <c r="D73" s="158"/>
      <c r="E73" s="11"/>
      <c r="F73" s="11"/>
      <c r="G73" s="11"/>
      <c r="H73" s="159"/>
      <c r="I73" s="11" t="s">
        <v>196</v>
      </c>
      <c r="J73" s="11"/>
      <c r="K73" s="11"/>
      <c r="L73" s="159"/>
      <c r="M73" s="11"/>
      <c r="N73" s="159"/>
      <c r="O73" s="11"/>
      <c r="P73" s="11"/>
      <c r="Q73" s="11"/>
      <c r="R73" s="159"/>
      <c r="S73" s="11"/>
      <c r="T73" s="159"/>
      <c r="U73" s="11"/>
      <c r="V73" s="11"/>
      <c r="W73" s="10"/>
      <c r="X73" s="11"/>
      <c r="Y73" s="11"/>
      <c r="Z73" s="10"/>
      <c r="AA73" s="11"/>
      <c r="AB73" s="10"/>
      <c r="AC73" s="72"/>
      <c r="AD73" s="129"/>
      <c r="AE73" s="15"/>
      <c r="AF73" s="34"/>
      <c r="AG73" s="34"/>
      <c r="AH73" s="34"/>
    </row>
    <row r="74" spans="1:34" ht="41.25" customHeight="1" x14ac:dyDescent="0.35">
      <c r="A74" s="115" t="s">
        <v>386</v>
      </c>
      <c r="B74" s="180" t="s">
        <v>372</v>
      </c>
      <c r="C74" s="158"/>
      <c r="D74" s="158"/>
      <c r="E74" s="11"/>
      <c r="F74" s="11" t="s">
        <v>196</v>
      </c>
      <c r="G74" s="11" t="s">
        <v>196</v>
      </c>
      <c r="H74" s="159"/>
      <c r="I74" s="11"/>
      <c r="J74" s="11"/>
      <c r="K74" s="11"/>
      <c r="L74" s="159"/>
      <c r="M74" s="11"/>
      <c r="N74" s="159"/>
      <c r="O74" s="11"/>
      <c r="P74" s="11"/>
      <c r="Q74" s="11"/>
      <c r="R74" s="159"/>
      <c r="S74" s="11"/>
      <c r="T74" s="159"/>
      <c r="U74" s="11"/>
      <c r="V74" s="11"/>
      <c r="W74" s="10"/>
      <c r="X74" s="11"/>
      <c r="Y74" s="11"/>
      <c r="Z74" s="10"/>
      <c r="AA74" s="11"/>
      <c r="AB74" s="10"/>
      <c r="AC74" s="72"/>
      <c r="AD74" s="129"/>
      <c r="AE74" s="15"/>
      <c r="AF74" s="34"/>
      <c r="AG74" s="34"/>
      <c r="AH74" s="34"/>
    </row>
    <row r="75" spans="1:34" ht="23.25" x14ac:dyDescent="0.35">
      <c r="A75" s="156"/>
      <c r="B75" s="161"/>
      <c r="C75" s="158"/>
      <c r="D75" s="158"/>
      <c r="E75" s="11"/>
      <c r="F75" s="11"/>
      <c r="G75" s="11"/>
      <c r="H75" s="159"/>
      <c r="I75" s="11"/>
      <c r="J75" s="11"/>
      <c r="K75" s="11"/>
      <c r="L75" s="159"/>
      <c r="M75" s="11"/>
      <c r="N75" s="159"/>
      <c r="O75" s="11"/>
      <c r="P75" s="11"/>
      <c r="Q75" s="11"/>
      <c r="R75" s="159"/>
      <c r="S75" s="11"/>
      <c r="T75" s="159"/>
      <c r="U75" s="11"/>
      <c r="V75" s="11"/>
      <c r="W75" s="10"/>
      <c r="X75" s="11"/>
      <c r="Y75" s="11"/>
      <c r="Z75" s="10"/>
      <c r="AA75" s="11"/>
      <c r="AB75" s="10"/>
      <c r="AC75" s="72"/>
      <c r="AD75" s="129"/>
      <c r="AE75" s="15"/>
      <c r="AF75" s="34"/>
      <c r="AG75" s="34"/>
      <c r="AH75" s="34"/>
    </row>
    <row r="76" spans="1:34" ht="23.25" x14ac:dyDescent="0.35">
      <c r="A76" s="153"/>
      <c r="B76" s="161"/>
      <c r="C76" s="158"/>
      <c r="D76" s="158"/>
      <c r="E76" s="11"/>
      <c r="F76" s="11"/>
      <c r="G76" s="11"/>
      <c r="H76" s="159"/>
      <c r="I76" s="11"/>
      <c r="J76" s="11"/>
      <c r="K76" s="11"/>
      <c r="L76" s="159"/>
      <c r="M76" s="11"/>
      <c r="N76" s="159"/>
      <c r="O76" s="11"/>
      <c r="P76" s="11"/>
      <c r="Q76" s="11"/>
      <c r="R76" s="159"/>
      <c r="S76" s="11"/>
      <c r="T76" s="159"/>
      <c r="U76" s="11"/>
      <c r="V76" s="11"/>
      <c r="W76" s="10"/>
      <c r="X76" s="11"/>
      <c r="Y76" s="11"/>
      <c r="Z76" s="10"/>
      <c r="AA76" s="11"/>
      <c r="AB76" s="10"/>
      <c r="AC76" s="72"/>
      <c r="AD76" s="129"/>
      <c r="AE76" s="15"/>
      <c r="AF76" s="34"/>
      <c r="AG76" s="34"/>
      <c r="AH76" s="34"/>
    </row>
    <row r="77" spans="1:34" ht="23.25" x14ac:dyDescent="0.35">
      <c r="A77" s="155"/>
      <c r="B77" s="161"/>
      <c r="C77" s="158"/>
      <c r="D77" s="158"/>
      <c r="E77" s="11"/>
      <c r="F77" s="11"/>
      <c r="G77" s="11"/>
      <c r="H77" s="159"/>
      <c r="I77" s="11"/>
      <c r="J77" s="11"/>
      <c r="K77" s="11"/>
      <c r="L77" s="159"/>
      <c r="M77" s="11"/>
      <c r="N77" s="159"/>
      <c r="O77" s="11"/>
      <c r="P77" s="11"/>
      <c r="Q77" s="11"/>
      <c r="R77" s="159"/>
      <c r="S77" s="11"/>
      <c r="T77" s="159"/>
      <c r="U77" s="11"/>
      <c r="V77" s="11"/>
      <c r="W77" s="10"/>
      <c r="X77" s="11"/>
      <c r="Y77" s="11"/>
      <c r="Z77" s="10"/>
      <c r="AA77" s="11"/>
      <c r="AB77" s="10"/>
      <c r="AC77" s="72"/>
      <c r="AD77" s="129"/>
      <c r="AE77" s="15"/>
      <c r="AF77" s="34"/>
      <c r="AG77" s="34"/>
      <c r="AH77" s="34"/>
    </row>
    <row r="78" spans="1:34" ht="23.25" x14ac:dyDescent="0.35">
      <c r="A78" s="155"/>
      <c r="B78" s="161"/>
      <c r="C78" s="158"/>
      <c r="D78" s="158"/>
      <c r="E78" s="11"/>
      <c r="F78" s="11"/>
      <c r="G78" s="11"/>
      <c r="H78" s="159"/>
      <c r="I78" s="11"/>
      <c r="J78" s="11"/>
      <c r="K78" s="11"/>
      <c r="L78" s="159"/>
      <c r="M78" s="11"/>
      <c r="N78" s="159"/>
      <c r="O78" s="11"/>
      <c r="P78" s="11"/>
      <c r="Q78" s="11"/>
      <c r="R78" s="159"/>
      <c r="S78" s="11"/>
      <c r="T78" s="159"/>
      <c r="U78" s="11"/>
      <c r="V78" s="11"/>
      <c r="W78" s="10"/>
      <c r="X78" s="11"/>
      <c r="Y78" s="11"/>
      <c r="Z78" s="10"/>
      <c r="AA78" s="11"/>
      <c r="AB78" s="10"/>
      <c r="AC78" s="72"/>
      <c r="AD78" s="129"/>
      <c r="AE78" s="15"/>
      <c r="AF78" s="34"/>
      <c r="AG78" s="34"/>
      <c r="AH78" s="34"/>
    </row>
    <row r="79" spans="1:34" ht="23.25" x14ac:dyDescent="0.35">
      <c r="A79" s="155"/>
      <c r="B79" s="161"/>
      <c r="C79" s="158"/>
      <c r="D79" s="158"/>
      <c r="E79" s="11"/>
      <c r="F79" s="11"/>
      <c r="G79" s="11"/>
      <c r="H79" s="159"/>
      <c r="I79" s="11"/>
      <c r="J79" s="11"/>
      <c r="K79" s="11"/>
      <c r="L79" s="159"/>
      <c r="M79" s="11"/>
      <c r="N79" s="159"/>
      <c r="O79" s="11"/>
      <c r="P79" s="11"/>
      <c r="Q79" s="11"/>
      <c r="R79" s="159"/>
      <c r="S79" s="11"/>
      <c r="T79" s="159"/>
      <c r="U79" s="11"/>
      <c r="V79" s="11"/>
      <c r="W79" s="10"/>
      <c r="X79" s="11"/>
      <c r="Y79" s="11"/>
      <c r="Z79" s="10"/>
      <c r="AA79" s="11"/>
      <c r="AB79" s="10"/>
      <c r="AC79" s="72"/>
      <c r="AD79" s="129"/>
      <c r="AE79" s="15"/>
      <c r="AF79" s="34"/>
      <c r="AG79" s="34"/>
      <c r="AH79" s="34"/>
    </row>
    <row r="80" spans="1:34" ht="23.25" x14ac:dyDescent="0.35">
      <c r="A80" s="155"/>
      <c r="B80" s="161"/>
      <c r="C80" s="158"/>
      <c r="D80" s="158"/>
      <c r="E80" s="11"/>
      <c r="F80" s="11"/>
      <c r="G80" s="11"/>
      <c r="H80" s="159"/>
      <c r="I80" s="11"/>
      <c r="J80" s="11"/>
      <c r="K80" s="11"/>
      <c r="L80" s="159"/>
      <c r="M80" s="11"/>
      <c r="N80" s="159"/>
      <c r="O80" s="11"/>
      <c r="P80" s="11"/>
      <c r="Q80" s="11"/>
      <c r="R80" s="159"/>
      <c r="S80" s="11"/>
      <c r="T80" s="159"/>
      <c r="U80" s="11"/>
      <c r="V80" s="11"/>
      <c r="W80" s="10"/>
      <c r="X80" s="11"/>
      <c r="Y80" s="11"/>
      <c r="Z80" s="10"/>
      <c r="AA80" s="11"/>
      <c r="AB80" s="10"/>
      <c r="AC80" s="72"/>
      <c r="AD80" s="129"/>
      <c r="AE80" s="15"/>
      <c r="AF80" s="34"/>
      <c r="AG80" s="34"/>
      <c r="AH80" s="34"/>
    </row>
    <row r="81" spans="1:34" ht="23.25" x14ac:dyDescent="0.35">
      <c r="A81" s="155"/>
      <c r="B81" s="93"/>
      <c r="C81" s="91"/>
      <c r="D81" s="91"/>
      <c r="E81" s="11"/>
      <c r="F81" s="11"/>
      <c r="G81" s="11"/>
      <c r="H81" s="10"/>
      <c r="I81" s="11"/>
      <c r="J81" s="11"/>
      <c r="K81" s="11"/>
      <c r="L81" s="10"/>
      <c r="M81" s="11"/>
      <c r="N81" s="10"/>
      <c r="O81" s="11"/>
      <c r="P81" s="11"/>
      <c r="Q81" s="11"/>
      <c r="R81" s="10"/>
      <c r="S81" s="11"/>
      <c r="T81" s="10"/>
      <c r="U81" s="11"/>
      <c r="V81" s="11"/>
      <c r="W81" s="10"/>
      <c r="X81" s="11"/>
      <c r="Y81" s="11"/>
      <c r="Z81" s="10"/>
      <c r="AA81" s="11"/>
      <c r="AB81" s="10"/>
      <c r="AC81" s="72"/>
      <c r="AD81" s="129"/>
      <c r="AE81" s="15"/>
      <c r="AF81" s="34"/>
      <c r="AG81" s="34"/>
      <c r="AH81" s="34"/>
    </row>
    <row r="82" spans="1:34" ht="23.25" x14ac:dyDescent="0.35">
      <c r="A82" s="155"/>
      <c r="B82" s="93"/>
      <c r="C82" s="91"/>
      <c r="D82" s="91"/>
      <c r="E82" s="11"/>
      <c r="F82" s="11"/>
      <c r="G82" s="11"/>
      <c r="H82" s="10"/>
      <c r="I82" s="11"/>
      <c r="J82" s="11"/>
      <c r="K82" s="11"/>
      <c r="L82" s="10"/>
      <c r="M82" s="11"/>
      <c r="N82" s="10"/>
      <c r="O82" s="11"/>
      <c r="P82" s="11"/>
      <c r="Q82" s="11"/>
      <c r="R82" s="10"/>
      <c r="S82" s="11"/>
      <c r="T82" s="10"/>
      <c r="U82" s="11"/>
      <c r="V82" s="11"/>
      <c r="W82" s="10"/>
      <c r="X82" s="11"/>
      <c r="Y82" s="11"/>
      <c r="Z82" s="10"/>
      <c r="AA82" s="11"/>
      <c r="AB82" s="10"/>
      <c r="AC82" s="72"/>
      <c r="AD82" s="129"/>
      <c r="AE82" s="15"/>
      <c r="AF82" s="34"/>
      <c r="AG82" s="34"/>
      <c r="AH82" s="34"/>
    </row>
    <row r="83" spans="1:34" ht="23.25" x14ac:dyDescent="0.35">
      <c r="A83" s="155"/>
      <c r="B83" s="93"/>
      <c r="C83" s="91"/>
      <c r="D83" s="91"/>
      <c r="E83" s="11"/>
      <c r="F83" s="11"/>
      <c r="G83" s="11"/>
      <c r="H83" s="10"/>
      <c r="I83" s="11"/>
      <c r="J83" s="11"/>
      <c r="K83" s="11"/>
      <c r="L83" s="10"/>
      <c r="M83" s="11"/>
      <c r="N83" s="10"/>
      <c r="O83" s="11"/>
      <c r="P83" s="11"/>
      <c r="Q83" s="11"/>
      <c r="R83" s="10"/>
      <c r="S83" s="11"/>
      <c r="T83" s="10"/>
      <c r="U83" s="11"/>
      <c r="V83" s="11"/>
      <c r="W83" s="10"/>
      <c r="X83" s="11"/>
      <c r="Y83" s="11"/>
      <c r="Z83" s="10"/>
      <c r="AA83" s="11"/>
      <c r="AB83" s="10"/>
      <c r="AC83" s="72"/>
      <c r="AD83" s="129"/>
      <c r="AE83" s="15"/>
      <c r="AF83" s="34"/>
      <c r="AG83" s="34"/>
      <c r="AH83" s="34"/>
    </row>
    <row r="84" spans="1:34" ht="23.25" x14ac:dyDescent="0.35">
      <c r="A84" s="155"/>
      <c r="B84" s="93"/>
      <c r="C84" s="91"/>
      <c r="D84" s="91"/>
      <c r="E84" s="11"/>
      <c r="F84" s="11"/>
      <c r="G84" s="11"/>
      <c r="H84" s="10"/>
      <c r="I84" s="11"/>
      <c r="J84" s="11"/>
      <c r="K84" s="11"/>
      <c r="L84" s="10"/>
      <c r="M84" s="11"/>
      <c r="N84" s="10"/>
      <c r="O84" s="11"/>
      <c r="P84" s="11"/>
      <c r="Q84" s="11"/>
      <c r="R84" s="10"/>
      <c r="S84" s="11"/>
      <c r="T84" s="10"/>
      <c r="U84" s="11"/>
      <c r="V84" s="11"/>
      <c r="W84" s="10"/>
      <c r="X84" s="11"/>
      <c r="Y84" s="11"/>
      <c r="Z84" s="10"/>
      <c r="AA84" s="11"/>
      <c r="AB84" s="10"/>
      <c r="AC84" s="72"/>
      <c r="AD84" s="129"/>
      <c r="AE84" s="15"/>
      <c r="AF84" s="34"/>
      <c r="AG84" s="34"/>
      <c r="AH84" s="34"/>
    </row>
    <row r="85" spans="1:34" ht="23.25" x14ac:dyDescent="0.35">
      <c r="A85" s="155"/>
      <c r="B85" s="93"/>
      <c r="C85" s="91"/>
      <c r="D85" s="91"/>
      <c r="E85" s="11"/>
      <c r="F85" s="11"/>
      <c r="G85" s="11"/>
      <c r="H85" s="10"/>
      <c r="I85" s="11"/>
      <c r="J85" s="11"/>
      <c r="K85" s="11"/>
      <c r="L85" s="10"/>
      <c r="M85" s="11"/>
      <c r="N85" s="10"/>
      <c r="O85" s="11"/>
      <c r="P85" s="11"/>
      <c r="Q85" s="11"/>
      <c r="R85" s="10"/>
      <c r="S85" s="11"/>
      <c r="T85" s="10"/>
      <c r="U85" s="11"/>
      <c r="V85" s="11"/>
      <c r="W85" s="10"/>
      <c r="X85" s="11"/>
      <c r="Y85" s="11"/>
      <c r="Z85" s="10"/>
      <c r="AA85" s="11"/>
      <c r="AB85" s="10"/>
      <c r="AC85" s="72"/>
      <c r="AD85" s="129"/>
      <c r="AE85" s="15"/>
      <c r="AF85" s="34"/>
      <c r="AG85" s="34"/>
      <c r="AH85" s="34"/>
    </row>
    <row r="86" spans="1:34" ht="23.25" x14ac:dyDescent="0.35">
      <c r="A86" s="155"/>
      <c r="B86" s="93"/>
      <c r="C86" s="91"/>
      <c r="D86" s="91"/>
      <c r="E86" s="11"/>
      <c r="F86" s="11"/>
      <c r="G86" s="11"/>
      <c r="H86" s="10"/>
      <c r="I86" s="11"/>
      <c r="J86" s="11"/>
      <c r="K86" s="11"/>
      <c r="L86" s="10"/>
      <c r="M86" s="11"/>
      <c r="N86" s="10"/>
      <c r="O86" s="11"/>
      <c r="P86" s="11"/>
      <c r="Q86" s="11"/>
      <c r="R86" s="10"/>
      <c r="S86" s="11"/>
      <c r="T86" s="10"/>
      <c r="U86" s="11"/>
      <c r="V86" s="11"/>
      <c r="W86" s="10"/>
      <c r="X86" s="11"/>
      <c r="Y86" s="11"/>
      <c r="Z86" s="10"/>
      <c r="AA86" s="11"/>
      <c r="AB86" s="10"/>
      <c r="AC86" s="72"/>
      <c r="AD86" s="129"/>
      <c r="AE86" s="15"/>
      <c r="AF86" s="34"/>
      <c r="AG86" s="34"/>
      <c r="AH86" s="34"/>
    </row>
    <row r="87" spans="1:34" ht="23.25" x14ac:dyDescent="0.35">
      <c r="A87" s="156"/>
      <c r="B87" s="93"/>
      <c r="C87" s="91"/>
      <c r="D87" s="91"/>
      <c r="E87" s="11"/>
      <c r="F87" s="11"/>
      <c r="G87" s="11"/>
      <c r="H87" s="10"/>
      <c r="I87" s="11"/>
      <c r="J87" s="11"/>
      <c r="K87" s="11"/>
      <c r="L87" s="10"/>
      <c r="M87" s="11"/>
      <c r="N87" s="10"/>
      <c r="O87" s="11"/>
      <c r="P87" s="11"/>
      <c r="Q87" s="11"/>
      <c r="R87" s="10"/>
      <c r="S87" s="11"/>
      <c r="T87" s="10"/>
      <c r="U87" s="11"/>
      <c r="V87" s="11"/>
      <c r="W87" s="10"/>
      <c r="X87" s="11"/>
      <c r="Y87" s="11"/>
      <c r="Z87" s="10"/>
      <c r="AA87" s="11"/>
      <c r="AB87" s="10"/>
      <c r="AC87" s="72"/>
      <c r="AD87" s="128"/>
      <c r="AE87" s="15"/>
      <c r="AF87" s="34"/>
      <c r="AG87" s="34"/>
      <c r="AH87" s="34"/>
    </row>
    <row r="88" spans="1:34" ht="24.95" customHeight="1" x14ac:dyDescent="0.35">
      <c r="A88" s="138"/>
      <c r="B88" s="93"/>
      <c r="C88" s="91"/>
      <c r="D88" s="91"/>
      <c r="E88" s="11"/>
      <c r="F88" s="11"/>
      <c r="G88" s="11"/>
      <c r="H88" s="10"/>
      <c r="I88" s="11"/>
      <c r="J88" s="11"/>
      <c r="K88" s="11"/>
      <c r="L88" s="10"/>
      <c r="M88" s="11"/>
      <c r="N88" s="10"/>
      <c r="O88" s="11"/>
      <c r="P88" s="11"/>
      <c r="Q88" s="11"/>
      <c r="R88" s="10"/>
      <c r="S88" s="11"/>
      <c r="T88" s="10"/>
      <c r="U88" s="11"/>
      <c r="V88" s="11"/>
      <c r="W88" s="10"/>
      <c r="X88" s="11"/>
      <c r="Y88" s="11"/>
      <c r="Z88" s="10"/>
      <c r="AA88" s="11"/>
      <c r="AB88" s="10"/>
      <c r="AC88" s="72"/>
      <c r="AD88" s="128"/>
      <c r="AE88" s="15"/>
      <c r="AF88" s="34"/>
      <c r="AG88" s="34"/>
      <c r="AH88" s="34"/>
    </row>
    <row r="89" spans="1:34" ht="24.95" customHeight="1" x14ac:dyDescent="0.35">
      <c r="A89" s="150" t="s">
        <v>220</v>
      </c>
      <c r="B89" s="93"/>
      <c r="C89" s="91"/>
      <c r="D89" s="91"/>
      <c r="E89" s="11"/>
      <c r="F89" s="11"/>
      <c r="G89" s="11"/>
      <c r="H89" s="10"/>
      <c r="I89" s="11"/>
      <c r="J89" s="11"/>
      <c r="K89" s="11"/>
      <c r="L89" s="10"/>
      <c r="M89" s="11"/>
      <c r="N89" s="10"/>
      <c r="O89" s="11"/>
      <c r="P89" s="11"/>
      <c r="Q89" s="11"/>
      <c r="R89" s="10"/>
      <c r="S89" s="11"/>
      <c r="T89" s="10"/>
      <c r="U89" s="11"/>
      <c r="V89" s="11"/>
      <c r="W89" s="10"/>
      <c r="X89" s="11"/>
      <c r="Y89" s="11"/>
      <c r="Z89" s="10"/>
      <c r="AA89" s="11"/>
      <c r="AB89" s="10"/>
      <c r="AC89" s="72"/>
      <c r="AD89" s="128"/>
      <c r="AE89" s="15"/>
      <c r="AF89" s="34"/>
      <c r="AG89" s="34"/>
      <c r="AH89" s="34"/>
    </row>
    <row r="90" spans="1:34" ht="24.95" customHeight="1" x14ac:dyDescent="0.35">
      <c r="A90" s="5" t="s">
        <v>101</v>
      </c>
      <c r="B90" s="93"/>
      <c r="C90" s="91"/>
      <c r="D90" s="91"/>
      <c r="E90" s="11"/>
      <c r="F90" s="11"/>
      <c r="G90" s="11"/>
      <c r="H90" s="10"/>
      <c r="I90" s="11"/>
      <c r="J90" s="11"/>
      <c r="K90" s="11"/>
      <c r="L90" s="10"/>
      <c r="M90" s="11"/>
      <c r="N90" s="10"/>
      <c r="O90" s="11"/>
      <c r="P90" s="11"/>
      <c r="Q90" s="11"/>
      <c r="R90" s="10"/>
      <c r="S90" s="11"/>
      <c r="T90" s="10"/>
      <c r="U90" s="11"/>
      <c r="V90" s="11"/>
      <c r="W90" s="10"/>
      <c r="X90" s="11"/>
      <c r="Y90" s="11"/>
      <c r="Z90" s="10"/>
      <c r="AA90" s="11"/>
      <c r="AB90" s="10"/>
      <c r="AC90" s="72"/>
      <c r="AD90" s="128"/>
      <c r="AE90" s="15"/>
      <c r="AF90" s="34"/>
      <c r="AG90" s="34"/>
      <c r="AH90" s="34"/>
    </row>
    <row r="91" spans="1:34" ht="24.95" customHeight="1" x14ac:dyDescent="0.35">
      <c r="A91" s="5" t="s">
        <v>102</v>
      </c>
      <c r="B91" s="93"/>
      <c r="C91" s="91"/>
      <c r="D91" s="91"/>
      <c r="E91" s="11"/>
      <c r="F91" s="11"/>
      <c r="G91" s="11"/>
      <c r="H91" s="10"/>
      <c r="I91" s="11"/>
      <c r="J91" s="11"/>
      <c r="K91" s="11"/>
      <c r="L91" s="10"/>
      <c r="M91" s="11"/>
      <c r="N91" s="10"/>
      <c r="O91" s="11"/>
      <c r="P91" s="11"/>
      <c r="Q91" s="11"/>
      <c r="R91" s="10"/>
      <c r="S91" s="11"/>
      <c r="T91" s="10"/>
      <c r="U91" s="11"/>
      <c r="V91" s="11"/>
      <c r="W91" s="10"/>
      <c r="X91" s="11"/>
      <c r="Y91" s="11"/>
      <c r="Z91" s="10"/>
      <c r="AA91" s="11"/>
      <c r="AB91" s="10"/>
      <c r="AC91" s="72"/>
      <c r="AD91" s="128"/>
      <c r="AE91" s="15"/>
      <c r="AF91" s="34"/>
      <c r="AG91" s="34"/>
      <c r="AH91" s="34"/>
    </row>
    <row r="92" spans="1:34" ht="24.95" customHeight="1" thickBot="1" x14ac:dyDescent="0.35">
      <c r="A92" s="5" t="s">
        <v>103</v>
      </c>
      <c r="B92" s="95"/>
      <c r="C92" s="91"/>
      <c r="D92" s="91"/>
      <c r="E92" s="11"/>
      <c r="F92" s="11"/>
      <c r="G92" s="11"/>
      <c r="H92" s="10"/>
      <c r="I92" s="11"/>
      <c r="J92" s="11"/>
      <c r="K92" s="11"/>
      <c r="L92" s="10"/>
      <c r="M92" s="11"/>
      <c r="N92" s="10"/>
      <c r="O92" s="11"/>
      <c r="P92" s="11"/>
      <c r="Q92" s="11"/>
      <c r="R92" s="10"/>
      <c r="S92" s="11"/>
      <c r="T92" s="10"/>
      <c r="U92" s="11"/>
      <c r="V92" s="11"/>
      <c r="W92" s="10"/>
      <c r="X92" s="11"/>
      <c r="Y92" s="11"/>
      <c r="Z92" s="10"/>
      <c r="AA92" s="11"/>
      <c r="AB92" s="10"/>
      <c r="AC92" s="40"/>
      <c r="AD92" s="130"/>
      <c r="AE92" s="38"/>
      <c r="AF92" s="38"/>
      <c r="AG92" s="38"/>
      <c r="AH92" s="38"/>
    </row>
    <row r="93" spans="1:34" ht="24.95" customHeight="1" thickBot="1" x14ac:dyDescent="0.35">
      <c r="A93" s="182" t="s">
        <v>13</v>
      </c>
      <c r="B93" s="183"/>
      <c r="C93" s="18">
        <f t="shared" ref="C93:AB93" si="6">SUM(C8:C92)</f>
        <v>0</v>
      </c>
      <c r="D93" s="18">
        <f t="shared" si="6"/>
        <v>0</v>
      </c>
      <c r="E93" s="18">
        <f t="shared" si="6"/>
        <v>0</v>
      </c>
      <c r="F93" s="18">
        <f t="shared" si="6"/>
        <v>0</v>
      </c>
      <c r="G93" s="18">
        <f t="shared" si="6"/>
        <v>0</v>
      </c>
      <c r="H93" s="18">
        <f t="shared" si="6"/>
        <v>0</v>
      </c>
      <c r="I93" s="19">
        <f t="shared" si="6"/>
        <v>0</v>
      </c>
      <c r="J93" s="19">
        <f t="shared" si="6"/>
        <v>0</v>
      </c>
      <c r="K93" s="19">
        <f t="shared" si="6"/>
        <v>0</v>
      </c>
      <c r="L93" s="19">
        <f t="shared" si="6"/>
        <v>0</v>
      </c>
      <c r="M93" s="19">
        <f t="shared" si="6"/>
        <v>0</v>
      </c>
      <c r="N93" s="19">
        <f t="shared" si="6"/>
        <v>0</v>
      </c>
      <c r="O93" s="19">
        <f t="shared" si="6"/>
        <v>0</v>
      </c>
      <c r="P93" s="19">
        <f t="shared" si="6"/>
        <v>0</v>
      </c>
      <c r="Q93" s="19">
        <f t="shared" si="6"/>
        <v>0</v>
      </c>
      <c r="R93" s="19">
        <f t="shared" si="6"/>
        <v>0</v>
      </c>
      <c r="S93" s="19">
        <f t="shared" si="6"/>
        <v>0</v>
      </c>
      <c r="T93" s="19">
        <f t="shared" si="6"/>
        <v>0</v>
      </c>
      <c r="U93" s="19">
        <f t="shared" si="6"/>
        <v>0</v>
      </c>
      <c r="V93" s="19">
        <f t="shared" si="6"/>
        <v>0</v>
      </c>
      <c r="W93" s="19">
        <f t="shared" si="6"/>
        <v>0</v>
      </c>
      <c r="X93" s="19">
        <f t="shared" si="6"/>
        <v>0</v>
      </c>
      <c r="Y93" s="19">
        <f t="shared" si="6"/>
        <v>0</v>
      </c>
      <c r="Z93" s="19">
        <f t="shared" si="6"/>
        <v>0</v>
      </c>
      <c r="AA93" s="20">
        <f t="shared" si="6"/>
        <v>0</v>
      </c>
      <c r="AB93" s="20">
        <f t="shared" si="6"/>
        <v>0</v>
      </c>
    </row>
    <row r="94" spans="1:34" s="23" customFormat="1" ht="24.95" customHeight="1" x14ac:dyDescent="0.25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</row>
    <row r="95" spans="1:34" s="23" customFormat="1" ht="24.95" customHeight="1" x14ac:dyDescent="0.25">
      <c r="J95" s="24"/>
      <c r="K95" s="24"/>
      <c r="L95" s="24"/>
      <c r="M95" s="25"/>
      <c r="N95" s="26"/>
      <c r="O95" s="27"/>
      <c r="R95" s="24"/>
      <c r="S95" s="24"/>
      <c r="T95" s="24"/>
      <c r="U95" s="24"/>
      <c r="V95" s="24"/>
      <c r="W95" s="24"/>
      <c r="X95" s="28"/>
      <c r="Y95" s="24"/>
      <c r="Z95" s="24"/>
      <c r="AA95" s="28"/>
      <c r="AB95" s="24"/>
    </row>
    <row r="96" spans="1:34" s="23" customFormat="1" ht="24.95" customHeight="1" x14ac:dyDescent="0.25">
      <c r="J96" s="24"/>
      <c r="M96" s="25"/>
      <c r="N96" s="26"/>
      <c r="O96" s="27"/>
      <c r="R96" s="24"/>
      <c r="U96" s="24"/>
      <c r="X96" s="28"/>
      <c r="AA96" s="28"/>
    </row>
    <row r="97" spans="1:34" s="23" customFormat="1" ht="24.95" customHeight="1" x14ac:dyDescent="0.25">
      <c r="J97" s="24"/>
      <c r="K97" s="24"/>
      <c r="L97" s="24"/>
      <c r="M97" s="29"/>
      <c r="N97" s="30"/>
      <c r="O97" s="29"/>
      <c r="R97" s="24"/>
      <c r="S97" s="24"/>
      <c r="T97" s="24"/>
      <c r="U97" s="24"/>
      <c r="V97" s="24"/>
      <c r="W97" s="24"/>
      <c r="X97" s="16"/>
      <c r="Y97" s="24"/>
      <c r="Z97" s="24"/>
      <c r="AA97" s="16"/>
      <c r="AB97" s="24"/>
    </row>
    <row r="98" spans="1:34" s="23" customFormat="1" ht="23.1" customHeight="1" x14ac:dyDescent="0.25">
      <c r="F98" s="16"/>
      <c r="G98" s="16"/>
      <c r="H98" s="16"/>
      <c r="I98" s="16"/>
      <c r="J98" s="24"/>
      <c r="K98" s="16"/>
      <c r="L98" s="16"/>
      <c r="M98" s="31"/>
      <c r="N98" s="31"/>
      <c r="O98" s="31"/>
      <c r="P98" s="16"/>
      <c r="Q98" s="16"/>
      <c r="R98" s="24"/>
      <c r="S98" s="16"/>
      <c r="T98" s="16"/>
      <c r="U98" s="24"/>
      <c r="V98" s="16"/>
      <c r="W98" s="16"/>
      <c r="X98" s="32"/>
      <c r="Y98" s="16"/>
      <c r="Z98" s="16"/>
      <c r="AA98" s="32"/>
      <c r="AB98" s="16"/>
    </row>
    <row r="99" spans="1:34" ht="23.1" customHeight="1" x14ac:dyDescent="0.2">
      <c r="A99" s="23"/>
      <c r="B99" s="23"/>
      <c r="C99" s="23"/>
      <c r="D99" s="23"/>
      <c r="E99" s="23"/>
      <c r="F99" s="23"/>
      <c r="G99" s="23"/>
      <c r="H99" s="23"/>
      <c r="I99" s="23"/>
      <c r="J99" s="16"/>
      <c r="K99" s="23"/>
      <c r="L99" s="23"/>
      <c r="M99" s="16"/>
      <c r="N99" s="16"/>
      <c r="O99" s="16"/>
      <c r="P99" s="23"/>
      <c r="Q99" s="23"/>
      <c r="R99" s="16"/>
      <c r="S99" s="23"/>
      <c r="T99" s="23"/>
      <c r="U99" s="16"/>
      <c r="V99" s="23"/>
      <c r="W99" s="23"/>
      <c r="X99" s="16"/>
      <c r="Y99" s="23"/>
      <c r="Z99" s="23"/>
      <c r="AA99" s="16"/>
      <c r="AB99" s="23"/>
      <c r="AC99" s="23"/>
      <c r="AD99" s="23"/>
      <c r="AE99" s="23"/>
      <c r="AF99" s="23"/>
      <c r="AG99" s="23"/>
      <c r="AH99" s="23"/>
    </row>
    <row r="100" spans="1:34" ht="23.1" customHeight="1" x14ac:dyDescent="0.2">
      <c r="K100" s="33"/>
      <c r="L100" s="33"/>
      <c r="M100" s="33"/>
      <c r="N100" s="33"/>
      <c r="O100" s="33"/>
      <c r="P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</row>
    <row r="101" spans="1:34" ht="23.1" customHeight="1" x14ac:dyDescent="0.2">
      <c r="A101" s="33"/>
      <c r="B101" s="33"/>
      <c r="C101" s="33"/>
      <c r="D101" s="33"/>
      <c r="E101" s="33"/>
      <c r="F101" s="33"/>
      <c r="G101" s="33"/>
      <c r="L101" s="33"/>
      <c r="M101" s="33"/>
      <c r="N101" s="33"/>
      <c r="O101" s="33"/>
      <c r="P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</row>
    <row r="102" spans="1:34" ht="23.1" customHeight="1" x14ac:dyDescent="0.2">
      <c r="T102" s="33"/>
      <c r="U102" s="33"/>
      <c r="V102" s="33"/>
      <c r="W102" s="33"/>
      <c r="X102" s="33"/>
      <c r="Y102" s="33"/>
      <c r="Z102" s="33"/>
      <c r="AA102" s="33"/>
      <c r="AB102" s="33"/>
    </row>
    <row r="103" spans="1:34" ht="23.1" customHeight="1" x14ac:dyDescent="0.2"/>
  </sheetData>
  <mergeCells count="1">
    <mergeCell ref="A93:B93"/>
  </mergeCells>
  <conditionalFormatting sqref="J97">
    <cfRule type="expression" dxfId="139" priority="13" stopIfTrue="1">
      <formula>#REF!="sobra"</formula>
    </cfRule>
    <cfRule type="expression" dxfId="138" priority="14" stopIfTrue="1">
      <formula>#REF!="Falta"</formula>
    </cfRule>
  </conditionalFormatting>
  <conditionalFormatting sqref="L97 R97">
    <cfRule type="expression" dxfId="137" priority="15" stopIfTrue="1">
      <formula>#REF!="sobra"</formula>
    </cfRule>
    <cfRule type="expression" dxfId="136" priority="16" stopIfTrue="1">
      <formula>#REF!="Falta"</formula>
    </cfRule>
  </conditionalFormatting>
  <conditionalFormatting sqref="T97:U97">
    <cfRule type="expression" dxfId="135" priority="11" stopIfTrue="1">
      <formula>#REF!="sobra"</formula>
    </cfRule>
    <cfRule type="expression" dxfId="134" priority="12" stopIfTrue="1">
      <formula>#REF!="Falta"</formula>
    </cfRule>
  </conditionalFormatting>
  <conditionalFormatting sqref="W97">
    <cfRule type="expression" dxfId="133" priority="9" stopIfTrue="1">
      <formula>#REF!="sobra"</formula>
    </cfRule>
    <cfRule type="expression" dxfId="132" priority="10" stopIfTrue="1">
      <formula>#REF!="Falta"</formula>
    </cfRule>
  </conditionalFormatting>
  <conditionalFormatting sqref="Z97">
    <cfRule type="expression" dxfId="131" priority="3" stopIfTrue="1">
      <formula>#REF!="sobra"</formula>
    </cfRule>
    <cfRule type="expression" dxfId="130" priority="4" stopIfTrue="1">
      <formula>#REF!="Falta"</formula>
    </cfRule>
  </conditionalFormatting>
  <conditionalFormatting sqref="AB97">
    <cfRule type="expression" dxfId="129" priority="1" stopIfTrue="1">
      <formula>#REF!="sobra"</formula>
    </cfRule>
    <cfRule type="expression" dxfId="128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AH61"/>
  <sheetViews>
    <sheetView showGridLines="0" zoomScale="60" zoomScaleNormal="60" workbookViewId="0">
      <pane xSplit="1" topLeftCell="B1" activePane="topRight" state="frozen"/>
      <selection pane="topRight" activeCell="I45" sqref="I45"/>
    </sheetView>
  </sheetViews>
  <sheetFormatPr defaultColWidth="9.140625" defaultRowHeight="12.75" x14ac:dyDescent="0.2"/>
  <cols>
    <col min="1" max="1" width="62" style="1" customWidth="1"/>
    <col min="2" max="2" width="16.85546875" style="1" customWidth="1"/>
    <col min="3" max="28" width="10.7109375" style="1" customWidth="1"/>
    <col min="29" max="29" width="31.2851562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47</v>
      </c>
      <c r="C1" s="53" t="s">
        <v>217</v>
      </c>
      <c r="D1" s="53" t="s">
        <v>194</v>
      </c>
      <c r="E1" s="53" t="s">
        <v>195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59" t="s">
        <v>9</v>
      </c>
      <c r="C2" s="78">
        <v>0</v>
      </c>
      <c r="D2" s="78"/>
      <c r="E2" s="78"/>
      <c r="F2" s="78">
        <v>0</v>
      </c>
      <c r="G2" s="78"/>
      <c r="H2" s="78">
        <v>0</v>
      </c>
      <c r="I2" s="78">
        <v>0</v>
      </c>
      <c r="J2" s="78">
        <v>0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</row>
    <row r="3" spans="1:34" ht="24.95" customHeight="1" x14ac:dyDescent="0.3">
      <c r="A3" s="2"/>
      <c r="B3" s="59" t="s">
        <v>10</v>
      </c>
      <c r="C3" s="60">
        <f t="shared" ref="C3:AB3" si="0">C2-C4</f>
        <v>0</v>
      </c>
      <c r="D3" s="60"/>
      <c r="E3" s="60"/>
      <c r="F3" s="60">
        <f t="shared" si="0"/>
        <v>0</v>
      </c>
      <c r="G3" s="60"/>
      <c r="H3" s="60">
        <f t="shared" si="0"/>
        <v>0</v>
      </c>
      <c r="I3" s="60">
        <f t="shared" si="0"/>
        <v>0</v>
      </c>
      <c r="J3" s="60">
        <f t="shared" si="0"/>
        <v>0</v>
      </c>
      <c r="K3" s="60">
        <f t="shared" si="0"/>
        <v>0</v>
      </c>
      <c r="L3" s="60">
        <f t="shared" si="0"/>
        <v>0</v>
      </c>
      <c r="M3" s="60">
        <f t="shared" si="0"/>
        <v>0</v>
      </c>
      <c r="N3" s="60">
        <f t="shared" si="0"/>
        <v>0</v>
      </c>
      <c r="O3" s="60">
        <f t="shared" si="0"/>
        <v>0</v>
      </c>
      <c r="P3" s="60">
        <f t="shared" si="0"/>
        <v>0</v>
      </c>
      <c r="Q3" s="60">
        <f t="shared" si="0"/>
        <v>0</v>
      </c>
      <c r="R3" s="60">
        <f t="shared" si="0"/>
        <v>0</v>
      </c>
      <c r="S3" s="60">
        <f t="shared" si="0"/>
        <v>0</v>
      </c>
      <c r="T3" s="60">
        <f t="shared" si="0"/>
        <v>0</v>
      </c>
      <c r="U3" s="60">
        <f t="shared" si="0"/>
        <v>0</v>
      </c>
      <c r="V3" s="60">
        <f t="shared" si="0"/>
        <v>0</v>
      </c>
      <c r="W3" s="60">
        <f t="shared" si="0"/>
        <v>0</v>
      </c>
      <c r="X3" s="60">
        <f t="shared" si="0"/>
        <v>0</v>
      </c>
      <c r="Y3" s="60">
        <f t="shared" si="0"/>
        <v>0</v>
      </c>
      <c r="Z3" s="60">
        <f t="shared" si="0"/>
        <v>0</v>
      </c>
      <c r="AA3" s="60">
        <f t="shared" si="0"/>
        <v>0</v>
      </c>
      <c r="AB3" s="60">
        <f t="shared" si="0"/>
        <v>0</v>
      </c>
    </row>
    <row r="4" spans="1:34" ht="24.95" customHeight="1" x14ac:dyDescent="0.3">
      <c r="A4" s="61"/>
      <c r="B4" s="76" t="s">
        <v>22</v>
      </c>
      <c r="C4" s="77">
        <f t="shared" ref="C4:AB4" si="1">C51</f>
        <v>0</v>
      </c>
      <c r="D4" s="77">
        <f t="shared" si="1"/>
        <v>0</v>
      </c>
      <c r="E4" s="77">
        <f t="shared" si="1"/>
        <v>0</v>
      </c>
      <c r="F4" s="77">
        <f t="shared" si="1"/>
        <v>0</v>
      </c>
      <c r="G4" s="77">
        <f t="shared" si="1"/>
        <v>0</v>
      </c>
      <c r="H4" s="77">
        <f t="shared" si="1"/>
        <v>0</v>
      </c>
      <c r="I4" s="77">
        <f t="shared" si="1"/>
        <v>0</v>
      </c>
      <c r="J4" s="77">
        <f t="shared" si="1"/>
        <v>0</v>
      </c>
      <c r="K4" s="77">
        <f t="shared" si="1"/>
        <v>0</v>
      </c>
      <c r="L4" s="77">
        <f t="shared" si="1"/>
        <v>0</v>
      </c>
      <c r="M4" s="77">
        <f t="shared" si="1"/>
        <v>0</v>
      </c>
      <c r="N4" s="77">
        <f t="shared" si="1"/>
        <v>0</v>
      </c>
      <c r="O4" s="77">
        <f t="shared" si="1"/>
        <v>0</v>
      </c>
      <c r="P4" s="77">
        <f t="shared" si="1"/>
        <v>0</v>
      </c>
      <c r="Q4" s="77">
        <f t="shared" si="1"/>
        <v>0</v>
      </c>
      <c r="R4" s="77">
        <f t="shared" si="1"/>
        <v>0</v>
      </c>
      <c r="S4" s="77">
        <f t="shared" si="1"/>
        <v>0</v>
      </c>
      <c r="T4" s="77">
        <f t="shared" si="1"/>
        <v>0</v>
      </c>
      <c r="U4" s="77">
        <f t="shared" si="1"/>
        <v>0</v>
      </c>
      <c r="V4" s="77">
        <f t="shared" si="1"/>
        <v>0</v>
      </c>
      <c r="W4" s="77">
        <f t="shared" si="1"/>
        <v>0</v>
      </c>
      <c r="X4" s="77">
        <f t="shared" si="1"/>
        <v>0</v>
      </c>
      <c r="Y4" s="77">
        <f t="shared" si="1"/>
        <v>0</v>
      </c>
      <c r="Z4" s="77">
        <f t="shared" si="1"/>
        <v>0</v>
      </c>
      <c r="AA4" s="77">
        <f t="shared" si="1"/>
        <v>0</v>
      </c>
      <c r="AB4" s="77">
        <f t="shared" si="1"/>
        <v>0</v>
      </c>
    </row>
    <row r="5" spans="1:34" ht="24.95" customHeight="1" x14ac:dyDescent="0.3">
      <c r="A5" s="61"/>
      <c r="B5" s="59" t="s">
        <v>11</v>
      </c>
      <c r="C5" s="60">
        <f t="shared" ref="C5:AB5" si="2">C51</f>
        <v>0</v>
      </c>
      <c r="D5" s="60"/>
      <c r="E5" s="60"/>
      <c r="F5" s="60">
        <f t="shared" si="2"/>
        <v>0</v>
      </c>
      <c r="G5" s="60"/>
      <c r="H5" s="60">
        <f t="shared" si="2"/>
        <v>0</v>
      </c>
      <c r="I5" s="60">
        <f t="shared" si="2"/>
        <v>0</v>
      </c>
      <c r="J5" s="60">
        <f t="shared" si="2"/>
        <v>0</v>
      </c>
      <c r="K5" s="60">
        <f t="shared" si="2"/>
        <v>0</v>
      </c>
      <c r="L5" s="60">
        <f t="shared" si="2"/>
        <v>0</v>
      </c>
      <c r="M5" s="60">
        <f t="shared" si="2"/>
        <v>0</v>
      </c>
      <c r="N5" s="60">
        <f t="shared" si="2"/>
        <v>0</v>
      </c>
      <c r="O5" s="60">
        <f t="shared" si="2"/>
        <v>0</v>
      </c>
      <c r="P5" s="60">
        <f t="shared" si="2"/>
        <v>0</v>
      </c>
      <c r="Q5" s="60">
        <f t="shared" si="2"/>
        <v>0</v>
      </c>
      <c r="R5" s="60">
        <f t="shared" si="2"/>
        <v>0</v>
      </c>
      <c r="S5" s="60">
        <f t="shared" si="2"/>
        <v>0</v>
      </c>
      <c r="T5" s="60">
        <f t="shared" si="2"/>
        <v>0</v>
      </c>
      <c r="U5" s="60">
        <f t="shared" si="2"/>
        <v>0</v>
      </c>
      <c r="V5" s="60">
        <f t="shared" si="2"/>
        <v>0</v>
      </c>
      <c r="W5" s="60">
        <f t="shared" si="2"/>
        <v>0</v>
      </c>
      <c r="X5" s="60">
        <f t="shared" si="2"/>
        <v>0</v>
      </c>
      <c r="Y5" s="60">
        <f t="shared" si="2"/>
        <v>0</v>
      </c>
      <c r="Z5" s="60">
        <f t="shared" si="2"/>
        <v>0</v>
      </c>
      <c r="AA5" s="60">
        <f t="shared" si="2"/>
        <v>0</v>
      </c>
      <c r="AB5" s="60">
        <f t="shared" si="2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88" t="s">
        <v>21</v>
      </c>
      <c r="B7" s="96" t="s">
        <v>12</v>
      </c>
      <c r="C7" s="89" t="str">
        <f t="shared" ref="C7:AB7" si="3">C1</f>
        <v>Molho</v>
      </c>
      <c r="D7" s="89" t="str">
        <f t="shared" si="3"/>
        <v>Litro chantilly</v>
      </c>
      <c r="E7" s="89" t="str">
        <f t="shared" si="3"/>
        <v>Mini chantilly</v>
      </c>
      <c r="F7" s="89" t="str">
        <f t="shared" si="3"/>
        <v>Tetra</v>
      </c>
      <c r="G7" s="89" t="str">
        <f t="shared" si="3"/>
        <v>Tp Cul.</v>
      </c>
      <c r="H7" s="89" t="str">
        <f t="shared" si="3"/>
        <v>Fresco 250g</v>
      </c>
      <c r="I7" s="67" t="str">
        <f t="shared" si="3"/>
        <v>Fresco 500g</v>
      </c>
      <c r="J7" s="67" t="str">
        <f t="shared" si="3"/>
        <v>Fresco 1kg</v>
      </c>
      <c r="K7" s="67" t="str">
        <f t="shared" si="3"/>
        <v>Seco Fino</v>
      </c>
      <c r="L7" s="67" t="str">
        <f t="shared" si="3"/>
        <v>Seco Flocos</v>
      </c>
      <c r="M7" s="67" t="str">
        <f t="shared" si="3"/>
        <v>Marsh 500g</v>
      </c>
      <c r="N7" s="67" t="str">
        <f t="shared" si="3"/>
        <v>Marsh 1kg</v>
      </c>
      <c r="O7" s="67" t="str">
        <f t="shared" si="3"/>
        <v>Massa 1kg</v>
      </c>
      <c r="P7" s="67" t="str">
        <f t="shared" si="3"/>
        <v>Massa 2.2kg</v>
      </c>
      <c r="Q7" s="67" t="str">
        <f t="shared" si="3"/>
        <v>Semi-Folhada 2kg</v>
      </c>
      <c r="R7" s="67" t="str">
        <f t="shared" si="3"/>
        <v>Brig PT 1kg</v>
      </c>
      <c r="S7" s="67" t="str">
        <f t="shared" si="3"/>
        <v>Beij PT 1kg</v>
      </c>
      <c r="T7" s="67" t="str">
        <f t="shared" si="3"/>
        <v>Brig PT 2kg</v>
      </c>
      <c r="U7" s="67" t="str">
        <f t="shared" si="3"/>
        <v>Beij PT 2kg</v>
      </c>
      <c r="V7" s="67" t="str">
        <f t="shared" si="3"/>
        <v>Brig Cl 1kg</v>
      </c>
      <c r="W7" s="67" t="str">
        <f t="shared" si="3"/>
        <v>Beij Cl 1kg</v>
      </c>
      <c r="X7" s="67" t="str">
        <f t="shared" si="3"/>
        <v>Jundmel</v>
      </c>
      <c r="Y7" s="67" t="str">
        <f t="shared" si="3"/>
        <v>Pão de Queijo</v>
      </c>
      <c r="Z7" s="67" t="str">
        <f t="shared" si="3"/>
        <v>Ovo</v>
      </c>
      <c r="AA7" s="67" t="str">
        <f t="shared" si="3"/>
        <v>Gema</v>
      </c>
      <c r="AB7" s="67" t="str">
        <f t="shared" si="3"/>
        <v>Clara</v>
      </c>
      <c r="AC7" s="102" t="s">
        <v>14</v>
      </c>
      <c r="AD7" s="151" t="s">
        <v>15</v>
      </c>
      <c r="AE7" s="70"/>
      <c r="AF7" s="71"/>
      <c r="AG7" s="71"/>
      <c r="AH7" s="71"/>
    </row>
    <row r="8" spans="1:34" ht="24.95" hidden="1" customHeight="1" x14ac:dyDescent="0.35">
      <c r="A8" s="8" t="s">
        <v>255</v>
      </c>
      <c r="B8" s="123"/>
      <c r="C8" s="73"/>
      <c r="D8" s="73" t="s">
        <v>196</v>
      </c>
      <c r="E8" s="7"/>
      <c r="F8" s="7"/>
      <c r="G8" s="7"/>
      <c r="H8" s="6"/>
      <c r="I8" s="7"/>
      <c r="J8" s="7"/>
      <c r="K8" s="7"/>
      <c r="L8" s="6"/>
      <c r="M8" s="7"/>
      <c r="N8" s="6"/>
      <c r="O8" s="7"/>
      <c r="P8" s="7"/>
      <c r="Q8" s="7"/>
      <c r="R8" s="6"/>
      <c r="S8" s="7"/>
      <c r="T8" s="6"/>
      <c r="U8" s="7"/>
      <c r="V8" s="7"/>
      <c r="W8" s="6"/>
      <c r="X8" s="7"/>
      <c r="Y8" s="7"/>
      <c r="Z8" s="6"/>
      <c r="AA8" s="7"/>
      <c r="AB8" s="6"/>
      <c r="AC8" s="125"/>
      <c r="AD8" s="75"/>
      <c r="AE8" s="14"/>
      <c r="AF8" s="34"/>
      <c r="AG8" s="34"/>
      <c r="AH8" s="34"/>
    </row>
    <row r="9" spans="1:34" ht="24.95" customHeight="1" x14ac:dyDescent="0.35">
      <c r="A9" s="8" t="s">
        <v>256</v>
      </c>
      <c r="B9" s="178"/>
      <c r="C9" s="162"/>
      <c r="D9" s="162" t="s">
        <v>196</v>
      </c>
      <c r="E9" s="7"/>
      <c r="F9" s="7"/>
      <c r="G9" s="7"/>
      <c r="H9" s="163"/>
      <c r="I9" s="7"/>
      <c r="J9" s="7"/>
      <c r="K9" s="7"/>
      <c r="L9" s="6"/>
      <c r="M9" s="7"/>
      <c r="N9" s="6"/>
      <c r="O9" s="7"/>
      <c r="P9" s="7"/>
      <c r="Q9" s="7"/>
      <c r="R9" s="6"/>
      <c r="S9" s="7"/>
      <c r="T9" s="6"/>
      <c r="U9" s="7"/>
      <c r="V9" s="7"/>
      <c r="W9" s="6"/>
      <c r="X9" s="7"/>
      <c r="Y9" s="7"/>
      <c r="Z9" s="6"/>
      <c r="AA9" s="7"/>
      <c r="AB9" s="6"/>
      <c r="AC9" s="125"/>
      <c r="AD9" s="75"/>
      <c r="AE9" s="14"/>
      <c r="AF9" s="34"/>
      <c r="AG9" s="34"/>
      <c r="AH9" s="34"/>
    </row>
    <row r="10" spans="1:34" ht="24.95" hidden="1" customHeight="1" x14ac:dyDescent="0.35">
      <c r="A10" s="5" t="s">
        <v>257</v>
      </c>
      <c r="B10" s="178"/>
      <c r="C10" s="162"/>
      <c r="D10" s="162"/>
      <c r="E10" s="7" t="s">
        <v>196</v>
      </c>
      <c r="F10" s="7"/>
      <c r="G10" s="7"/>
      <c r="H10" s="163"/>
      <c r="I10" s="7"/>
      <c r="J10" s="7"/>
      <c r="K10" s="7"/>
      <c r="L10" s="6"/>
      <c r="M10" s="7"/>
      <c r="N10" s="6"/>
      <c r="O10" s="7"/>
      <c r="P10" s="7"/>
      <c r="Q10" s="7"/>
      <c r="R10" s="6"/>
      <c r="S10" s="7"/>
      <c r="T10" s="6"/>
      <c r="U10" s="7"/>
      <c r="V10" s="7"/>
      <c r="W10" s="6"/>
      <c r="X10" s="7"/>
      <c r="Y10" s="7"/>
      <c r="Z10" s="6"/>
      <c r="AA10" s="7"/>
      <c r="AB10" s="6"/>
      <c r="AC10" s="125"/>
      <c r="AD10" s="75"/>
      <c r="AE10" s="14"/>
      <c r="AF10" s="34"/>
      <c r="AG10" s="34"/>
      <c r="AH10" s="34"/>
    </row>
    <row r="11" spans="1:34" ht="24.95" hidden="1" customHeight="1" x14ac:dyDescent="0.35">
      <c r="A11" s="5" t="s">
        <v>46</v>
      </c>
      <c r="B11" s="179" t="s">
        <v>44</v>
      </c>
      <c r="C11" s="158"/>
      <c r="D11" s="158"/>
      <c r="E11" s="11"/>
      <c r="F11" s="11"/>
      <c r="G11" s="11"/>
      <c r="H11" s="159"/>
      <c r="I11" s="11"/>
      <c r="J11" s="11"/>
      <c r="K11" s="11"/>
      <c r="L11" s="10"/>
      <c r="M11" s="11"/>
      <c r="N11" s="10"/>
      <c r="O11" s="11"/>
      <c r="P11" s="11"/>
      <c r="Q11" s="11"/>
      <c r="R11" s="10"/>
      <c r="S11" s="11"/>
      <c r="T11" s="10"/>
      <c r="U11" s="11"/>
      <c r="V11" s="11"/>
      <c r="W11" s="10"/>
      <c r="X11" s="11"/>
      <c r="Y11" s="11"/>
      <c r="Z11" s="10"/>
      <c r="AA11" s="11"/>
      <c r="AB11" s="10"/>
      <c r="AC11" s="124"/>
      <c r="AD11" s="43"/>
      <c r="AE11" s="12"/>
      <c r="AF11" s="35"/>
      <c r="AG11" s="35"/>
      <c r="AH11" s="35"/>
    </row>
    <row r="12" spans="1:34" ht="24.95" customHeight="1" x14ac:dyDescent="0.35">
      <c r="A12" s="5" t="s">
        <v>355</v>
      </c>
      <c r="B12" s="181" t="s">
        <v>387</v>
      </c>
      <c r="C12" s="158"/>
      <c r="D12" s="158"/>
      <c r="E12" s="11"/>
      <c r="F12" s="11"/>
      <c r="G12" s="11" t="s">
        <v>196</v>
      </c>
      <c r="H12" s="159"/>
      <c r="I12" s="11"/>
      <c r="J12" s="11"/>
      <c r="K12" s="11"/>
      <c r="L12" s="10"/>
      <c r="M12" s="11"/>
      <c r="N12" s="10"/>
      <c r="O12" s="11"/>
      <c r="P12" s="11"/>
      <c r="Q12" s="11"/>
      <c r="R12" s="10"/>
      <c r="S12" s="11"/>
      <c r="T12" s="10"/>
      <c r="U12" s="11"/>
      <c r="V12" s="11"/>
      <c r="W12" s="10"/>
      <c r="X12" s="11"/>
      <c r="Y12" s="11"/>
      <c r="Z12" s="10"/>
      <c r="AA12" s="11"/>
      <c r="AB12" s="10"/>
      <c r="AC12" s="124"/>
      <c r="AD12" s="44"/>
      <c r="AE12" s="15"/>
      <c r="AF12" s="34"/>
      <c r="AG12" s="34"/>
      <c r="AH12" s="34"/>
    </row>
    <row r="13" spans="1:34" ht="24.95" hidden="1" customHeight="1" x14ac:dyDescent="0.3">
      <c r="A13" s="5"/>
      <c r="B13" s="179"/>
      <c r="C13" s="158"/>
      <c r="D13" s="158"/>
      <c r="E13" s="11"/>
      <c r="F13" s="11"/>
      <c r="G13" s="11"/>
      <c r="H13" s="159"/>
      <c r="I13" s="11"/>
      <c r="J13" s="11"/>
      <c r="K13" s="11"/>
      <c r="L13" s="10"/>
      <c r="M13" s="11"/>
      <c r="N13" s="10"/>
      <c r="O13" s="11"/>
      <c r="P13" s="11"/>
      <c r="Q13" s="11"/>
      <c r="R13" s="10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124"/>
      <c r="AD13" s="46"/>
      <c r="AE13" s="13"/>
      <c r="AF13" s="36"/>
      <c r="AG13" s="36"/>
      <c r="AH13" s="36"/>
    </row>
    <row r="14" spans="1:34" ht="24.95" hidden="1" customHeight="1" x14ac:dyDescent="0.3">
      <c r="A14" s="5" t="s">
        <v>45</v>
      </c>
      <c r="B14" s="179"/>
      <c r="C14" s="158"/>
      <c r="D14" s="158"/>
      <c r="E14" s="11"/>
      <c r="F14" s="11"/>
      <c r="G14" s="11"/>
      <c r="H14" s="159"/>
      <c r="I14" s="11"/>
      <c r="J14" s="11"/>
      <c r="K14" s="11"/>
      <c r="L14" s="10"/>
      <c r="M14" s="11"/>
      <c r="N14" s="10"/>
      <c r="O14" s="11"/>
      <c r="P14" s="11"/>
      <c r="Q14" s="11"/>
      <c r="R14" s="10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126"/>
      <c r="AD14" s="45"/>
    </row>
    <row r="15" spans="1:34" ht="24.95" customHeight="1" x14ac:dyDescent="0.3">
      <c r="A15" s="17" t="s">
        <v>356</v>
      </c>
      <c r="B15" s="179"/>
      <c r="C15" s="158"/>
      <c r="D15" s="158"/>
      <c r="E15" s="11"/>
      <c r="F15" s="11" t="s">
        <v>196</v>
      </c>
      <c r="G15" s="11"/>
      <c r="H15" s="159"/>
      <c r="I15" s="11"/>
      <c r="J15" s="11"/>
      <c r="K15" s="11"/>
      <c r="L15" s="10"/>
      <c r="M15" s="11"/>
      <c r="N15" s="10"/>
      <c r="O15" s="11"/>
      <c r="P15" s="11"/>
      <c r="Q15" s="11"/>
      <c r="R15" s="10"/>
      <c r="S15" s="11"/>
      <c r="T15" s="10"/>
      <c r="U15" s="11"/>
      <c r="V15" s="11"/>
      <c r="W15" s="10"/>
      <c r="X15" s="11"/>
      <c r="Y15" s="11"/>
      <c r="Z15" s="10"/>
      <c r="AA15" s="11"/>
      <c r="AB15" s="10"/>
      <c r="AC15" s="125"/>
      <c r="AD15" s="45"/>
    </row>
    <row r="16" spans="1:34" ht="24.95" customHeight="1" x14ac:dyDescent="0.3">
      <c r="A16" s="17" t="s">
        <v>357</v>
      </c>
      <c r="B16" s="179"/>
      <c r="C16" s="158" t="s">
        <v>196</v>
      </c>
      <c r="D16" s="158"/>
      <c r="E16" s="11"/>
      <c r="F16" s="11"/>
      <c r="G16" s="11"/>
      <c r="H16" s="159"/>
      <c r="I16" s="11"/>
      <c r="J16" s="11"/>
      <c r="K16" s="11"/>
      <c r="L16" s="10"/>
      <c r="M16" s="11"/>
      <c r="N16" s="10"/>
      <c r="O16" s="11"/>
      <c r="P16" s="11"/>
      <c r="Q16" s="11"/>
      <c r="R16" s="10"/>
      <c r="S16" s="11"/>
      <c r="T16" s="10"/>
      <c r="U16" s="11"/>
      <c r="V16" s="11"/>
      <c r="W16" s="10"/>
      <c r="X16" s="11"/>
      <c r="Y16" s="11"/>
      <c r="Z16" s="10"/>
      <c r="AA16" s="11"/>
      <c r="AB16" s="10"/>
      <c r="AC16" s="125"/>
      <c r="AD16" s="45"/>
    </row>
    <row r="17" spans="1:30" ht="24.95" hidden="1" customHeight="1" x14ac:dyDescent="0.3">
      <c r="A17" s="5" t="s">
        <v>221</v>
      </c>
      <c r="B17" s="179"/>
      <c r="C17" s="158"/>
      <c r="D17" s="158"/>
      <c r="E17" s="11"/>
      <c r="F17" s="11"/>
      <c r="G17" s="11"/>
      <c r="H17" s="159"/>
      <c r="I17" s="11"/>
      <c r="J17" s="11"/>
      <c r="K17" s="11"/>
      <c r="L17" s="10"/>
      <c r="M17" s="11"/>
      <c r="N17" s="10"/>
      <c r="O17" s="11"/>
      <c r="P17" s="11"/>
      <c r="Q17" s="11"/>
      <c r="R17" s="10"/>
      <c r="S17" s="11"/>
      <c r="T17" s="10"/>
      <c r="U17" s="11"/>
      <c r="V17" s="11"/>
      <c r="W17" s="10"/>
      <c r="X17" s="11"/>
      <c r="Y17" s="11"/>
      <c r="Z17" s="10"/>
      <c r="AA17" s="11"/>
      <c r="AB17" s="10"/>
      <c r="AC17" s="124"/>
      <c r="AD17" s="45"/>
    </row>
    <row r="18" spans="1:30" ht="24.95" hidden="1" customHeight="1" x14ac:dyDescent="0.3">
      <c r="A18" s="184" t="s">
        <v>134</v>
      </c>
      <c r="B18" s="179"/>
      <c r="C18" s="158"/>
      <c r="D18" s="158"/>
      <c r="E18" s="11"/>
      <c r="F18" s="11"/>
      <c r="G18" s="11"/>
      <c r="H18" s="159"/>
      <c r="I18" s="11"/>
      <c r="J18" s="11"/>
      <c r="K18" s="11"/>
      <c r="L18" s="10"/>
      <c r="M18" s="11"/>
      <c r="N18" s="10"/>
      <c r="O18" s="11"/>
      <c r="P18" s="11"/>
      <c r="Q18" s="11"/>
      <c r="R18" s="10"/>
      <c r="S18" s="11"/>
      <c r="T18" s="10"/>
      <c r="U18" s="11"/>
      <c r="V18" s="11"/>
      <c r="W18" s="10"/>
      <c r="X18" s="11"/>
      <c r="Y18" s="11"/>
      <c r="Z18" s="10"/>
      <c r="AA18" s="11"/>
      <c r="AB18" s="10"/>
      <c r="AC18" s="124"/>
      <c r="AD18" s="45"/>
    </row>
    <row r="19" spans="1:30" ht="24.95" hidden="1" customHeight="1" x14ac:dyDescent="0.3">
      <c r="A19" s="185"/>
      <c r="B19" s="179"/>
      <c r="C19" s="158"/>
      <c r="D19" s="158"/>
      <c r="E19" s="11"/>
      <c r="F19" s="11"/>
      <c r="G19" s="11"/>
      <c r="H19" s="159"/>
      <c r="I19" s="11"/>
      <c r="J19" s="11"/>
      <c r="K19" s="11"/>
      <c r="L19" s="10"/>
      <c r="M19" s="11"/>
      <c r="N19" s="10"/>
      <c r="O19" s="11"/>
      <c r="P19" s="11"/>
      <c r="Q19" s="11"/>
      <c r="R19" s="10"/>
      <c r="S19" s="11"/>
      <c r="T19" s="10"/>
      <c r="U19" s="11"/>
      <c r="V19" s="11"/>
      <c r="W19" s="10"/>
      <c r="X19" s="11"/>
      <c r="Y19" s="11"/>
      <c r="Z19" s="10"/>
      <c r="AA19" s="11"/>
      <c r="AB19" s="10"/>
      <c r="AC19" s="124"/>
      <c r="AD19" s="45"/>
    </row>
    <row r="20" spans="1:30" ht="24.95" hidden="1" customHeight="1" x14ac:dyDescent="0.3">
      <c r="A20" s="186"/>
      <c r="B20" s="179"/>
      <c r="C20" s="158"/>
      <c r="D20" s="158"/>
      <c r="E20" s="11"/>
      <c r="F20" s="11"/>
      <c r="G20" s="11"/>
      <c r="H20" s="159"/>
      <c r="I20" s="11"/>
      <c r="J20" s="11"/>
      <c r="K20" s="11"/>
      <c r="L20" s="10"/>
      <c r="M20" s="11"/>
      <c r="N20" s="10"/>
      <c r="O20" s="11"/>
      <c r="P20" s="11"/>
      <c r="Q20" s="11"/>
      <c r="R20" s="10"/>
      <c r="S20" s="11"/>
      <c r="T20" s="10"/>
      <c r="U20" s="11"/>
      <c r="V20" s="11"/>
      <c r="W20" s="10"/>
      <c r="X20" s="11"/>
      <c r="Y20" s="11"/>
      <c r="Z20" s="10"/>
      <c r="AA20" s="11"/>
      <c r="AB20" s="10"/>
      <c r="AC20" s="124"/>
      <c r="AD20" s="45"/>
    </row>
    <row r="21" spans="1:30" ht="24.95" hidden="1" customHeight="1" x14ac:dyDescent="0.3">
      <c r="A21" s="145" t="s">
        <v>206</v>
      </c>
      <c r="B21" s="179"/>
      <c r="C21" s="158"/>
      <c r="D21" s="158"/>
      <c r="E21" s="11"/>
      <c r="F21" s="11"/>
      <c r="G21" s="11"/>
      <c r="H21" s="159"/>
      <c r="I21" s="11"/>
      <c r="J21" s="11"/>
      <c r="K21" s="11"/>
      <c r="L21" s="10"/>
      <c r="M21" s="11"/>
      <c r="N21" s="10"/>
      <c r="O21" s="11"/>
      <c r="P21" s="11"/>
      <c r="Q21" s="11"/>
      <c r="R21" s="10"/>
      <c r="S21" s="11"/>
      <c r="T21" s="10"/>
      <c r="U21" s="11"/>
      <c r="V21" s="11"/>
      <c r="W21" s="10"/>
      <c r="X21" s="11"/>
      <c r="Y21" s="11"/>
      <c r="Z21" s="10"/>
      <c r="AA21" s="11"/>
      <c r="AB21" s="10"/>
      <c r="AC21" s="124"/>
      <c r="AD21" s="45"/>
    </row>
    <row r="22" spans="1:30" ht="24.95" customHeight="1" x14ac:dyDescent="0.3">
      <c r="A22" s="5" t="s">
        <v>297</v>
      </c>
      <c r="B22" s="161"/>
      <c r="C22" s="169"/>
      <c r="D22" s="158" t="s">
        <v>196</v>
      </c>
      <c r="E22" s="11"/>
      <c r="F22" s="11"/>
      <c r="G22" s="11"/>
      <c r="H22" s="159"/>
      <c r="I22" s="11"/>
      <c r="J22" s="11"/>
      <c r="K22" s="11"/>
      <c r="L22" s="10"/>
      <c r="M22" s="11"/>
      <c r="N22" s="10"/>
      <c r="O22" s="11"/>
      <c r="P22" s="11"/>
      <c r="Q22" s="11"/>
      <c r="R22" s="10"/>
      <c r="S22" s="11"/>
      <c r="T22" s="10"/>
      <c r="U22" s="11"/>
      <c r="V22" s="11"/>
      <c r="W22" s="10"/>
      <c r="X22" s="11"/>
      <c r="Y22" s="11"/>
      <c r="Z22" s="10"/>
      <c r="AA22" s="11"/>
      <c r="AB22" s="10"/>
      <c r="AC22" s="124"/>
      <c r="AD22" s="45"/>
    </row>
    <row r="23" spans="1:30" ht="24.95" customHeight="1" x14ac:dyDescent="0.3">
      <c r="A23" s="5" t="s">
        <v>259</v>
      </c>
      <c r="B23" s="168"/>
      <c r="C23" s="169"/>
      <c r="D23" s="158" t="s">
        <v>196</v>
      </c>
      <c r="E23" s="11"/>
      <c r="F23" s="11"/>
      <c r="G23" s="11"/>
      <c r="H23" s="159"/>
      <c r="I23" s="11"/>
      <c r="J23" s="11"/>
      <c r="K23" s="11"/>
      <c r="L23" s="10"/>
      <c r="M23" s="11"/>
      <c r="N23" s="10"/>
      <c r="O23" s="11"/>
      <c r="P23" s="11"/>
      <c r="Q23" s="11"/>
      <c r="R23" s="10"/>
      <c r="S23" s="11"/>
      <c r="T23" s="10"/>
      <c r="U23" s="11"/>
      <c r="V23" s="11"/>
      <c r="W23" s="10"/>
      <c r="X23" s="11"/>
      <c r="Y23" s="11"/>
      <c r="Z23" s="10"/>
      <c r="AA23" s="11"/>
      <c r="AB23" s="10"/>
      <c r="AC23" s="124"/>
      <c r="AD23" s="45"/>
    </row>
    <row r="24" spans="1:30" ht="24.95" hidden="1" customHeight="1" x14ac:dyDescent="0.3">
      <c r="A24" s="5" t="s">
        <v>158</v>
      </c>
      <c r="B24" s="168" t="s">
        <v>44</v>
      </c>
      <c r="C24" s="169"/>
      <c r="D24" s="158"/>
      <c r="E24" s="11"/>
      <c r="F24" s="11"/>
      <c r="G24" s="11"/>
      <c r="H24" s="159"/>
      <c r="I24" s="11"/>
      <c r="J24" s="11"/>
      <c r="K24" s="11"/>
      <c r="L24" s="10"/>
      <c r="M24" s="11"/>
      <c r="N24" s="10"/>
      <c r="O24" s="11"/>
      <c r="P24" s="11"/>
      <c r="Q24" s="11"/>
      <c r="R24" s="10"/>
      <c r="S24" s="11"/>
      <c r="T24" s="10"/>
      <c r="U24" s="11"/>
      <c r="V24" s="11"/>
      <c r="W24" s="10"/>
      <c r="X24" s="11"/>
      <c r="Y24" s="11"/>
      <c r="Z24" s="10"/>
      <c r="AA24" s="11"/>
      <c r="AB24" s="10"/>
      <c r="AC24" s="124"/>
      <c r="AD24" s="45"/>
    </row>
    <row r="25" spans="1:30" ht="24.95" hidden="1" customHeight="1" x14ac:dyDescent="0.3">
      <c r="A25" s="17" t="s">
        <v>66</v>
      </c>
      <c r="B25" s="168" t="s">
        <v>44</v>
      </c>
      <c r="C25" s="169"/>
      <c r="D25" s="158"/>
      <c r="E25" s="11"/>
      <c r="F25" s="11"/>
      <c r="G25" s="11"/>
      <c r="H25" s="159"/>
      <c r="I25" s="11"/>
      <c r="J25" s="11"/>
      <c r="K25" s="11"/>
      <c r="L25" s="10"/>
      <c r="M25" s="11"/>
      <c r="N25" s="10"/>
      <c r="O25" s="11"/>
      <c r="P25" s="11"/>
      <c r="Q25" s="11"/>
      <c r="R25" s="10"/>
      <c r="S25" s="11"/>
      <c r="T25" s="10"/>
      <c r="U25" s="11"/>
      <c r="V25" s="11"/>
      <c r="W25" s="10"/>
      <c r="X25" s="11"/>
      <c r="Y25" s="11"/>
      <c r="Z25" s="10"/>
      <c r="AA25" s="11"/>
      <c r="AB25" s="10"/>
      <c r="AC25" s="124"/>
      <c r="AD25" s="45"/>
    </row>
    <row r="26" spans="1:30" ht="24.95" hidden="1" customHeight="1" x14ac:dyDescent="0.3">
      <c r="A26" s="5" t="s">
        <v>91</v>
      </c>
      <c r="B26" s="168"/>
      <c r="C26" s="169"/>
      <c r="D26" s="158"/>
      <c r="E26" s="11"/>
      <c r="F26" s="11"/>
      <c r="G26" s="11"/>
      <c r="H26" s="159"/>
      <c r="I26" s="11"/>
      <c r="J26" s="11"/>
      <c r="K26" s="11"/>
      <c r="L26" s="10"/>
      <c r="M26" s="11"/>
      <c r="N26" s="10"/>
      <c r="O26" s="11"/>
      <c r="P26" s="11"/>
      <c r="Q26" s="11"/>
      <c r="R26" s="10"/>
      <c r="S26" s="11"/>
      <c r="T26" s="10"/>
      <c r="U26" s="11"/>
      <c r="V26" s="11"/>
      <c r="W26" s="10"/>
      <c r="X26" s="11"/>
      <c r="Y26" s="11"/>
      <c r="Z26" s="10"/>
      <c r="AA26" s="11"/>
      <c r="AB26" s="10"/>
      <c r="AC26" s="124"/>
      <c r="AD26" s="45"/>
    </row>
    <row r="27" spans="1:30" ht="24.95" hidden="1" customHeight="1" x14ac:dyDescent="0.3">
      <c r="A27" s="5" t="s">
        <v>92</v>
      </c>
      <c r="B27" s="168"/>
      <c r="C27" s="169"/>
      <c r="D27" s="158"/>
      <c r="E27" s="11"/>
      <c r="F27" s="11"/>
      <c r="G27" s="11"/>
      <c r="H27" s="159"/>
      <c r="I27" s="11"/>
      <c r="J27" s="11"/>
      <c r="K27" s="11"/>
      <c r="L27" s="10"/>
      <c r="M27" s="11"/>
      <c r="N27" s="10"/>
      <c r="O27" s="11"/>
      <c r="P27" s="11"/>
      <c r="Q27" s="11"/>
      <c r="R27" s="10"/>
      <c r="S27" s="11"/>
      <c r="T27" s="10"/>
      <c r="U27" s="11"/>
      <c r="V27" s="11"/>
      <c r="W27" s="10"/>
      <c r="X27" s="11"/>
      <c r="Y27" s="11"/>
      <c r="Z27" s="10"/>
      <c r="AA27" s="11"/>
      <c r="AB27" s="10"/>
      <c r="AC27" s="124"/>
      <c r="AD27" s="45"/>
    </row>
    <row r="28" spans="1:30" ht="24.95" customHeight="1" x14ac:dyDescent="0.3">
      <c r="A28" s="5" t="s">
        <v>260</v>
      </c>
      <c r="B28" s="179"/>
      <c r="C28" s="158"/>
      <c r="D28" s="158" t="s">
        <v>196</v>
      </c>
      <c r="E28" s="11"/>
      <c r="F28" s="11"/>
      <c r="G28" s="11"/>
      <c r="H28" s="159"/>
      <c r="I28" s="11" t="s">
        <v>196</v>
      </c>
      <c r="J28" s="11"/>
      <c r="K28" s="11"/>
      <c r="L28" s="10"/>
      <c r="M28" s="11"/>
      <c r="N28" s="10"/>
      <c r="O28" s="11"/>
      <c r="P28" s="11"/>
      <c r="Q28" s="11"/>
      <c r="R28" s="10"/>
      <c r="S28" s="11"/>
      <c r="T28" s="10"/>
      <c r="U28" s="11"/>
      <c r="V28" s="11"/>
      <c r="W28" s="10"/>
      <c r="X28" s="11"/>
      <c r="Y28" s="11"/>
      <c r="Z28" s="10"/>
      <c r="AA28" s="11"/>
      <c r="AB28" s="10"/>
      <c r="AC28" s="124"/>
      <c r="AD28" s="45"/>
    </row>
    <row r="29" spans="1:30" ht="24.95" customHeight="1" x14ac:dyDescent="0.3">
      <c r="A29" s="5" t="s">
        <v>382</v>
      </c>
      <c r="B29" s="179"/>
      <c r="C29" s="158"/>
      <c r="D29" s="158"/>
      <c r="E29" s="11"/>
      <c r="F29" s="11"/>
      <c r="G29" s="11"/>
      <c r="H29" s="159"/>
      <c r="I29" s="11"/>
      <c r="J29" s="11"/>
      <c r="K29" s="11"/>
      <c r="L29" s="10"/>
      <c r="M29" s="11"/>
      <c r="N29" s="10"/>
      <c r="O29" s="11"/>
      <c r="P29" s="11"/>
      <c r="Q29" s="11"/>
      <c r="R29" s="10"/>
      <c r="S29" s="11"/>
      <c r="T29" s="10"/>
      <c r="U29" s="11"/>
      <c r="V29" s="11"/>
      <c r="W29" s="10"/>
      <c r="X29" s="11"/>
      <c r="Y29" s="11"/>
      <c r="Z29" s="10"/>
      <c r="AA29" s="11"/>
      <c r="AB29" s="10"/>
      <c r="AC29" s="124"/>
      <c r="AD29" s="45"/>
    </row>
    <row r="30" spans="1:30" ht="24.95" customHeight="1" x14ac:dyDescent="0.3">
      <c r="A30" s="146" t="s">
        <v>208</v>
      </c>
      <c r="B30" s="179"/>
      <c r="C30" s="158"/>
      <c r="D30" s="158"/>
      <c r="E30" s="11"/>
      <c r="F30" s="11"/>
      <c r="G30" s="11"/>
      <c r="H30" s="159"/>
      <c r="I30" s="11"/>
      <c r="J30" s="11"/>
      <c r="K30" s="11"/>
      <c r="L30" s="10"/>
      <c r="M30" s="11"/>
      <c r="N30" s="10"/>
      <c r="O30" s="11"/>
      <c r="P30" s="11"/>
      <c r="Q30" s="11"/>
      <c r="R30" s="10"/>
      <c r="S30" s="11"/>
      <c r="T30" s="10"/>
      <c r="U30" s="11"/>
      <c r="V30" s="11"/>
      <c r="W30" s="10"/>
      <c r="X30" s="11"/>
      <c r="Y30" s="11"/>
      <c r="Z30" s="10"/>
      <c r="AA30" s="11"/>
      <c r="AB30" s="10"/>
      <c r="AC30" s="124"/>
      <c r="AD30" s="45"/>
    </row>
    <row r="31" spans="1:30" ht="40.5" hidden="1" x14ac:dyDescent="0.3">
      <c r="A31" s="115" t="s">
        <v>167</v>
      </c>
      <c r="B31" s="103"/>
      <c r="C31" s="111"/>
      <c r="D31" s="111"/>
      <c r="E31" s="11"/>
      <c r="F31" s="11"/>
      <c r="G31" s="11"/>
      <c r="H31" s="159"/>
      <c r="I31" s="11"/>
      <c r="J31" s="11"/>
      <c r="K31" s="11"/>
      <c r="L31" s="10"/>
      <c r="M31" s="11"/>
      <c r="N31" s="10"/>
      <c r="O31" s="11"/>
      <c r="P31" s="11"/>
      <c r="Q31" s="11"/>
      <c r="R31" s="10"/>
      <c r="S31" s="11"/>
      <c r="T31" s="10"/>
      <c r="U31" s="11"/>
      <c r="V31" s="11"/>
      <c r="W31" s="10"/>
      <c r="X31" s="11"/>
      <c r="Y31" s="11"/>
      <c r="Z31" s="10"/>
      <c r="AA31" s="11"/>
      <c r="AB31" s="10"/>
      <c r="AC31" s="124"/>
      <c r="AD31" s="45"/>
    </row>
    <row r="32" spans="1:30" ht="40.5" x14ac:dyDescent="0.3">
      <c r="A32" s="117" t="s">
        <v>281</v>
      </c>
      <c r="B32" s="103"/>
      <c r="C32" s="111"/>
      <c r="D32" s="111" t="s">
        <v>196</v>
      </c>
      <c r="E32" s="11"/>
      <c r="F32" s="11"/>
      <c r="G32" s="11"/>
      <c r="H32" s="159"/>
      <c r="I32" s="11"/>
      <c r="J32" s="11"/>
      <c r="K32" s="11"/>
      <c r="L32" s="10"/>
      <c r="M32" s="11"/>
      <c r="N32" s="10"/>
      <c r="O32" s="11"/>
      <c r="P32" s="11"/>
      <c r="Q32" s="11"/>
      <c r="R32" s="10"/>
      <c r="S32" s="11"/>
      <c r="T32" s="10"/>
      <c r="U32" s="11"/>
      <c r="V32" s="11"/>
      <c r="W32" s="10"/>
      <c r="X32" s="11"/>
      <c r="Y32" s="11"/>
      <c r="Z32" s="10"/>
      <c r="AA32" s="11"/>
      <c r="AB32" s="10"/>
      <c r="AC32" s="124"/>
      <c r="AD32" s="45"/>
    </row>
    <row r="33" spans="1:34" ht="31.5" hidden="1" customHeight="1" x14ac:dyDescent="0.3">
      <c r="A33" s="5" t="s">
        <v>209</v>
      </c>
      <c r="B33" s="103"/>
      <c r="C33" s="111"/>
      <c r="D33" s="111"/>
      <c r="E33" s="11"/>
      <c r="F33" s="11"/>
      <c r="G33" s="11"/>
      <c r="H33" s="159"/>
      <c r="I33" s="11"/>
      <c r="J33" s="11"/>
      <c r="K33" s="11"/>
      <c r="L33" s="10"/>
      <c r="M33" s="11"/>
      <c r="N33" s="10"/>
      <c r="O33" s="11"/>
      <c r="P33" s="11"/>
      <c r="Q33" s="11"/>
      <c r="R33" s="10"/>
      <c r="S33" s="11"/>
      <c r="T33" s="10"/>
      <c r="U33" s="11"/>
      <c r="V33" s="11"/>
      <c r="W33" s="10"/>
      <c r="X33" s="11"/>
      <c r="Y33" s="11"/>
      <c r="Z33" s="10"/>
      <c r="AA33" s="11"/>
      <c r="AB33" s="10"/>
      <c r="AC33" s="124"/>
      <c r="AD33" s="45"/>
    </row>
    <row r="34" spans="1:34" ht="31.5" customHeight="1" x14ac:dyDescent="0.3">
      <c r="A34" s="121" t="s">
        <v>358</v>
      </c>
      <c r="B34" s="103"/>
      <c r="C34" s="111"/>
      <c r="D34" s="111" t="s">
        <v>196</v>
      </c>
      <c r="E34" s="11"/>
      <c r="F34" s="11"/>
      <c r="G34" s="11"/>
      <c r="H34" s="159"/>
      <c r="I34" s="11"/>
      <c r="J34" s="11"/>
      <c r="K34" s="11"/>
      <c r="L34" s="10"/>
      <c r="M34" s="11"/>
      <c r="N34" s="10"/>
      <c r="O34" s="11"/>
      <c r="P34" s="11"/>
      <c r="Q34" s="11"/>
      <c r="R34" s="10"/>
      <c r="S34" s="11"/>
      <c r="T34" s="10"/>
      <c r="U34" s="11"/>
      <c r="V34" s="11"/>
      <c r="W34" s="10"/>
      <c r="X34" s="11"/>
      <c r="Y34" s="11"/>
      <c r="Z34" s="10"/>
      <c r="AA34" s="11"/>
      <c r="AB34" s="10"/>
      <c r="AC34" s="124"/>
      <c r="AD34" s="45"/>
    </row>
    <row r="35" spans="1:34" ht="40.5" hidden="1" x14ac:dyDescent="0.3">
      <c r="A35" s="121" t="s">
        <v>359</v>
      </c>
      <c r="B35" s="103"/>
      <c r="C35" s="111"/>
      <c r="D35" s="111" t="s">
        <v>196</v>
      </c>
      <c r="E35" s="11"/>
      <c r="F35" s="11"/>
      <c r="G35" s="11"/>
      <c r="H35" s="159"/>
      <c r="I35" s="11"/>
      <c r="J35" s="11"/>
      <c r="K35" s="11"/>
      <c r="L35" s="10"/>
      <c r="M35" s="11"/>
      <c r="N35" s="10"/>
      <c r="O35" s="11"/>
      <c r="P35" s="11"/>
      <c r="Q35" s="11"/>
      <c r="R35" s="10"/>
      <c r="S35" s="11"/>
      <c r="T35" s="10"/>
      <c r="U35" s="11"/>
      <c r="V35" s="11"/>
      <c r="W35" s="10"/>
      <c r="X35" s="11"/>
      <c r="Y35" s="11"/>
      <c r="Z35" s="10"/>
      <c r="AA35" s="11"/>
      <c r="AB35" s="10"/>
      <c r="AC35" s="124"/>
      <c r="AD35" s="45"/>
    </row>
    <row r="36" spans="1:34" ht="40.5" x14ac:dyDescent="0.3">
      <c r="A36" s="121" t="s">
        <v>360</v>
      </c>
      <c r="B36" s="103"/>
      <c r="C36" s="111"/>
      <c r="D36" s="111" t="s">
        <v>196</v>
      </c>
      <c r="E36" s="11"/>
      <c r="F36" s="11"/>
      <c r="G36" s="11"/>
      <c r="H36" s="159"/>
      <c r="I36" s="11"/>
      <c r="J36" s="11"/>
      <c r="K36" s="11"/>
      <c r="L36" s="10"/>
      <c r="M36" s="11"/>
      <c r="N36" s="10"/>
      <c r="O36" s="11"/>
      <c r="P36" s="11"/>
      <c r="Q36" s="11"/>
      <c r="R36" s="10"/>
      <c r="S36" s="11"/>
      <c r="T36" s="10"/>
      <c r="U36" s="11"/>
      <c r="V36" s="11"/>
      <c r="W36" s="10"/>
      <c r="X36" s="11"/>
      <c r="Y36" s="11"/>
      <c r="Z36" s="10"/>
      <c r="AA36" s="11"/>
      <c r="AB36" s="10"/>
      <c r="AC36" s="124"/>
      <c r="AD36" s="45"/>
    </row>
    <row r="37" spans="1:34" s="52" customFormat="1" ht="33" customHeight="1" x14ac:dyDescent="0.35">
      <c r="A37" s="5" t="s">
        <v>312</v>
      </c>
      <c r="B37" s="103"/>
      <c r="C37" s="111"/>
      <c r="D37" s="111" t="s">
        <v>196</v>
      </c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3"/>
      <c r="AB37" s="127"/>
      <c r="AC37" s="109"/>
      <c r="AD37" s="70"/>
      <c r="AE37" s="71"/>
      <c r="AF37" s="71"/>
      <c r="AG37" s="71"/>
    </row>
    <row r="38" spans="1:34" ht="41.25" customHeight="1" x14ac:dyDescent="0.3">
      <c r="A38" s="136" t="s">
        <v>361</v>
      </c>
      <c r="B38" s="103"/>
      <c r="C38" s="111" t="s">
        <v>196</v>
      </c>
      <c r="D38" s="111"/>
      <c r="E38" s="11"/>
      <c r="F38" s="11"/>
      <c r="G38" s="11"/>
      <c r="H38" s="159"/>
      <c r="I38" s="11"/>
      <c r="J38" s="11"/>
      <c r="K38" s="11"/>
      <c r="L38" s="10"/>
      <c r="M38" s="11"/>
      <c r="N38" s="10"/>
      <c r="O38" s="11"/>
      <c r="P38" s="11"/>
      <c r="Q38" s="11"/>
      <c r="R38" s="10"/>
      <c r="S38" s="11"/>
      <c r="T38" s="10"/>
      <c r="U38" s="11"/>
      <c r="V38" s="11"/>
      <c r="W38" s="10"/>
      <c r="X38" s="11"/>
      <c r="Y38" s="11"/>
      <c r="Z38" s="10"/>
      <c r="AA38" s="11"/>
      <c r="AB38" s="10"/>
      <c r="AC38" s="124"/>
      <c r="AD38" s="45"/>
    </row>
    <row r="39" spans="1:34" ht="40.5" hidden="1" x14ac:dyDescent="0.3">
      <c r="A39" s="115" t="s">
        <v>166</v>
      </c>
      <c r="B39" s="161"/>
      <c r="C39" s="158"/>
      <c r="D39" s="158" t="s">
        <v>196</v>
      </c>
      <c r="E39" s="11"/>
      <c r="F39" s="11"/>
      <c r="G39" s="11"/>
      <c r="H39" s="159"/>
      <c r="I39" s="11"/>
      <c r="J39" s="11"/>
      <c r="K39" s="11"/>
      <c r="L39" s="10"/>
      <c r="M39" s="11"/>
      <c r="N39" s="10"/>
      <c r="O39" s="11"/>
      <c r="P39" s="11"/>
      <c r="Q39" s="11"/>
      <c r="R39" s="10"/>
      <c r="S39" s="11"/>
      <c r="T39" s="10"/>
      <c r="U39" s="11"/>
      <c r="V39" s="11"/>
      <c r="W39" s="10"/>
      <c r="X39" s="11"/>
      <c r="Y39" s="11"/>
      <c r="Z39" s="10"/>
      <c r="AA39" s="11"/>
      <c r="AB39" s="10"/>
      <c r="AC39" s="124"/>
      <c r="AD39" s="45"/>
    </row>
    <row r="40" spans="1:34" ht="24.95" customHeight="1" x14ac:dyDescent="0.3">
      <c r="A40" s="5" t="s">
        <v>313</v>
      </c>
      <c r="B40" s="103"/>
      <c r="C40" s="111"/>
      <c r="D40" s="111" t="s">
        <v>196</v>
      </c>
      <c r="E40" s="11"/>
      <c r="F40" s="11"/>
      <c r="G40" s="11"/>
      <c r="H40" s="159"/>
      <c r="I40" s="11"/>
      <c r="J40" s="11"/>
      <c r="K40" s="11"/>
      <c r="L40" s="10"/>
      <c r="M40" s="11"/>
      <c r="N40" s="10"/>
      <c r="O40" s="11"/>
      <c r="P40" s="11"/>
      <c r="Q40" s="11"/>
      <c r="R40" s="10"/>
      <c r="S40" s="11"/>
      <c r="T40" s="10"/>
      <c r="U40" s="11"/>
      <c r="V40" s="11"/>
      <c r="W40" s="10"/>
      <c r="X40" s="11"/>
      <c r="Y40" s="11"/>
      <c r="Z40" s="10"/>
      <c r="AA40" s="11"/>
      <c r="AB40" s="10"/>
      <c r="AC40" s="124"/>
      <c r="AD40" s="45"/>
    </row>
    <row r="41" spans="1:34" ht="60.75" x14ac:dyDescent="0.3">
      <c r="A41" s="115" t="s">
        <v>314</v>
      </c>
      <c r="B41" s="103"/>
      <c r="C41" s="111"/>
      <c r="D41" s="111" t="s">
        <v>196</v>
      </c>
      <c r="E41" s="11"/>
      <c r="F41" s="11"/>
      <c r="G41" s="11"/>
      <c r="H41" s="10"/>
      <c r="I41" s="11"/>
      <c r="J41" s="11"/>
      <c r="K41" s="11"/>
      <c r="L41" s="10"/>
      <c r="M41" s="11"/>
      <c r="N41" s="10"/>
      <c r="O41" s="11"/>
      <c r="P41" s="11"/>
      <c r="Q41" s="11"/>
      <c r="R41" s="10"/>
      <c r="S41" s="11"/>
      <c r="T41" s="10"/>
      <c r="U41" s="11"/>
      <c r="V41" s="11"/>
      <c r="W41" s="10"/>
      <c r="X41" s="11"/>
      <c r="Y41" s="11"/>
      <c r="Z41" s="10"/>
      <c r="AA41" s="11"/>
      <c r="AB41" s="10"/>
      <c r="AC41" s="124"/>
      <c r="AD41" s="45"/>
    </row>
    <row r="42" spans="1:34" ht="52.5" hidden="1" customHeight="1" x14ac:dyDescent="0.3">
      <c r="A42" s="115" t="s">
        <v>165</v>
      </c>
      <c r="B42" s="103"/>
      <c r="C42" s="111"/>
      <c r="D42" s="111"/>
      <c r="E42" s="11"/>
      <c r="F42" s="11" t="s">
        <v>196</v>
      </c>
      <c r="G42" s="11"/>
      <c r="H42" s="10"/>
      <c r="I42" s="11"/>
      <c r="J42" s="11"/>
      <c r="K42" s="11"/>
      <c r="L42" s="10"/>
      <c r="M42" s="11"/>
      <c r="N42" s="10"/>
      <c r="O42" s="11"/>
      <c r="P42" s="11"/>
      <c r="Q42" s="11"/>
      <c r="R42" s="10"/>
      <c r="S42" s="11"/>
      <c r="T42" s="10"/>
      <c r="U42" s="11"/>
      <c r="V42" s="11"/>
      <c r="W42" s="10"/>
      <c r="X42" s="11"/>
      <c r="Y42" s="11"/>
      <c r="Z42" s="10"/>
      <c r="AA42" s="11"/>
      <c r="AB42" s="10"/>
      <c r="AC42" s="124"/>
      <c r="AD42" s="45"/>
    </row>
    <row r="43" spans="1:34" ht="24.95" customHeight="1" x14ac:dyDescent="0.3">
      <c r="A43" s="146"/>
      <c r="B43" s="116"/>
      <c r="C43" s="91"/>
      <c r="D43" s="91"/>
      <c r="E43" s="11"/>
      <c r="F43" s="11"/>
      <c r="G43" s="11"/>
      <c r="H43" s="10"/>
      <c r="I43" s="11"/>
      <c r="J43" s="11"/>
      <c r="K43" s="11"/>
      <c r="L43" s="10"/>
      <c r="M43" s="11"/>
      <c r="N43" s="10"/>
      <c r="O43" s="11"/>
      <c r="P43" s="11"/>
      <c r="Q43" s="11"/>
      <c r="R43" s="10"/>
      <c r="S43" s="11"/>
      <c r="T43" s="10"/>
      <c r="U43" s="11"/>
      <c r="V43" s="11"/>
      <c r="W43" s="10"/>
      <c r="X43" s="11"/>
      <c r="Y43" s="11"/>
      <c r="Z43" s="10"/>
      <c r="AA43" s="11"/>
      <c r="AB43" s="10"/>
      <c r="AC43" s="124"/>
      <c r="AD43" s="45"/>
    </row>
    <row r="44" spans="1:34" ht="24.95" customHeight="1" x14ac:dyDescent="0.3">
      <c r="A44" s="146"/>
      <c r="B44" s="116"/>
      <c r="C44" s="91"/>
      <c r="D44" s="91"/>
      <c r="E44" s="11"/>
      <c r="F44" s="11"/>
      <c r="G44" s="11"/>
      <c r="H44" s="10"/>
      <c r="I44" s="11"/>
      <c r="J44" s="11"/>
      <c r="K44" s="11"/>
      <c r="L44" s="10"/>
      <c r="M44" s="11"/>
      <c r="N44" s="10"/>
      <c r="O44" s="11"/>
      <c r="P44" s="11"/>
      <c r="Q44" s="11"/>
      <c r="R44" s="10"/>
      <c r="S44" s="11"/>
      <c r="T44" s="10"/>
      <c r="U44" s="11"/>
      <c r="V44" s="11"/>
      <c r="W44" s="10"/>
      <c r="X44" s="11"/>
      <c r="Y44" s="11"/>
      <c r="Z44" s="10"/>
      <c r="AA44" s="11"/>
      <c r="AB44" s="10"/>
      <c r="AC44" s="124"/>
      <c r="AD44" s="45"/>
    </row>
    <row r="45" spans="1:34" ht="24.95" customHeight="1" x14ac:dyDescent="0.3">
      <c r="A45" s="146"/>
      <c r="B45" s="116"/>
      <c r="C45" s="91"/>
      <c r="D45" s="91"/>
      <c r="E45" s="11"/>
      <c r="F45" s="11"/>
      <c r="G45" s="11"/>
      <c r="H45" s="10"/>
      <c r="I45" s="11"/>
      <c r="J45" s="11"/>
      <c r="K45" s="11"/>
      <c r="L45" s="10"/>
      <c r="M45" s="11"/>
      <c r="N45" s="10"/>
      <c r="O45" s="11"/>
      <c r="P45" s="11"/>
      <c r="Q45" s="11"/>
      <c r="R45" s="10"/>
      <c r="S45" s="11"/>
      <c r="T45" s="10"/>
      <c r="U45" s="11"/>
      <c r="V45" s="11"/>
      <c r="W45" s="10"/>
      <c r="X45" s="11"/>
      <c r="Y45" s="11"/>
      <c r="Z45" s="10"/>
      <c r="AA45" s="11"/>
      <c r="AB45" s="10"/>
      <c r="AC45" s="124"/>
      <c r="AD45" s="45"/>
    </row>
    <row r="46" spans="1:34" ht="24.95" customHeight="1" x14ac:dyDescent="0.35">
      <c r="A46" s="5"/>
      <c r="B46" s="116"/>
      <c r="C46" s="91"/>
      <c r="D46" s="91"/>
      <c r="E46" s="11"/>
      <c r="F46" s="11"/>
      <c r="G46" s="11"/>
      <c r="H46" s="10"/>
      <c r="I46" s="11"/>
      <c r="J46" s="11"/>
      <c r="K46" s="11"/>
      <c r="L46" s="10"/>
      <c r="M46" s="11"/>
      <c r="N46" s="10"/>
      <c r="O46" s="11"/>
      <c r="P46" s="11"/>
      <c r="Q46" s="11"/>
      <c r="R46" s="10"/>
      <c r="S46" s="11"/>
      <c r="T46" s="10"/>
      <c r="U46" s="11"/>
      <c r="V46" s="11"/>
      <c r="W46" s="10"/>
      <c r="X46" s="11"/>
      <c r="Y46" s="11"/>
      <c r="Z46" s="10"/>
      <c r="AA46" s="11"/>
      <c r="AB46" s="10"/>
      <c r="AC46" s="124"/>
      <c r="AD46" s="42"/>
      <c r="AE46" s="14"/>
      <c r="AF46" s="37"/>
      <c r="AG46" s="37"/>
      <c r="AH46" s="37"/>
    </row>
    <row r="47" spans="1:34" ht="24.95" customHeight="1" x14ac:dyDescent="0.3">
      <c r="A47" s="5"/>
      <c r="B47" s="116"/>
      <c r="C47" s="91"/>
      <c r="D47" s="91"/>
      <c r="E47" s="11"/>
      <c r="F47" s="11"/>
      <c r="G47" s="11"/>
      <c r="H47" s="10"/>
      <c r="I47" s="11"/>
      <c r="J47" s="11"/>
      <c r="K47" s="11"/>
      <c r="L47" s="10"/>
      <c r="M47" s="11"/>
      <c r="N47" s="10"/>
      <c r="O47" s="11"/>
      <c r="P47" s="11"/>
      <c r="Q47" s="11"/>
      <c r="R47" s="10"/>
      <c r="S47" s="11"/>
      <c r="T47" s="10"/>
      <c r="U47" s="11"/>
      <c r="V47" s="11"/>
      <c r="W47" s="10"/>
      <c r="X47" s="11"/>
      <c r="Y47" s="11"/>
      <c r="Z47" s="10"/>
      <c r="AA47" s="11"/>
      <c r="AB47" s="10"/>
      <c r="AC47" s="124"/>
      <c r="AD47" s="45"/>
    </row>
    <row r="48" spans="1:34" ht="24.95" customHeight="1" x14ac:dyDescent="0.3">
      <c r="A48" s="17"/>
      <c r="B48" s="116"/>
      <c r="C48" s="91"/>
      <c r="D48" s="91"/>
      <c r="E48" s="11"/>
      <c r="F48" s="11"/>
      <c r="G48" s="11"/>
      <c r="H48" s="10"/>
      <c r="I48" s="11"/>
      <c r="J48" s="11"/>
      <c r="K48" s="11"/>
      <c r="L48" s="10"/>
      <c r="M48" s="11"/>
      <c r="N48" s="10"/>
      <c r="O48" s="11"/>
      <c r="P48" s="11"/>
      <c r="Q48" s="11"/>
      <c r="R48" s="10"/>
      <c r="S48" s="11"/>
      <c r="T48" s="10"/>
      <c r="U48" s="11"/>
      <c r="V48" s="11"/>
      <c r="W48" s="10"/>
      <c r="X48" s="11"/>
      <c r="Y48" s="11"/>
      <c r="Z48" s="10"/>
      <c r="AA48" s="11"/>
      <c r="AB48" s="10"/>
      <c r="AC48" s="124"/>
      <c r="AD48" s="45"/>
      <c r="AH48" s="16"/>
    </row>
    <row r="49" spans="1:34" ht="24.95" customHeight="1" x14ac:dyDescent="0.3">
      <c r="A49" s="5"/>
      <c r="B49" s="116"/>
      <c r="C49" s="91"/>
      <c r="D49" s="91"/>
      <c r="E49" s="11"/>
      <c r="F49" s="11"/>
      <c r="G49" s="11"/>
      <c r="H49" s="10"/>
      <c r="I49" s="11"/>
      <c r="J49" s="11"/>
      <c r="K49" s="11"/>
      <c r="L49" s="10"/>
      <c r="M49" s="11"/>
      <c r="N49" s="10"/>
      <c r="O49" s="11"/>
      <c r="P49" s="11"/>
      <c r="Q49" s="11"/>
      <c r="R49" s="10"/>
      <c r="S49" s="11"/>
      <c r="T49" s="10"/>
      <c r="U49" s="11"/>
      <c r="V49" s="11"/>
      <c r="W49" s="10"/>
      <c r="X49" s="11"/>
      <c r="Y49" s="11"/>
      <c r="Z49" s="10"/>
      <c r="AA49" s="11"/>
      <c r="AB49" s="10"/>
      <c r="AC49" s="124"/>
      <c r="AD49" s="45"/>
    </row>
    <row r="50" spans="1:34" ht="24.95" customHeight="1" thickBot="1" x14ac:dyDescent="0.35">
      <c r="A50" s="84"/>
      <c r="B50" s="122"/>
      <c r="C50" s="91"/>
      <c r="D50" s="91"/>
      <c r="E50" s="11"/>
      <c r="F50" s="11"/>
      <c r="G50" s="11"/>
      <c r="H50" s="10"/>
      <c r="I50" s="11"/>
      <c r="J50" s="11"/>
      <c r="K50" s="11"/>
      <c r="L50" s="10"/>
      <c r="M50" s="11"/>
      <c r="N50" s="10"/>
      <c r="O50" s="11"/>
      <c r="P50" s="11"/>
      <c r="Q50" s="11"/>
      <c r="R50" s="10"/>
      <c r="S50" s="11"/>
      <c r="T50" s="10"/>
      <c r="U50" s="11"/>
      <c r="V50" s="11"/>
      <c r="W50" s="10"/>
      <c r="X50" s="11"/>
      <c r="Y50" s="11"/>
      <c r="Z50" s="10"/>
      <c r="AA50" s="11"/>
      <c r="AB50" s="10"/>
      <c r="AC50" s="124"/>
      <c r="AD50" s="45"/>
    </row>
    <row r="51" spans="1:34" ht="24.95" customHeight="1" thickBot="1" x14ac:dyDescent="0.35">
      <c r="A51" s="182" t="s">
        <v>13</v>
      </c>
      <c r="B51" s="183"/>
      <c r="C51" s="18">
        <f t="shared" ref="C51:AB51" si="4">SUM(C8:C50)</f>
        <v>0</v>
      </c>
      <c r="D51" s="18">
        <f t="shared" si="4"/>
        <v>0</v>
      </c>
      <c r="E51" s="18">
        <f t="shared" si="4"/>
        <v>0</v>
      </c>
      <c r="F51" s="19">
        <f t="shared" si="4"/>
        <v>0</v>
      </c>
      <c r="G51" s="19">
        <f t="shared" si="4"/>
        <v>0</v>
      </c>
      <c r="H51" s="19">
        <f t="shared" si="4"/>
        <v>0</v>
      </c>
      <c r="I51" s="19">
        <f t="shared" si="4"/>
        <v>0</v>
      </c>
      <c r="J51" s="19">
        <f t="shared" si="4"/>
        <v>0</v>
      </c>
      <c r="K51" s="19">
        <f t="shared" si="4"/>
        <v>0</v>
      </c>
      <c r="L51" s="19">
        <f t="shared" si="4"/>
        <v>0</v>
      </c>
      <c r="M51" s="19">
        <f t="shared" si="4"/>
        <v>0</v>
      </c>
      <c r="N51" s="19">
        <f t="shared" si="4"/>
        <v>0</v>
      </c>
      <c r="O51" s="19">
        <f t="shared" si="4"/>
        <v>0</v>
      </c>
      <c r="P51" s="19">
        <f t="shared" si="4"/>
        <v>0</v>
      </c>
      <c r="Q51" s="19">
        <f t="shared" si="4"/>
        <v>0</v>
      </c>
      <c r="R51" s="19">
        <f t="shared" si="4"/>
        <v>0</v>
      </c>
      <c r="S51" s="19">
        <f t="shared" si="4"/>
        <v>0</v>
      </c>
      <c r="T51" s="19">
        <f t="shared" si="4"/>
        <v>0</v>
      </c>
      <c r="U51" s="19">
        <f t="shared" si="4"/>
        <v>0</v>
      </c>
      <c r="V51" s="19">
        <f t="shared" si="4"/>
        <v>0</v>
      </c>
      <c r="W51" s="19">
        <f t="shared" si="4"/>
        <v>0</v>
      </c>
      <c r="X51" s="19">
        <f t="shared" si="4"/>
        <v>0</v>
      </c>
      <c r="Y51" s="19">
        <f t="shared" si="4"/>
        <v>0</v>
      </c>
      <c r="Z51" s="19">
        <f t="shared" si="4"/>
        <v>0</v>
      </c>
      <c r="AA51" s="20">
        <f t="shared" si="4"/>
        <v>0</v>
      </c>
      <c r="AB51" s="20">
        <f t="shared" si="4"/>
        <v>0</v>
      </c>
    </row>
    <row r="52" spans="1:34" s="23" customFormat="1" ht="24.95" customHeight="1" x14ac:dyDescent="0.25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</row>
    <row r="53" spans="1:34" s="23" customFormat="1" ht="24.95" customHeight="1" x14ac:dyDescent="0.25">
      <c r="J53" s="24"/>
      <c r="K53" s="24"/>
      <c r="L53" s="24"/>
      <c r="M53" s="25"/>
      <c r="N53" s="26"/>
      <c r="O53" s="27"/>
      <c r="R53" s="24"/>
      <c r="S53" s="24"/>
      <c r="T53" s="24"/>
      <c r="U53" s="24"/>
      <c r="V53" s="24"/>
      <c r="W53" s="24"/>
      <c r="X53" s="28"/>
      <c r="Y53" s="24"/>
      <c r="Z53" s="24"/>
      <c r="AA53" s="28"/>
      <c r="AB53" s="24"/>
    </row>
    <row r="54" spans="1:34" s="23" customFormat="1" ht="24.95" customHeight="1" x14ac:dyDescent="0.25">
      <c r="J54" s="24"/>
      <c r="M54" s="25"/>
      <c r="N54" s="26"/>
      <c r="O54" s="27"/>
      <c r="R54" s="24"/>
      <c r="U54" s="24"/>
      <c r="X54" s="28"/>
      <c r="AA54" s="28"/>
    </row>
    <row r="55" spans="1:34" s="23" customFormat="1" ht="24.95" customHeight="1" x14ac:dyDescent="0.25">
      <c r="J55" s="24"/>
      <c r="K55" s="24"/>
      <c r="L55" s="24"/>
      <c r="M55" s="29"/>
      <c r="N55" s="30"/>
      <c r="O55" s="29"/>
      <c r="R55" s="24"/>
      <c r="S55" s="24"/>
      <c r="T55" s="24"/>
      <c r="U55" s="24"/>
      <c r="V55" s="24"/>
      <c r="W55" s="24"/>
      <c r="X55" s="16"/>
      <c r="Y55" s="24"/>
      <c r="Z55" s="24"/>
      <c r="AA55" s="16"/>
      <c r="AB55" s="24"/>
    </row>
    <row r="56" spans="1:34" s="23" customFormat="1" ht="23.1" customHeight="1" x14ac:dyDescent="0.25">
      <c r="F56" s="16"/>
      <c r="G56" s="16"/>
      <c r="H56" s="16"/>
      <c r="I56" s="16"/>
      <c r="J56" s="24"/>
      <c r="K56" s="16"/>
      <c r="L56" s="16"/>
      <c r="M56" s="31"/>
      <c r="N56" s="31"/>
      <c r="O56" s="31"/>
      <c r="P56" s="16"/>
      <c r="Q56" s="16"/>
      <c r="R56" s="24"/>
      <c r="S56" s="16"/>
      <c r="T56" s="16"/>
      <c r="U56" s="24"/>
      <c r="V56" s="16"/>
      <c r="W56" s="16"/>
      <c r="X56" s="32"/>
      <c r="Y56" s="16"/>
      <c r="Z56" s="16"/>
      <c r="AA56" s="32"/>
      <c r="AB56" s="16"/>
    </row>
    <row r="57" spans="1:34" ht="23.1" customHeight="1" x14ac:dyDescent="0.2">
      <c r="A57" s="23"/>
      <c r="B57" s="23"/>
      <c r="C57" s="23"/>
      <c r="D57" s="23"/>
      <c r="E57" s="23"/>
      <c r="F57" s="23"/>
      <c r="G57" s="23"/>
      <c r="H57" s="23"/>
      <c r="I57" s="23"/>
      <c r="J57" s="16"/>
      <c r="K57" s="23"/>
      <c r="L57" s="23"/>
      <c r="M57" s="16"/>
      <c r="N57" s="16"/>
      <c r="O57" s="16"/>
      <c r="P57" s="23"/>
      <c r="Q57" s="23"/>
      <c r="R57" s="16"/>
      <c r="S57" s="23"/>
      <c r="T57" s="23"/>
      <c r="U57" s="16"/>
      <c r="V57" s="23"/>
      <c r="W57" s="23"/>
      <c r="X57" s="16"/>
      <c r="Y57" s="23"/>
      <c r="Z57" s="23"/>
      <c r="AA57" s="16"/>
      <c r="AB57" s="23"/>
      <c r="AC57" s="23"/>
      <c r="AD57" s="23"/>
      <c r="AE57" s="23"/>
      <c r="AF57" s="23"/>
      <c r="AG57" s="23"/>
      <c r="AH57" s="23"/>
    </row>
    <row r="58" spans="1:34" ht="23.1" customHeight="1" x14ac:dyDescent="0.2">
      <c r="K58" s="33"/>
      <c r="L58" s="33"/>
      <c r="M58" s="33"/>
      <c r="N58" s="33"/>
      <c r="O58" s="33"/>
      <c r="P58" s="33"/>
      <c r="S58" s="33"/>
      <c r="T58" s="33"/>
      <c r="U58" s="33"/>
      <c r="V58" s="33"/>
      <c r="W58" s="33"/>
      <c r="X58" s="33"/>
      <c r="Y58" s="33"/>
      <c r="Z58" s="33"/>
      <c r="AA58" s="33"/>
      <c r="AB58" s="33"/>
    </row>
    <row r="59" spans="1:34" ht="23.1" customHeight="1" x14ac:dyDescent="0.2">
      <c r="A59" s="33"/>
      <c r="B59" s="33"/>
      <c r="C59" s="33"/>
      <c r="D59" s="33"/>
      <c r="E59" s="33"/>
      <c r="F59" s="33"/>
      <c r="G59" s="33"/>
      <c r="L59" s="33"/>
      <c r="M59" s="33"/>
      <c r="N59" s="33"/>
      <c r="O59" s="33"/>
      <c r="P59" s="33"/>
      <c r="S59" s="33"/>
      <c r="T59" s="33"/>
      <c r="U59" s="33"/>
      <c r="V59" s="33"/>
      <c r="W59" s="33"/>
      <c r="X59" s="33"/>
      <c r="Y59" s="33"/>
      <c r="Z59" s="33"/>
      <c r="AA59" s="33"/>
      <c r="AB59" s="33"/>
    </row>
    <row r="60" spans="1:34" ht="23.1" customHeight="1" x14ac:dyDescent="0.2">
      <c r="T60" s="33"/>
      <c r="U60" s="33"/>
      <c r="V60" s="33"/>
      <c r="W60" s="33"/>
      <c r="X60" s="33"/>
      <c r="Y60" s="33"/>
      <c r="Z60" s="33"/>
      <c r="AA60" s="33"/>
      <c r="AB60" s="33"/>
    </row>
    <row r="61" spans="1:34" ht="23.1" customHeight="1" x14ac:dyDescent="0.2"/>
  </sheetData>
  <mergeCells count="2">
    <mergeCell ref="A18:A20"/>
    <mergeCell ref="A51:B51"/>
  </mergeCells>
  <conditionalFormatting sqref="J55">
    <cfRule type="expression" dxfId="127" priority="11" stopIfTrue="1">
      <formula>#REF!="sobra"</formula>
    </cfRule>
    <cfRule type="expression" dxfId="126" priority="12" stopIfTrue="1">
      <formula>#REF!="Falta"</formula>
    </cfRule>
  </conditionalFormatting>
  <conditionalFormatting sqref="L55 R55">
    <cfRule type="expression" dxfId="125" priority="13" stopIfTrue="1">
      <formula>#REF!="sobra"</formula>
    </cfRule>
    <cfRule type="expression" dxfId="124" priority="14" stopIfTrue="1">
      <formula>#REF!="Falta"</formula>
    </cfRule>
  </conditionalFormatting>
  <conditionalFormatting sqref="T55:U55">
    <cfRule type="expression" dxfId="123" priority="9" stopIfTrue="1">
      <formula>#REF!="sobra"</formula>
    </cfRule>
    <cfRule type="expression" dxfId="122" priority="10" stopIfTrue="1">
      <formula>#REF!="Falta"</formula>
    </cfRule>
  </conditionalFormatting>
  <conditionalFormatting sqref="W55">
    <cfRule type="expression" dxfId="121" priority="7" stopIfTrue="1">
      <formula>#REF!="sobra"</formula>
    </cfRule>
    <cfRule type="expression" dxfId="120" priority="8" stopIfTrue="1">
      <formula>#REF!="Falta"</formula>
    </cfRule>
  </conditionalFormatting>
  <conditionalFormatting sqref="Z55">
    <cfRule type="expression" dxfId="119" priority="3" stopIfTrue="1">
      <formula>#REF!="sobra"</formula>
    </cfRule>
    <cfRule type="expression" dxfId="118" priority="4" stopIfTrue="1">
      <formula>#REF!="Falta"</formula>
    </cfRule>
  </conditionalFormatting>
  <conditionalFormatting sqref="AB55">
    <cfRule type="expression" dxfId="117" priority="1" stopIfTrue="1">
      <formula>#REF!="sobra"</formula>
    </cfRule>
    <cfRule type="expression" dxfId="116" priority="2" stopIfTrue="1">
      <formula>#REF!="Falta"</formula>
    </cfRule>
  </conditionalFormatting>
  <conditionalFormatting sqref="AD13">
    <cfRule type="containsText" dxfId="115" priority="5" stopIfTrue="1" operator="containsText" text="FALTA">
      <formula>NOT(ISERROR(SEARCH("FALTA",AD13)))</formula>
    </cfRule>
    <cfRule type="containsText" dxfId="114" priority="6" stopIfTrue="1" operator="containsText" text="SOBRA">
      <formula>NOT(ISERROR(SEARCH("SOBRA",AD13)))</formula>
    </cfRule>
  </conditionalFormatting>
  <conditionalFormatting sqref="AF13">
    <cfRule type="expression" dxfId="113" priority="15" stopIfTrue="1">
      <formula>#REF!="sobra"</formula>
    </cfRule>
    <cfRule type="expression" dxfId="112" priority="16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AH36"/>
  <sheetViews>
    <sheetView showGridLines="0" zoomScale="60" zoomScaleNormal="60" workbookViewId="0">
      <pane xSplit="1" topLeftCell="B1" activePane="topRight" state="frozen"/>
      <selection pane="topRight" activeCell="L17" sqref="L16:L17"/>
    </sheetView>
  </sheetViews>
  <sheetFormatPr defaultColWidth="9.140625" defaultRowHeight="12.75" x14ac:dyDescent="0.2"/>
  <cols>
    <col min="1" max="1" width="82" style="1" customWidth="1"/>
    <col min="2" max="2" width="27.5703125" style="1" customWidth="1"/>
    <col min="3" max="3" width="10.7109375" style="1" customWidth="1"/>
    <col min="4" max="4" width="11.85546875" style="1" customWidth="1"/>
    <col min="5" max="5" width="10.85546875" style="1" customWidth="1"/>
    <col min="6" max="28" width="10.7109375" style="1" customWidth="1"/>
    <col min="29" max="29" width="33.8554687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381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C26</f>
        <v>0</v>
      </c>
      <c r="D2" s="58">
        <f t="shared" ref="D2:E2" si="0">D26</f>
        <v>0</v>
      </c>
      <c r="E2" s="58">
        <f t="shared" si="0"/>
        <v>0</v>
      </c>
      <c r="F2" s="58">
        <f t="shared" ref="F2:AB2" si="1">F26</f>
        <v>0</v>
      </c>
      <c r="G2" s="58">
        <f t="shared" si="1"/>
        <v>0</v>
      </c>
      <c r="H2" s="58">
        <f t="shared" si="1"/>
        <v>0</v>
      </c>
      <c r="I2" s="58">
        <f t="shared" si="1"/>
        <v>0</v>
      </c>
      <c r="J2" s="58">
        <f t="shared" si="1"/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C26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C26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142" t="s">
        <v>21</v>
      </c>
      <c r="B7" s="87" t="s">
        <v>12</v>
      </c>
      <c r="C7" s="89" t="str">
        <f t="shared" ref="C7:AB7" si="5">C1</f>
        <v>Molho</v>
      </c>
      <c r="D7" s="66" t="str">
        <f t="shared" si="5"/>
        <v>Litros Chantilly</v>
      </c>
      <c r="E7" s="89" t="str">
        <f t="shared" si="5"/>
        <v>Mini Chantilly</v>
      </c>
      <c r="F7" s="66" t="str">
        <f t="shared" si="5"/>
        <v>Tetra</v>
      </c>
      <c r="G7" s="66" t="str">
        <f t="shared" si="5"/>
        <v>Tp Cul.</v>
      </c>
      <c r="H7" s="66" t="str">
        <f t="shared" si="5"/>
        <v>Fresco 250g</v>
      </c>
      <c r="I7" s="67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Jundmel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67" t="str">
        <f t="shared" si="5"/>
        <v>Clara</v>
      </c>
      <c r="AC7" s="68" t="s">
        <v>14</v>
      </c>
      <c r="AD7" s="69" t="s">
        <v>15</v>
      </c>
      <c r="AE7" s="70"/>
      <c r="AF7" s="71"/>
      <c r="AG7" s="71"/>
      <c r="AH7" s="71"/>
    </row>
    <row r="8" spans="1:34" ht="24.95" customHeight="1" x14ac:dyDescent="0.35">
      <c r="A8" s="72" t="s">
        <v>146</v>
      </c>
      <c r="B8" s="94"/>
      <c r="C8" s="73"/>
      <c r="D8" s="73"/>
      <c r="E8" s="7"/>
      <c r="F8" s="7"/>
      <c r="G8" s="7"/>
      <c r="H8" s="6"/>
      <c r="I8" s="7"/>
      <c r="J8" s="7"/>
      <c r="K8" s="7"/>
      <c r="L8" s="6"/>
      <c r="M8" s="7"/>
      <c r="N8" s="6"/>
      <c r="O8" s="7"/>
      <c r="P8" s="7"/>
      <c r="Q8" s="7"/>
      <c r="R8" s="6"/>
      <c r="S8" s="7"/>
      <c r="T8" s="6"/>
      <c r="U8" s="7"/>
      <c r="V8" s="7"/>
      <c r="W8" s="6"/>
      <c r="X8" s="7"/>
      <c r="Y8" s="7"/>
      <c r="Z8" s="6"/>
      <c r="AA8" s="7"/>
      <c r="AB8" s="6"/>
      <c r="AC8" s="98"/>
      <c r="AD8" s="75"/>
      <c r="AE8" s="14"/>
      <c r="AF8" s="34"/>
      <c r="AG8" s="34"/>
      <c r="AH8" s="34"/>
    </row>
    <row r="9" spans="1:34" ht="24.95" customHeight="1" x14ac:dyDescent="0.35">
      <c r="A9" s="5" t="s">
        <v>315</v>
      </c>
      <c r="B9" s="94" t="s">
        <v>388</v>
      </c>
      <c r="C9" s="73"/>
      <c r="D9" s="73"/>
      <c r="E9" s="7"/>
      <c r="F9" s="7"/>
      <c r="G9" s="7"/>
      <c r="H9" s="6"/>
      <c r="I9" s="7"/>
      <c r="J9" s="7"/>
      <c r="K9" s="7"/>
      <c r="L9" s="6"/>
      <c r="M9" s="7"/>
      <c r="N9" s="6"/>
      <c r="O9" s="7"/>
      <c r="P9" s="7"/>
      <c r="Q9" s="7"/>
      <c r="R9" s="6"/>
      <c r="S9" s="7"/>
      <c r="T9" s="6"/>
      <c r="U9" s="7"/>
      <c r="V9" s="7"/>
      <c r="W9" s="6"/>
      <c r="X9" s="7"/>
      <c r="Y9" s="7"/>
      <c r="Z9" s="6"/>
      <c r="AA9" s="7"/>
      <c r="AB9" s="6"/>
      <c r="AC9" s="98"/>
      <c r="AD9" s="75"/>
      <c r="AE9" s="14"/>
      <c r="AF9" s="34"/>
      <c r="AG9" s="34"/>
      <c r="AH9" s="34"/>
    </row>
    <row r="10" spans="1:34" ht="24.95" customHeight="1" x14ac:dyDescent="0.35">
      <c r="A10" s="90" t="s">
        <v>147</v>
      </c>
      <c r="B10" s="94"/>
      <c r="C10" s="91"/>
      <c r="D10" s="91"/>
      <c r="E10" s="11"/>
      <c r="F10" s="11"/>
      <c r="G10" s="11"/>
      <c r="H10" s="10"/>
      <c r="I10" s="11"/>
      <c r="J10" s="11"/>
      <c r="K10" s="11"/>
      <c r="L10" s="10"/>
      <c r="M10" s="11"/>
      <c r="N10" s="10"/>
      <c r="O10" s="11"/>
      <c r="P10" s="11"/>
      <c r="Q10" s="11"/>
      <c r="R10" s="10"/>
      <c r="S10" s="11"/>
      <c r="T10" s="10"/>
      <c r="U10" s="11"/>
      <c r="V10" s="11"/>
      <c r="W10" s="10"/>
      <c r="X10" s="11"/>
      <c r="Y10" s="11"/>
      <c r="Z10" s="10"/>
      <c r="AA10" s="11"/>
      <c r="AB10" s="10"/>
      <c r="AC10" s="98" t="s">
        <v>93</v>
      </c>
      <c r="AD10" s="42"/>
      <c r="AE10" s="14"/>
      <c r="AF10" s="34"/>
      <c r="AG10" s="34"/>
      <c r="AH10" s="34"/>
    </row>
    <row r="11" spans="1:34" ht="41.25" hidden="1" x14ac:dyDescent="0.35">
      <c r="A11" s="115" t="s">
        <v>252</v>
      </c>
      <c r="B11" s="93" t="s">
        <v>44</v>
      </c>
      <c r="C11" s="91"/>
      <c r="D11" s="91"/>
      <c r="E11" s="11"/>
      <c r="F11" s="11"/>
      <c r="G11" s="11"/>
      <c r="H11" s="10"/>
      <c r="I11" s="11"/>
      <c r="J11" s="11"/>
      <c r="K11" s="11"/>
      <c r="L11" s="10"/>
      <c r="M11" s="11"/>
      <c r="N11" s="10"/>
      <c r="O11" s="11"/>
      <c r="P11" s="11"/>
      <c r="Q11" s="11"/>
      <c r="R11" s="10"/>
      <c r="S11" s="11"/>
      <c r="T11" s="10"/>
      <c r="U11" s="11"/>
      <c r="V11" s="11"/>
      <c r="W11" s="10"/>
      <c r="X11" s="11"/>
      <c r="Y11" s="11"/>
      <c r="Z11" s="10"/>
      <c r="AA11" s="11"/>
      <c r="AB11" s="10"/>
      <c r="AC11" s="98"/>
      <c r="AD11" s="42"/>
      <c r="AE11" s="14"/>
      <c r="AF11" s="34"/>
      <c r="AG11" s="34"/>
      <c r="AH11" s="34"/>
    </row>
    <row r="12" spans="1:34" ht="24.95" customHeight="1" x14ac:dyDescent="0.35">
      <c r="A12" s="72" t="s">
        <v>148</v>
      </c>
      <c r="B12" s="93"/>
      <c r="C12" s="91"/>
      <c r="D12" s="91"/>
      <c r="E12" s="11"/>
      <c r="F12" s="11"/>
      <c r="G12" s="11"/>
      <c r="H12" s="10"/>
      <c r="I12" s="11"/>
      <c r="J12" s="11"/>
      <c r="K12" s="11"/>
      <c r="L12" s="10"/>
      <c r="M12" s="11"/>
      <c r="N12" s="10"/>
      <c r="O12" s="11"/>
      <c r="P12" s="11"/>
      <c r="Q12" s="11"/>
      <c r="R12" s="10"/>
      <c r="S12" s="11"/>
      <c r="T12" s="10"/>
      <c r="U12" s="11"/>
      <c r="V12" s="11"/>
      <c r="W12" s="10"/>
      <c r="X12" s="11"/>
      <c r="Y12" s="11"/>
      <c r="Z12" s="10"/>
      <c r="AA12" s="11"/>
      <c r="AB12" s="10"/>
      <c r="AC12" s="98" t="s">
        <v>93</v>
      </c>
      <c r="AD12" s="43"/>
      <c r="AE12" s="12"/>
      <c r="AF12" s="35"/>
      <c r="AG12" s="35"/>
      <c r="AH12" s="35"/>
    </row>
    <row r="13" spans="1:34" ht="41.25" x14ac:dyDescent="0.35">
      <c r="A13" s="119" t="s">
        <v>316</v>
      </c>
      <c r="B13" s="93"/>
      <c r="C13" s="91"/>
      <c r="D13" s="91"/>
      <c r="E13" s="11"/>
      <c r="F13" s="11"/>
      <c r="G13" s="11"/>
      <c r="H13" s="10"/>
      <c r="I13" s="11"/>
      <c r="J13" s="11"/>
      <c r="K13" s="11"/>
      <c r="L13" s="10"/>
      <c r="M13" s="11"/>
      <c r="N13" s="10"/>
      <c r="O13" s="11"/>
      <c r="P13" s="11"/>
      <c r="Q13" s="11"/>
      <c r="R13" s="10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98"/>
      <c r="AD13" s="43"/>
      <c r="AE13" s="12"/>
      <c r="AF13" s="35"/>
      <c r="AG13" s="35"/>
      <c r="AH13" s="35"/>
    </row>
    <row r="14" spans="1:34" ht="24.95" customHeight="1" x14ac:dyDescent="0.35">
      <c r="A14" s="72" t="s">
        <v>149</v>
      </c>
      <c r="B14" s="93"/>
      <c r="C14" s="91"/>
      <c r="D14" s="91"/>
      <c r="E14" s="11"/>
      <c r="F14" s="11"/>
      <c r="G14" s="11"/>
      <c r="H14" s="10"/>
      <c r="I14" s="11"/>
      <c r="J14" s="11"/>
      <c r="K14" s="11"/>
      <c r="L14" s="10"/>
      <c r="M14" s="11"/>
      <c r="N14" s="10"/>
      <c r="O14" s="11"/>
      <c r="P14" s="11"/>
      <c r="Q14" s="11"/>
      <c r="R14" s="10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98" t="s">
        <v>94</v>
      </c>
      <c r="AD14" s="43"/>
      <c r="AE14" s="12"/>
      <c r="AF14" s="35"/>
      <c r="AG14" s="35"/>
      <c r="AH14" s="35"/>
    </row>
    <row r="15" spans="1:34" ht="24.95" customHeight="1" x14ac:dyDescent="0.35">
      <c r="A15" s="72" t="s">
        <v>150</v>
      </c>
      <c r="B15" s="93"/>
      <c r="C15" s="91"/>
      <c r="D15" s="91"/>
      <c r="E15" s="11"/>
      <c r="F15" s="11"/>
      <c r="G15" s="11"/>
      <c r="H15" s="10"/>
      <c r="I15" s="11"/>
      <c r="J15" s="11"/>
      <c r="K15" s="11"/>
      <c r="L15" s="10"/>
      <c r="M15" s="11"/>
      <c r="N15" s="10"/>
      <c r="O15" s="11"/>
      <c r="P15" s="11"/>
      <c r="Q15" s="11"/>
      <c r="R15" s="10"/>
      <c r="S15" s="11"/>
      <c r="T15" s="10"/>
      <c r="U15" s="11"/>
      <c r="V15" s="11"/>
      <c r="W15" s="10"/>
      <c r="X15" s="11"/>
      <c r="Y15" s="11"/>
      <c r="Z15" s="10"/>
      <c r="AA15" s="11"/>
      <c r="AB15" s="10"/>
      <c r="AC15" s="98" t="s">
        <v>94</v>
      </c>
      <c r="AD15" s="44"/>
      <c r="AE15" s="15"/>
      <c r="AF15" s="34"/>
      <c r="AG15" s="34"/>
      <c r="AH15" s="34"/>
    </row>
    <row r="16" spans="1:34" ht="24" customHeight="1" x14ac:dyDescent="0.3">
      <c r="A16" s="72" t="s">
        <v>151</v>
      </c>
      <c r="B16" s="93"/>
      <c r="C16" s="91"/>
      <c r="D16" s="91"/>
      <c r="E16" s="11"/>
      <c r="F16" s="11"/>
      <c r="G16" s="11"/>
      <c r="H16" s="10"/>
      <c r="I16" s="11"/>
      <c r="J16" s="11"/>
      <c r="K16" s="11"/>
      <c r="L16" s="10"/>
      <c r="M16" s="11"/>
      <c r="N16" s="10"/>
      <c r="O16" s="11"/>
      <c r="P16" s="11"/>
      <c r="Q16" s="11"/>
      <c r="R16" s="10"/>
      <c r="S16" s="11"/>
      <c r="T16" s="10"/>
      <c r="U16" s="11"/>
      <c r="V16" s="11"/>
      <c r="W16" s="10"/>
      <c r="X16" s="11"/>
      <c r="Y16" s="11"/>
      <c r="Z16" s="10"/>
      <c r="AA16" s="11"/>
      <c r="AB16" s="10"/>
      <c r="AC16" s="98" t="s">
        <v>93</v>
      </c>
      <c r="AD16" s="45"/>
    </row>
    <row r="17" spans="1:34" ht="27" customHeight="1" x14ac:dyDescent="0.3">
      <c r="A17" s="119" t="s">
        <v>389</v>
      </c>
      <c r="B17" s="93"/>
      <c r="C17" s="91"/>
      <c r="D17" s="91"/>
      <c r="E17" s="11"/>
      <c r="F17" s="11"/>
      <c r="G17" s="11"/>
      <c r="H17" s="10"/>
      <c r="I17" s="11"/>
      <c r="J17" s="11"/>
      <c r="K17" s="11"/>
      <c r="L17" s="10"/>
      <c r="M17" s="11"/>
      <c r="N17" s="10"/>
      <c r="O17" s="11"/>
      <c r="P17" s="11"/>
      <c r="Q17" s="11"/>
      <c r="R17" s="10"/>
      <c r="S17" s="11"/>
      <c r="T17" s="10"/>
      <c r="U17" s="11"/>
      <c r="V17" s="11"/>
      <c r="W17" s="10"/>
      <c r="X17" s="11"/>
      <c r="Y17" s="11"/>
      <c r="Z17" s="10"/>
      <c r="AA17" s="11"/>
      <c r="AB17" s="10"/>
      <c r="AC17" s="98"/>
      <c r="AD17" s="45"/>
    </row>
    <row r="18" spans="1:34" ht="39.75" customHeight="1" x14ac:dyDescent="0.3">
      <c r="A18" s="121" t="s">
        <v>354</v>
      </c>
      <c r="B18" s="93"/>
      <c r="C18" s="91"/>
      <c r="D18" s="91"/>
      <c r="E18" s="11"/>
      <c r="F18" s="11"/>
      <c r="G18" s="11"/>
      <c r="H18" s="10"/>
      <c r="I18" s="11"/>
      <c r="J18" s="11"/>
      <c r="K18" s="11"/>
      <c r="L18" s="10"/>
      <c r="M18" s="11"/>
      <c r="N18" s="10"/>
      <c r="O18" s="11"/>
      <c r="P18" s="11"/>
      <c r="Q18" s="11"/>
      <c r="R18" s="10"/>
      <c r="S18" s="11"/>
      <c r="T18" s="10"/>
      <c r="U18" s="11"/>
      <c r="V18" s="11"/>
      <c r="W18" s="10"/>
      <c r="X18" s="11"/>
      <c r="Y18" s="11"/>
      <c r="Z18" s="10"/>
      <c r="AA18" s="11"/>
      <c r="AB18" s="10"/>
      <c r="AC18" s="98"/>
      <c r="AD18" s="45"/>
    </row>
    <row r="19" spans="1:34" ht="40.5" hidden="1" x14ac:dyDescent="0.3">
      <c r="A19" s="115" t="s">
        <v>282</v>
      </c>
      <c r="B19" s="93"/>
      <c r="C19" s="91"/>
      <c r="D19" s="91"/>
      <c r="E19" s="11"/>
      <c r="F19" s="11"/>
      <c r="G19" s="11"/>
      <c r="H19" s="10"/>
      <c r="I19" s="11"/>
      <c r="J19" s="11"/>
      <c r="K19" s="11"/>
      <c r="L19" s="10"/>
      <c r="M19" s="11"/>
      <c r="N19" s="10"/>
      <c r="O19" s="11"/>
      <c r="P19" s="11"/>
      <c r="Q19" s="11"/>
      <c r="R19" s="10"/>
      <c r="S19" s="11"/>
      <c r="T19" s="10"/>
      <c r="U19" s="11"/>
      <c r="V19" s="11"/>
      <c r="W19" s="10"/>
      <c r="X19" s="11"/>
      <c r="Y19" s="11"/>
      <c r="Z19" s="10"/>
      <c r="AA19" s="11"/>
      <c r="AB19" s="10"/>
      <c r="AC19" s="98"/>
      <c r="AD19" s="45"/>
    </row>
    <row r="20" spans="1:34" ht="40.5" x14ac:dyDescent="0.3">
      <c r="A20" s="115" t="s">
        <v>322</v>
      </c>
      <c r="B20" s="93"/>
      <c r="C20" s="91"/>
      <c r="D20" s="91"/>
      <c r="E20" s="120"/>
      <c r="F20" s="11"/>
      <c r="G20" s="11"/>
      <c r="H20" s="10"/>
      <c r="I20" s="11"/>
      <c r="J20" s="11"/>
      <c r="K20" s="11"/>
      <c r="L20" s="10"/>
      <c r="M20" s="11"/>
      <c r="N20" s="10"/>
      <c r="O20" s="11"/>
      <c r="P20" s="11"/>
      <c r="Q20" s="11"/>
      <c r="R20" s="10"/>
      <c r="S20" s="11"/>
      <c r="T20" s="10"/>
      <c r="U20" s="11"/>
      <c r="V20" s="11"/>
      <c r="W20" s="10"/>
      <c r="X20" s="11"/>
      <c r="Y20" s="11"/>
      <c r="Z20" s="10"/>
      <c r="AA20" s="11"/>
      <c r="AB20" s="10"/>
      <c r="AC20" s="40"/>
      <c r="AD20" s="46"/>
      <c r="AE20" s="13"/>
      <c r="AF20" s="36"/>
      <c r="AG20" s="36"/>
      <c r="AH20" s="36"/>
    </row>
    <row r="21" spans="1:34" ht="24.95" customHeight="1" x14ac:dyDescent="0.3">
      <c r="A21" s="138"/>
      <c r="B21" s="93"/>
      <c r="C21" s="91"/>
      <c r="D21" s="91"/>
      <c r="E21" s="11"/>
      <c r="F21" s="11"/>
      <c r="G21" s="11"/>
      <c r="H21" s="10"/>
      <c r="I21" s="11"/>
      <c r="J21" s="11"/>
      <c r="K21" s="11"/>
      <c r="L21" s="10"/>
      <c r="M21" s="11"/>
      <c r="N21" s="10"/>
      <c r="O21" s="11"/>
      <c r="P21" s="11"/>
      <c r="Q21" s="11"/>
      <c r="R21" s="10"/>
      <c r="S21" s="11"/>
      <c r="T21" s="10"/>
      <c r="U21" s="11"/>
      <c r="V21" s="11"/>
      <c r="W21" s="10"/>
      <c r="X21" s="11"/>
      <c r="Y21" s="11"/>
      <c r="Z21" s="10"/>
      <c r="AA21" s="11"/>
      <c r="AB21" s="10"/>
      <c r="AC21" s="40"/>
      <c r="AD21" s="45"/>
    </row>
    <row r="22" spans="1:34" ht="23.25" x14ac:dyDescent="0.35">
      <c r="A22" s="119"/>
      <c r="B22" s="93"/>
      <c r="C22" s="91"/>
      <c r="D22" s="91"/>
      <c r="E22" s="137"/>
      <c r="F22" s="11"/>
      <c r="G22" s="11"/>
      <c r="H22" s="10"/>
      <c r="I22" s="11"/>
      <c r="J22" s="11"/>
      <c r="K22" s="11"/>
      <c r="L22" s="10"/>
      <c r="M22" s="11"/>
      <c r="N22" s="10"/>
      <c r="O22" s="11"/>
      <c r="P22" s="11"/>
      <c r="Q22" s="11"/>
      <c r="R22" s="10"/>
      <c r="S22" s="11"/>
      <c r="T22" s="10"/>
      <c r="U22" s="11"/>
      <c r="V22" s="11"/>
      <c r="W22" s="10"/>
      <c r="X22" s="11"/>
      <c r="Y22" s="11"/>
      <c r="Z22" s="10"/>
      <c r="AA22" s="11"/>
      <c r="AB22" s="10"/>
      <c r="AC22" s="40"/>
      <c r="AD22" s="42"/>
      <c r="AE22" s="14"/>
      <c r="AF22" s="37"/>
      <c r="AG22" s="37"/>
      <c r="AH22" s="37"/>
    </row>
    <row r="23" spans="1:34" ht="24.95" customHeight="1" x14ac:dyDescent="0.35">
      <c r="A23" s="72" t="s">
        <v>101</v>
      </c>
      <c r="B23" s="93"/>
      <c r="C23" s="91"/>
      <c r="D23" s="91"/>
      <c r="E23" s="11"/>
      <c r="F23" s="11"/>
      <c r="G23" s="11"/>
      <c r="H23" s="10"/>
      <c r="I23" s="11"/>
      <c r="J23" s="11"/>
      <c r="K23" s="11"/>
      <c r="L23" s="10"/>
      <c r="M23" s="11"/>
      <c r="N23" s="10"/>
      <c r="O23" s="11"/>
      <c r="P23" s="11"/>
      <c r="Q23" s="11"/>
      <c r="R23" s="10"/>
      <c r="S23" s="11"/>
      <c r="T23" s="10"/>
      <c r="U23" s="11"/>
      <c r="V23" s="11"/>
      <c r="W23" s="10"/>
      <c r="X23" s="11"/>
      <c r="Y23" s="11"/>
      <c r="Z23" s="10"/>
      <c r="AA23" s="11"/>
      <c r="AB23" s="10"/>
      <c r="AC23" s="40"/>
      <c r="AD23" s="47"/>
      <c r="AE23" s="4"/>
      <c r="AF23" s="37"/>
      <c r="AG23" s="37"/>
      <c r="AH23" s="37"/>
    </row>
    <row r="24" spans="1:34" ht="24.95" customHeight="1" x14ac:dyDescent="0.35">
      <c r="A24" s="72" t="s">
        <v>102</v>
      </c>
      <c r="B24" s="93"/>
      <c r="C24" s="91"/>
      <c r="D24" s="91"/>
      <c r="E24" s="11"/>
      <c r="F24" s="11"/>
      <c r="G24" s="11"/>
      <c r="H24" s="10"/>
      <c r="I24" s="11"/>
      <c r="J24" s="11"/>
      <c r="K24" s="11"/>
      <c r="L24" s="10"/>
      <c r="M24" s="11"/>
      <c r="N24" s="10"/>
      <c r="O24" s="11"/>
      <c r="P24" s="11"/>
      <c r="Q24" s="11"/>
      <c r="R24" s="10"/>
      <c r="S24" s="11"/>
      <c r="T24" s="10"/>
      <c r="U24" s="11"/>
      <c r="V24" s="11"/>
      <c r="W24" s="10"/>
      <c r="X24" s="11"/>
      <c r="Y24" s="11"/>
      <c r="Z24" s="10"/>
      <c r="AA24" s="11"/>
      <c r="AB24" s="10"/>
      <c r="AC24" s="40"/>
      <c r="AD24" s="42"/>
      <c r="AE24" s="15"/>
      <c r="AF24" s="34"/>
      <c r="AG24" s="34"/>
      <c r="AH24" s="34"/>
    </row>
    <row r="25" spans="1:34" ht="24.95" customHeight="1" thickBot="1" x14ac:dyDescent="0.35">
      <c r="A25" s="5" t="s">
        <v>103</v>
      </c>
      <c r="B25" s="93"/>
      <c r="C25" s="9"/>
      <c r="D25" s="91"/>
      <c r="E25" s="11"/>
      <c r="F25" s="11"/>
      <c r="G25" s="11"/>
      <c r="H25" s="10"/>
      <c r="I25" s="11"/>
      <c r="J25" s="11"/>
      <c r="K25" s="11"/>
      <c r="L25" s="10"/>
      <c r="M25" s="11"/>
      <c r="N25" s="10"/>
      <c r="O25" s="11"/>
      <c r="P25" s="11"/>
      <c r="Q25" s="11"/>
      <c r="R25" s="10"/>
      <c r="S25" s="11"/>
      <c r="T25" s="10"/>
      <c r="U25" s="11"/>
      <c r="V25" s="11"/>
      <c r="W25" s="10"/>
      <c r="X25" s="11"/>
      <c r="Y25" s="11"/>
      <c r="Z25" s="10"/>
      <c r="AA25" s="11"/>
      <c r="AB25" s="10"/>
      <c r="AC25" s="40"/>
      <c r="AD25" s="48"/>
      <c r="AE25" s="38"/>
      <c r="AF25" s="38"/>
      <c r="AG25" s="38"/>
      <c r="AH25" s="38"/>
    </row>
    <row r="26" spans="1:34" ht="24.95" customHeight="1" thickBot="1" x14ac:dyDescent="0.35">
      <c r="A26" s="182" t="s">
        <v>13</v>
      </c>
      <c r="B26" s="183"/>
      <c r="C26" s="18">
        <f t="shared" ref="C26:AB26" si="6">SUM(C8:C25)</f>
        <v>0</v>
      </c>
      <c r="D26" s="18">
        <f t="shared" si="6"/>
        <v>0</v>
      </c>
      <c r="E26" s="18">
        <f t="shared" si="6"/>
        <v>0</v>
      </c>
      <c r="F26" s="18">
        <f t="shared" si="6"/>
        <v>0</v>
      </c>
      <c r="G26" s="18">
        <f t="shared" si="6"/>
        <v>0</v>
      </c>
      <c r="H26" s="19">
        <f t="shared" si="6"/>
        <v>0</v>
      </c>
      <c r="I26" s="19">
        <f t="shared" si="6"/>
        <v>0</v>
      </c>
      <c r="J26" s="19">
        <f t="shared" si="6"/>
        <v>0</v>
      </c>
      <c r="K26" s="19">
        <f t="shared" si="6"/>
        <v>0</v>
      </c>
      <c r="L26" s="19">
        <f t="shared" si="6"/>
        <v>0</v>
      </c>
      <c r="M26" s="19">
        <f t="shared" si="6"/>
        <v>0</v>
      </c>
      <c r="N26" s="19">
        <f t="shared" si="6"/>
        <v>0</v>
      </c>
      <c r="O26" s="19">
        <f t="shared" si="6"/>
        <v>0</v>
      </c>
      <c r="P26" s="19">
        <f t="shared" si="6"/>
        <v>0</v>
      </c>
      <c r="Q26" s="19">
        <f t="shared" si="6"/>
        <v>0</v>
      </c>
      <c r="R26" s="19">
        <f t="shared" si="6"/>
        <v>0</v>
      </c>
      <c r="S26" s="19">
        <f t="shared" si="6"/>
        <v>0</v>
      </c>
      <c r="T26" s="19">
        <f t="shared" si="6"/>
        <v>0</v>
      </c>
      <c r="U26" s="19">
        <f t="shared" si="6"/>
        <v>0</v>
      </c>
      <c r="V26" s="19">
        <f t="shared" si="6"/>
        <v>0</v>
      </c>
      <c r="W26" s="19">
        <f t="shared" si="6"/>
        <v>0</v>
      </c>
      <c r="X26" s="19">
        <f t="shared" si="6"/>
        <v>0</v>
      </c>
      <c r="Y26" s="19">
        <f t="shared" si="6"/>
        <v>0</v>
      </c>
      <c r="Z26" s="19">
        <f t="shared" si="6"/>
        <v>0</v>
      </c>
      <c r="AA26" s="20">
        <f t="shared" si="6"/>
        <v>0</v>
      </c>
      <c r="AB26" s="20">
        <f t="shared" si="6"/>
        <v>0</v>
      </c>
    </row>
    <row r="27" spans="1:34" s="23" customFormat="1" ht="24.95" customHeight="1" x14ac:dyDescent="0.25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</row>
    <row r="28" spans="1:34" s="23" customFormat="1" ht="24.95" customHeight="1" x14ac:dyDescent="0.25">
      <c r="J28" s="24"/>
      <c r="K28" s="24"/>
      <c r="L28" s="24"/>
      <c r="M28" s="25"/>
      <c r="N28" s="26"/>
      <c r="O28" s="27"/>
      <c r="R28" s="24"/>
      <c r="S28" s="24"/>
      <c r="T28" s="24"/>
      <c r="U28" s="24"/>
      <c r="V28" s="24"/>
      <c r="W28" s="24"/>
      <c r="X28" s="28"/>
      <c r="Y28" s="24"/>
      <c r="Z28" s="24"/>
      <c r="AA28" s="28"/>
      <c r="AB28" s="24"/>
    </row>
    <row r="29" spans="1:34" s="23" customFormat="1" ht="24.95" customHeight="1" x14ac:dyDescent="0.25">
      <c r="J29" s="24"/>
      <c r="M29" s="25"/>
      <c r="N29" s="26"/>
      <c r="O29" s="27"/>
      <c r="R29" s="24"/>
      <c r="U29" s="24"/>
      <c r="X29" s="28"/>
      <c r="AA29" s="28"/>
    </row>
    <row r="30" spans="1:34" s="23" customFormat="1" ht="24.95" customHeight="1" x14ac:dyDescent="0.25">
      <c r="J30" s="24"/>
      <c r="K30" s="24"/>
      <c r="L30" s="24"/>
      <c r="M30" s="29"/>
      <c r="N30" s="30"/>
      <c r="O30" s="29"/>
      <c r="R30" s="24"/>
      <c r="S30" s="24"/>
      <c r="T30" s="24"/>
      <c r="U30" s="24"/>
      <c r="V30" s="24"/>
      <c r="W30" s="24"/>
      <c r="X30" s="16"/>
      <c r="Y30" s="24"/>
      <c r="Z30" s="24"/>
      <c r="AA30" s="16"/>
      <c r="AB30" s="24"/>
    </row>
    <row r="31" spans="1:34" s="23" customFormat="1" ht="23.1" customHeight="1" x14ac:dyDescent="0.25">
      <c r="F31" s="16"/>
      <c r="G31" s="16"/>
      <c r="H31" s="16"/>
      <c r="I31" s="16"/>
      <c r="J31" s="24"/>
      <c r="K31" s="16"/>
      <c r="L31" s="16"/>
      <c r="M31" s="31"/>
      <c r="N31" s="31"/>
      <c r="O31" s="31"/>
      <c r="P31" s="16"/>
      <c r="Q31" s="16"/>
      <c r="R31" s="24"/>
      <c r="S31" s="16"/>
      <c r="T31" s="16"/>
      <c r="U31" s="24"/>
      <c r="V31" s="16"/>
      <c r="W31" s="16"/>
      <c r="X31" s="32"/>
      <c r="Y31" s="16"/>
      <c r="Z31" s="16"/>
      <c r="AA31" s="32"/>
      <c r="AB31" s="16"/>
    </row>
    <row r="32" spans="1:34" ht="23.1" customHeight="1" x14ac:dyDescent="0.2">
      <c r="A32" s="23"/>
      <c r="B32" s="23"/>
      <c r="C32" s="23"/>
      <c r="D32" s="23"/>
      <c r="E32" s="23"/>
      <c r="F32" s="23"/>
      <c r="G32" s="23"/>
      <c r="H32" s="23"/>
      <c r="I32" s="23"/>
      <c r="J32" s="16"/>
      <c r="K32" s="23"/>
      <c r="L32" s="23"/>
      <c r="M32" s="16"/>
      <c r="N32" s="16"/>
      <c r="O32" s="16"/>
      <c r="P32" s="23"/>
      <c r="Q32" s="23"/>
      <c r="R32" s="16"/>
      <c r="S32" s="23"/>
      <c r="T32" s="23"/>
      <c r="U32" s="16"/>
      <c r="V32" s="23"/>
      <c r="W32" s="23"/>
      <c r="X32" s="16"/>
      <c r="Y32" s="23"/>
      <c r="Z32" s="23"/>
      <c r="AA32" s="16"/>
      <c r="AB32" s="23"/>
      <c r="AC32" s="23"/>
      <c r="AD32" s="23"/>
      <c r="AE32" s="23"/>
      <c r="AF32" s="23"/>
      <c r="AG32" s="23"/>
      <c r="AH32" s="23"/>
    </row>
    <row r="33" spans="1:28" ht="23.1" customHeight="1" x14ac:dyDescent="0.2">
      <c r="K33" s="33"/>
      <c r="L33" s="33"/>
      <c r="M33" s="33"/>
      <c r="N33" s="33"/>
      <c r="O33" s="33"/>
      <c r="P33" s="33"/>
      <c r="S33" s="33"/>
      <c r="T33" s="33"/>
      <c r="U33" s="33"/>
      <c r="V33" s="33"/>
      <c r="W33" s="33"/>
      <c r="X33" s="33"/>
      <c r="Y33" s="33"/>
      <c r="Z33" s="33"/>
      <c r="AA33" s="33"/>
      <c r="AB33" s="33"/>
    </row>
    <row r="34" spans="1:28" ht="23.1" customHeight="1" x14ac:dyDescent="0.2">
      <c r="A34" s="33"/>
      <c r="B34" s="33"/>
      <c r="C34" s="33"/>
      <c r="D34" s="33"/>
      <c r="E34" s="33"/>
      <c r="F34" s="33"/>
      <c r="G34" s="33"/>
      <c r="L34" s="33"/>
      <c r="M34" s="33"/>
      <c r="N34" s="33"/>
      <c r="O34" s="33"/>
      <c r="P34" s="33"/>
      <c r="S34" s="33"/>
      <c r="T34" s="33"/>
      <c r="U34" s="33"/>
      <c r="V34" s="33"/>
      <c r="W34" s="33"/>
      <c r="X34" s="33"/>
      <c r="Y34" s="33"/>
      <c r="Z34" s="33"/>
      <c r="AA34" s="33"/>
      <c r="AB34" s="33"/>
    </row>
    <row r="35" spans="1:28" ht="23.1" customHeight="1" x14ac:dyDescent="0.2">
      <c r="T35" s="33"/>
      <c r="U35" s="33"/>
      <c r="V35" s="33"/>
      <c r="W35" s="33"/>
      <c r="X35" s="33"/>
      <c r="Y35" s="33"/>
      <c r="Z35" s="33"/>
      <c r="AA35" s="33"/>
      <c r="AB35" s="33"/>
    </row>
    <row r="36" spans="1:28" ht="23.1" customHeight="1" x14ac:dyDescent="0.2"/>
  </sheetData>
  <mergeCells count="1">
    <mergeCell ref="A26:B26"/>
  </mergeCells>
  <conditionalFormatting sqref="J30">
    <cfRule type="expression" dxfId="111" priority="13" stopIfTrue="1">
      <formula>#REF!="sobra"</formula>
    </cfRule>
    <cfRule type="expression" dxfId="110" priority="14" stopIfTrue="1">
      <formula>#REF!="Falta"</formula>
    </cfRule>
  </conditionalFormatting>
  <conditionalFormatting sqref="L30 R30">
    <cfRule type="expression" dxfId="109" priority="15" stopIfTrue="1">
      <formula>#REF!="sobra"</formula>
    </cfRule>
    <cfRule type="expression" dxfId="108" priority="16" stopIfTrue="1">
      <formula>#REF!="Falta"</formula>
    </cfRule>
  </conditionalFormatting>
  <conditionalFormatting sqref="T30:U30">
    <cfRule type="expression" dxfId="107" priority="11" stopIfTrue="1">
      <formula>#REF!="sobra"</formula>
    </cfRule>
    <cfRule type="expression" dxfId="106" priority="12" stopIfTrue="1">
      <formula>#REF!="Falta"</formula>
    </cfRule>
  </conditionalFormatting>
  <conditionalFormatting sqref="W30">
    <cfRule type="expression" dxfId="105" priority="9" stopIfTrue="1">
      <formula>#REF!="sobra"</formula>
    </cfRule>
    <cfRule type="expression" dxfId="104" priority="10" stopIfTrue="1">
      <formula>#REF!="Falta"</formula>
    </cfRule>
  </conditionalFormatting>
  <conditionalFormatting sqref="Z30">
    <cfRule type="expression" dxfId="103" priority="3" stopIfTrue="1">
      <formula>#REF!="sobra"</formula>
    </cfRule>
    <cfRule type="expression" dxfId="102" priority="4" stopIfTrue="1">
      <formula>#REF!="Falta"</formula>
    </cfRule>
  </conditionalFormatting>
  <conditionalFormatting sqref="AB30">
    <cfRule type="expression" dxfId="101" priority="1" stopIfTrue="1">
      <formula>#REF!="sobra"</formula>
    </cfRule>
    <cfRule type="expression" dxfId="100" priority="2" stopIfTrue="1">
      <formula>#REF!="Falta"</formula>
    </cfRule>
  </conditionalFormatting>
  <conditionalFormatting sqref="AD20">
    <cfRule type="containsText" dxfId="99" priority="5" stopIfTrue="1" operator="containsText" text="FALTA">
      <formula>NOT(ISERROR(SEARCH("FALTA",AD20)))</formula>
    </cfRule>
    <cfRule type="containsText" dxfId="98" priority="6" stopIfTrue="1" operator="containsText" text="SOBRA">
      <formula>NOT(ISERROR(SEARCH("SOBRA",AD20)))</formula>
    </cfRule>
  </conditionalFormatting>
  <conditionalFormatting sqref="AF20">
    <cfRule type="expression" dxfId="97" priority="33" stopIfTrue="1">
      <formula>$AE$23="sobra"</formula>
    </cfRule>
    <cfRule type="expression" dxfId="96" priority="34" stopIfTrue="1">
      <formula>$AE$23="Falta"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AH48"/>
  <sheetViews>
    <sheetView showGridLines="0" zoomScale="60" zoomScaleNormal="60" workbookViewId="0">
      <pane xSplit="1" topLeftCell="B1" activePane="topRight" state="frozen"/>
      <selection pane="topRight" activeCell="G17" sqref="G17"/>
    </sheetView>
  </sheetViews>
  <sheetFormatPr defaultColWidth="9.140625" defaultRowHeight="12.75" x14ac:dyDescent="0.2"/>
  <cols>
    <col min="1" max="1" width="51.5703125" style="1" customWidth="1"/>
    <col min="2" max="2" width="16.85546875" style="1" customWidth="1"/>
    <col min="3" max="28" width="10.7109375" style="1" customWidth="1"/>
    <col min="29" max="29" width="63.4257812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16</v>
      </c>
      <c r="C1" s="53" t="s">
        <v>217</v>
      </c>
      <c r="D1" s="53" t="s">
        <v>194</v>
      </c>
      <c r="E1" s="53" t="s">
        <v>195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59" t="s">
        <v>9</v>
      </c>
      <c r="C2" s="78">
        <v>0</v>
      </c>
      <c r="D2" s="78">
        <f t="shared" ref="D2:E2" si="0">D40</f>
        <v>0</v>
      </c>
      <c r="E2" s="78">
        <f t="shared" si="0"/>
        <v>0</v>
      </c>
      <c r="F2" s="78">
        <v>0</v>
      </c>
      <c r="G2" s="78"/>
      <c r="H2" s="78">
        <v>0</v>
      </c>
      <c r="I2" s="78">
        <v>0</v>
      </c>
      <c r="J2" s="78">
        <v>0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</row>
    <row r="3" spans="1:34" ht="24.95" customHeight="1" x14ac:dyDescent="0.3">
      <c r="A3" s="2"/>
      <c r="B3" s="59" t="s">
        <v>10</v>
      </c>
      <c r="C3" s="60">
        <f t="shared" ref="C3:AB3" si="1">C2-C4</f>
        <v>0</v>
      </c>
      <c r="D3" s="60"/>
      <c r="E3" s="60"/>
      <c r="F3" s="60">
        <f t="shared" si="1"/>
        <v>0</v>
      </c>
      <c r="G3" s="60"/>
      <c r="H3" s="60">
        <f t="shared" si="1"/>
        <v>0</v>
      </c>
      <c r="I3" s="60">
        <f t="shared" si="1"/>
        <v>0</v>
      </c>
      <c r="J3" s="60">
        <f t="shared" si="1"/>
        <v>0</v>
      </c>
      <c r="K3" s="60">
        <f t="shared" si="1"/>
        <v>0</v>
      </c>
      <c r="L3" s="60">
        <f t="shared" si="1"/>
        <v>0</v>
      </c>
      <c r="M3" s="60">
        <f t="shared" si="1"/>
        <v>0</v>
      </c>
      <c r="N3" s="60">
        <f t="shared" si="1"/>
        <v>0</v>
      </c>
      <c r="O3" s="60">
        <f t="shared" si="1"/>
        <v>0</v>
      </c>
      <c r="P3" s="60">
        <f t="shared" si="1"/>
        <v>0</v>
      </c>
      <c r="Q3" s="60">
        <f t="shared" si="1"/>
        <v>0</v>
      </c>
      <c r="R3" s="60">
        <f t="shared" si="1"/>
        <v>0</v>
      </c>
      <c r="S3" s="60">
        <f t="shared" si="1"/>
        <v>0</v>
      </c>
      <c r="T3" s="60">
        <f t="shared" si="1"/>
        <v>0</v>
      </c>
      <c r="U3" s="60">
        <f t="shared" si="1"/>
        <v>0</v>
      </c>
      <c r="V3" s="60">
        <f t="shared" si="1"/>
        <v>0</v>
      </c>
      <c r="W3" s="60">
        <f t="shared" si="1"/>
        <v>0</v>
      </c>
      <c r="X3" s="60">
        <f t="shared" si="1"/>
        <v>0</v>
      </c>
      <c r="Y3" s="60">
        <f t="shared" si="1"/>
        <v>0</v>
      </c>
      <c r="Z3" s="60">
        <f t="shared" si="1"/>
        <v>0</v>
      </c>
      <c r="AA3" s="60">
        <f t="shared" si="1"/>
        <v>0</v>
      </c>
      <c r="AB3" s="60">
        <f t="shared" si="1"/>
        <v>0</v>
      </c>
    </row>
    <row r="4" spans="1:34" ht="24.95" customHeight="1" x14ac:dyDescent="0.3">
      <c r="A4" s="61"/>
      <c r="B4" s="76" t="s">
        <v>22</v>
      </c>
      <c r="C4" s="77">
        <f t="shared" ref="C4:AB4" si="2">C38</f>
        <v>0</v>
      </c>
      <c r="D4" s="77">
        <f t="shared" si="2"/>
        <v>0</v>
      </c>
      <c r="E4" s="77">
        <f t="shared" si="2"/>
        <v>0</v>
      </c>
      <c r="F4" s="77">
        <f t="shared" si="2"/>
        <v>0</v>
      </c>
      <c r="G4" s="77">
        <f t="shared" si="2"/>
        <v>0</v>
      </c>
      <c r="H4" s="77">
        <f t="shared" si="2"/>
        <v>0</v>
      </c>
      <c r="I4" s="77">
        <f t="shared" si="2"/>
        <v>0</v>
      </c>
      <c r="J4" s="77">
        <f t="shared" si="2"/>
        <v>0</v>
      </c>
      <c r="K4" s="77">
        <f t="shared" si="2"/>
        <v>0</v>
      </c>
      <c r="L4" s="77">
        <f t="shared" si="2"/>
        <v>0</v>
      </c>
      <c r="M4" s="77">
        <f t="shared" si="2"/>
        <v>0</v>
      </c>
      <c r="N4" s="77">
        <f t="shared" si="2"/>
        <v>0</v>
      </c>
      <c r="O4" s="77">
        <f t="shared" si="2"/>
        <v>0</v>
      </c>
      <c r="P4" s="77">
        <f t="shared" si="2"/>
        <v>0</v>
      </c>
      <c r="Q4" s="77">
        <f t="shared" si="2"/>
        <v>0</v>
      </c>
      <c r="R4" s="77">
        <f t="shared" si="2"/>
        <v>0</v>
      </c>
      <c r="S4" s="77">
        <f t="shared" si="2"/>
        <v>0</v>
      </c>
      <c r="T4" s="77">
        <f t="shared" si="2"/>
        <v>0</v>
      </c>
      <c r="U4" s="77">
        <f t="shared" si="2"/>
        <v>0</v>
      </c>
      <c r="V4" s="77">
        <f t="shared" si="2"/>
        <v>0</v>
      </c>
      <c r="W4" s="77">
        <f t="shared" si="2"/>
        <v>0</v>
      </c>
      <c r="X4" s="77">
        <f t="shared" si="2"/>
        <v>0</v>
      </c>
      <c r="Y4" s="77">
        <f t="shared" si="2"/>
        <v>0</v>
      </c>
      <c r="Z4" s="77">
        <f t="shared" si="2"/>
        <v>0</v>
      </c>
      <c r="AA4" s="77">
        <f t="shared" si="2"/>
        <v>0</v>
      </c>
      <c r="AB4" s="77">
        <f t="shared" si="2"/>
        <v>0</v>
      </c>
    </row>
    <row r="5" spans="1:34" ht="24.95" customHeight="1" x14ac:dyDescent="0.3">
      <c r="A5" s="61"/>
      <c r="B5" s="59" t="s">
        <v>11</v>
      </c>
      <c r="C5" s="60">
        <f t="shared" ref="C5:AB5" si="3">C38</f>
        <v>0</v>
      </c>
      <c r="D5" s="60"/>
      <c r="E5" s="60"/>
      <c r="F5" s="60">
        <f t="shared" si="3"/>
        <v>0</v>
      </c>
      <c r="G5" s="60"/>
      <c r="H5" s="60">
        <f t="shared" si="3"/>
        <v>0</v>
      </c>
      <c r="I5" s="60">
        <f t="shared" si="3"/>
        <v>0</v>
      </c>
      <c r="J5" s="60">
        <f t="shared" si="3"/>
        <v>0</v>
      </c>
      <c r="K5" s="60">
        <f t="shared" si="3"/>
        <v>0</v>
      </c>
      <c r="L5" s="60">
        <f t="shared" si="3"/>
        <v>0</v>
      </c>
      <c r="M5" s="60">
        <f t="shared" si="3"/>
        <v>0</v>
      </c>
      <c r="N5" s="60">
        <f t="shared" si="3"/>
        <v>0</v>
      </c>
      <c r="O5" s="60">
        <f t="shared" si="3"/>
        <v>0</v>
      </c>
      <c r="P5" s="60">
        <f t="shared" si="3"/>
        <v>0</v>
      </c>
      <c r="Q5" s="60">
        <f t="shared" si="3"/>
        <v>0</v>
      </c>
      <c r="R5" s="60">
        <f t="shared" si="3"/>
        <v>0</v>
      </c>
      <c r="S5" s="60">
        <f t="shared" si="3"/>
        <v>0</v>
      </c>
      <c r="T5" s="60">
        <f t="shared" si="3"/>
        <v>0</v>
      </c>
      <c r="U5" s="60">
        <f t="shared" si="3"/>
        <v>0</v>
      </c>
      <c r="V5" s="60">
        <f t="shared" si="3"/>
        <v>0</v>
      </c>
      <c r="W5" s="60">
        <f t="shared" si="3"/>
        <v>0</v>
      </c>
      <c r="X5" s="60">
        <f t="shared" si="3"/>
        <v>0</v>
      </c>
      <c r="Y5" s="60">
        <f t="shared" si="3"/>
        <v>0</v>
      </c>
      <c r="Z5" s="60">
        <f t="shared" si="3"/>
        <v>0</v>
      </c>
      <c r="AA5" s="60">
        <f t="shared" si="3"/>
        <v>0</v>
      </c>
      <c r="AB5" s="60">
        <f t="shared" si="3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88" t="s">
        <v>21</v>
      </c>
      <c r="B7" s="87" t="s">
        <v>12</v>
      </c>
      <c r="C7" s="89" t="str">
        <f t="shared" ref="C7:AB7" si="4">C1</f>
        <v>Molho</v>
      </c>
      <c r="D7" s="66" t="str">
        <f t="shared" si="4"/>
        <v>Litro chantilly</v>
      </c>
      <c r="E7" s="66" t="str">
        <f t="shared" si="4"/>
        <v>Mini chantilly</v>
      </c>
      <c r="F7" s="66" t="str">
        <f t="shared" si="4"/>
        <v>Tetra</v>
      </c>
      <c r="G7" s="66" t="str">
        <f t="shared" si="4"/>
        <v>Tp Cul.</v>
      </c>
      <c r="H7" s="66" t="str">
        <f t="shared" si="4"/>
        <v>Fresco 250g</v>
      </c>
      <c r="I7" s="67" t="str">
        <f t="shared" si="4"/>
        <v>Fresco 500g</v>
      </c>
      <c r="J7" s="67" t="str">
        <f t="shared" si="4"/>
        <v>Fresco 1kg</v>
      </c>
      <c r="K7" s="67" t="str">
        <f t="shared" si="4"/>
        <v>Seco Fino</v>
      </c>
      <c r="L7" s="67" t="str">
        <f t="shared" si="4"/>
        <v>Seco Flocos</v>
      </c>
      <c r="M7" s="67" t="str">
        <f t="shared" si="4"/>
        <v>Marsh 500g</v>
      </c>
      <c r="N7" s="67" t="str">
        <f t="shared" si="4"/>
        <v>Marsh 1kg</v>
      </c>
      <c r="O7" s="67" t="str">
        <f t="shared" si="4"/>
        <v>Massa 1kg</v>
      </c>
      <c r="P7" s="67" t="str">
        <f t="shared" si="4"/>
        <v>Massa 2.2kg</v>
      </c>
      <c r="Q7" s="67" t="str">
        <f t="shared" si="4"/>
        <v>Semi-Folhada 2kg</v>
      </c>
      <c r="R7" s="67" t="str">
        <f t="shared" si="4"/>
        <v>Brig PT 1kg</v>
      </c>
      <c r="S7" s="67" t="str">
        <f t="shared" si="4"/>
        <v>Beij PT 1kg</v>
      </c>
      <c r="T7" s="67" t="str">
        <f t="shared" si="4"/>
        <v>Brig PT 2kg</v>
      </c>
      <c r="U7" s="67" t="str">
        <f t="shared" si="4"/>
        <v>Beij PT 2kg</v>
      </c>
      <c r="V7" s="67" t="str">
        <f t="shared" si="4"/>
        <v>Brig Cl 1kg</v>
      </c>
      <c r="W7" s="67" t="str">
        <f t="shared" si="4"/>
        <v>Beij Cl 1kg</v>
      </c>
      <c r="X7" s="67" t="str">
        <f t="shared" si="4"/>
        <v>Jundmel</v>
      </c>
      <c r="Y7" s="67" t="str">
        <f t="shared" si="4"/>
        <v>Pão de Queijo</v>
      </c>
      <c r="Z7" s="67" t="str">
        <f t="shared" si="4"/>
        <v>Ovo</v>
      </c>
      <c r="AA7" s="67" t="str">
        <f t="shared" si="4"/>
        <v>Gema</v>
      </c>
      <c r="AB7" s="67" t="str">
        <f t="shared" si="4"/>
        <v>Clara</v>
      </c>
      <c r="AC7" s="68" t="s">
        <v>14</v>
      </c>
      <c r="AD7" s="69" t="s">
        <v>15</v>
      </c>
      <c r="AE7" s="70"/>
      <c r="AF7" s="71"/>
      <c r="AG7" s="71"/>
      <c r="AH7" s="71"/>
    </row>
    <row r="8" spans="1:34" ht="24.95" hidden="1" customHeight="1" x14ac:dyDescent="0.35">
      <c r="A8" s="97" t="s">
        <v>215</v>
      </c>
      <c r="B8" s="114"/>
      <c r="C8" s="104"/>
      <c r="D8" s="104"/>
      <c r="E8" s="105"/>
      <c r="F8" s="105"/>
      <c r="G8" s="105"/>
      <c r="H8" s="105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7"/>
      <c r="AC8" s="134"/>
      <c r="AD8" s="41"/>
      <c r="AE8" s="14"/>
      <c r="AF8" s="34"/>
      <c r="AG8" s="34"/>
      <c r="AH8" s="34"/>
    </row>
    <row r="9" spans="1:34" ht="24.95" hidden="1" customHeight="1" x14ac:dyDescent="0.35">
      <c r="A9" s="97" t="s">
        <v>96</v>
      </c>
      <c r="B9" s="114"/>
      <c r="C9" s="104"/>
      <c r="D9" s="104"/>
      <c r="E9" s="105"/>
      <c r="F9" s="105"/>
      <c r="G9" s="105"/>
      <c r="H9" s="105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  <c r="AA9" s="106"/>
      <c r="AB9" s="107"/>
      <c r="AC9" s="134"/>
      <c r="AD9" s="75"/>
      <c r="AE9" s="14"/>
      <c r="AF9" s="34"/>
      <c r="AG9" s="34"/>
      <c r="AH9" s="34"/>
    </row>
    <row r="10" spans="1:34" ht="24.95" customHeight="1" thickBot="1" x14ac:dyDescent="0.4">
      <c r="A10" s="8" t="s">
        <v>67</v>
      </c>
      <c r="B10" s="114"/>
      <c r="C10" s="104" t="s">
        <v>196</v>
      </c>
      <c r="D10" s="104"/>
      <c r="E10" s="105"/>
      <c r="F10" s="105"/>
      <c r="G10" s="105"/>
      <c r="H10" s="105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7"/>
      <c r="AC10" s="134"/>
      <c r="AD10" s="75"/>
      <c r="AE10" s="14"/>
      <c r="AF10" s="34"/>
      <c r="AG10" s="34"/>
      <c r="AH10" s="34"/>
    </row>
    <row r="11" spans="1:34" ht="24.95" hidden="1" customHeight="1" x14ac:dyDescent="0.35">
      <c r="A11" s="5" t="s">
        <v>65</v>
      </c>
      <c r="B11" s="114"/>
      <c r="C11" s="104"/>
      <c r="D11" s="104"/>
      <c r="E11" s="105"/>
      <c r="F11" s="105"/>
      <c r="G11" s="105"/>
      <c r="H11" s="105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7"/>
      <c r="AC11" s="134"/>
      <c r="AD11" s="75"/>
      <c r="AE11" s="14"/>
      <c r="AF11" s="34"/>
      <c r="AG11" s="34"/>
      <c r="AH11" s="34"/>
    </row>
    <row r="12" spans="1:34" ht="24.95" hidden="1" customHeight="1" thickBot="1" x14ac:dyDescent="0.4">
      <c r="A12" s="5" t="s">
        <v>64</v>
      </c>
      <c r="B12" s="114"/>
      <c r="C12" s="104"/>
      <c r="D12" s="104"/>
      <c r="E12" s="105"/>
      <c r="F12" s="105"/>
      <c r="G12" s="105"/>
      <c r="H12" s="105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  <c r="AA12" s="106"/>
      <c r="AB12" s="107"/>
      <c r="AC12" s="134"/>
      <c r="AD12" s="75"/>
      <c r="AE12" s="14"/>
      <c r="AF12" s="34"/>
      <c r="AG12" s="34"/>
      <c r="AH12" s="34"/>
    </row>
    <row r="13" spans="1:34" ht="24.95" customHeight="1" x14ac:dyDescent="0.35">
      <c r="A13" s="5" t="s">
        <v>317</v>
      </c>
      <c r="B13" s="161"/>
      <c r="C13" s="162"/>
      <c r="D13" s="162"/>
      <c r="E13" s="7"/>
      <c r="F13" s="7"/>
      <c r="G13" s="7"/>
      <c r="H13" s="163"/>
      <c r="I13" s="7"/>
      <c r="J13" s="7"/>
      <c r="K13" s="7"/>
      <c r="L13" s="163"/>
      <c r="M13" s="7"/>
      <c r="N13" s="163"/>
      <c r="O13" s="7"/>
      <c r="P13" s="7"/>
      <c r="Q13" s="7"/>
      <c r="R13" s="163"/>
      <c r="S13" s="7"/>
      <c r="T13" s="163"/>
      <c r="U13" s="7"/>
      <c r="V13" s="7"/>
      <c r="W13" s="163"/>
      <c r="X13" s="7"/>
      <c r="Y13" s="7"/>
      <c r="Z13" s="163"/>
      <c r="AA13" s="7"/>
      <c r="AB13" s="163"/>
      <c r="AC13" s="135"/>
      <c r="AD13" s="75"/>
      <c r="AE13" s="14"/>
      <c r="AF13" s="34"/>
      <c r="AG13" s="34"/>
      <c r="AH13" s="34"/>
    </row>
    <row r="14" spans="1:34" ht="24.95" customHeight="1" x14ac:dyDescent="0.35">
      <c r="A14" s="8" t="s">
        <v>318</v>
      </c>
      <c r="B14" s="164"/>
      <c r="C14" s="158"/>
      <c r="D14" s="158"/>
      <c r="E14" s="11"/>
      <c r="F14" s="11"/>
      <c r="G14" s="11"/>
      <c r="H14" s="159"/>
      <c r="I14" s="11"/>
      <c r="J14" s="11"/>
      <c r="K14" s="11"/>
      <c r="L14" s="159"/>
      <c r="M14" s="11"/>
      <c r="N14" s="159"/>
      <c r="O14" s="11"/>
      <c r="P14" s="11"/>
      <c r="Q14" s="11"/>
      <c r="R14" s="159"/>
      <c r="S14" s="11"/>
      <c r="T14" s="159"/>
      <c r="U14" s="11"/>
      <c r="V14" s="11"/>
      <c r="W14" s="159"/>
      <c r="X14" s="11"/>
      <c r="Y14" s="11"/>
      <c r="Z14" s="159"/>
      <c r="AA14" s="11"/>
      <c r="AB14" s="159"/>
      <c r="AC14" s="125"/>
      <c r="AD14" s="42"/>
      <c r="AE14" s="14"/>
      <c r="AF14" s="34"/>
      <c r="AG14" s="34"/>
      <c r="AH14" s="34"/>
    </row>
    <row r="15" spans="1:34" ht="24.95" customHeight="1" x14ac:dyDescent="0.35">
      <c r="A15" s="8" t="s">
        <v>348</v>
      </c>
      <c r="B15" s="164"/>
      <c r="C15" s="158"/>
      <c r="D15" s="158"/>
      <c r="E15" s="11"/>
      <c r="F15" s="11"/>
      <c r="G15" s="11"/>
      <c r="H15" s="159"/>
      <c r="I15" s="11"/>
      <c r="J15" s="11"/>
      <c r="K15" s="11"/>
      <c r="L15" s="159"/>
      <c r="M15" s="11"/>
      <c r="N15" s="159"/>
      <c r="O15" s="11"/>
      <c r="P15" s="11"/>
      <c r="Q15" s="11"/>
      <c r="R15" s="159"/>
      <c r="S15" s="11"/>
      <c r="T15" s="159"/>
      <c r="U15" s="11"/>
      <c r="V15" s="11"/>
      <c r="W15" s="159"/>
      <c r="X15" s="11"/>
      <c r="Y15" s="11"/>
      <c r="Z15" s="159"/>
      <c r="AA15" s="11"/>
      <c r="AB15" s="159"/>
      <c r="AC15" s="124"/>
      <c r="AD15" s="42"/>
      <c r="AE15" s="14"/>
      <c r="AF15" s="34"/>
      <c r="AG15" s="34"/>
      <c r="AH15" s="34"/>
    </row>
    <row r="16" spans="1:34" ht="24.95" customHeight="1" x14ac:dyDescent="0.35">
      <c r="A16" s="8" t="s">
        <v>349</v>
      </c>
      <c r="B16" s="164"/>
      <c r="C16" s="158"/>
      <c r="D16" s="158"/>
      <c r="E16" s="11"/>
      <c r="F16" s="11"/>
      <c r="G16" s="11"/>
      <c r="H16" s="159"/>
      <c r="I16" s="11"/>
      <c r="J16" s="11"/>
      <c r="K16" s="11"/>
      <c r="L16" s="159"/>
      <c r="M16" s="11"/>
      <c r="N16" s="159"/>
      <c r="O16" s="11"/>
      <c r="P16" s="11"/>
      <c r="Q16" s="11"/>
      <c r="R16" s="159"/>
      <c r="S16" s="11"/>
      <c r="T16" s="159"/>
      <c r="U16" s="11"/>
      <c r="V16" s="11"/>
      <c r="W16" s="159"/>
      <c r="X16" s="11"/>
      <c r="Y16" s="11"/>
      <c r="Z16" s="159"/>
      <c r="AA16" s="11"/>
      <c r="AB16" s="159"/>
      <c r="AC16" s="124"/>
      <c r="AD16" s="42"/>
      <c r="AE16" s="14"/>
      <c r="AF16" s="34"/>
      <c r="AG16" s="34"/>
      <c r="AH16" s="34"/>
    </row>
    <row r="17" spans="1:30" ht="24.95" customHeight="1" x14ac:dyDescent="0.3">
      <c r="A17" s="5" t="s">
        <v>350</v>
      </c>
      <c r="B17" s="161"/>
      <c r="C17" s="158"/>
      <c r="D17" s="158"/>
      <c r="E17" s="11"/>
      <c r="F17" s="11"/>
      <c r="G17" s="11"/>
      <c r="H17" s="159"/>
      <c r="I17" s="11"/>
      <c r="J17" s="11"/>
      <c r="K17" s="11"/>
      <c r="L17" s="159"/>
      <c r="M17" s="11"/>
      <c r="N17" s="159"/>
      <c r="O17" s="11"/>
      <c r="P17" s="11"/>
      <c r="Q17" s="11"/>
      <c r="R17" s="159"/>
      <c r="S17" s="11"/>
      <c r="T17" s="159"/>
      <c r="U17" s="11"/>
      <c r="V17" s="11"/>
      <c r="W17" s="159"/>
      <c r="X17" s="11"/>
      <c r="Y17" s="11"/>
      <c r="Z17" s="159"/>
      <c r="AA17" s="11"/>
      <c r="AB17" s="159"/>
      <c r="AC17" s="124"/>
      <c r="AD17" s="45"/>
    </row>
    <row r="18" spans="1:30" ht="24.95" customHeight="1" x14ac:dyDescent="0.3">
      <c r="A18" s="5" t="s">
        <v>61</v>
      </c>
      <c r="B18" s="161" t="s">
        <v>323</v>
      </c>
      <c r="C18" s="158"/>
      <c r="D18" s="158"/>
      <c r="E18" s="11"/>
      <c r="F18" s="11"/>
      <c r="G18" s="11"/>
      <c r="H18" s="159"/>
      <c r="I18" s="11"/>
      <c r="J18" s="11"/>
      <c r="K18" s="11"/>
      <c r="L18" s="159"/>
      <c r="M18" s="11"/>
      <c r="N18" s="159"/>
      <c r="O18" s="11"/>
      <c r="P18" s="11"/>
      <c r="Q18" s="11"/>
      <c r="R18" s="159"/>
      <c r="S18" s="11"/>
      <c r="T18" s="159"/>
      <c r="U18" s="11"/>
      <c r="V18" s="11"/>
      <c r="W18" s="159"/>
      <c r="X18" s="11"/>
      <c r="Y18" s="11"/>
      <c r="Z18" s="159"/>
      <c r="AA18" s="11"/>
      <c r="AB18" s="159"/>
      <c r="AC18" s="124"/>
      <c r="AD18" s="45"/>
    </row>
    <row r="19" spans="1:30" ht="40.5" hidden="1" x14ac:dyDescent="0.3">
      <c r="A19" s="118" t="s">
        <v>135</v>
      </c>
      <c r="B19" s="161"/>
      <c r="C19" s="158"/>
      <c r="D19" s="158"/>
      <c r="E19" s="11"/>
      <c r="F19" s="11"/>
      <c r="G19" s="11"/>
      <c r="H19" s="159"/>
      <c r="I19" s="11"/>
      <c r="J19" s="11"/>
      <c r="K19" s="11"/>
      <c r="L19" s="159"/>
      <c r="M19" s="11"/>
      <c r="N19" s="159"/>
      <c r="O19" s="11"/>
      <c r="P19" s="11"/>
      <c r="Q19" s="11"/>
      <c r="R19" s="159"/>
      <c r="S19" s="11"/>
      <c r="T19" s="159"/>
      <c r="U19" s="11"/>
      <c r="V19" s="11"/>
      <c r="W19" s="159"/>
      <c r="X19" s="11"/>
      <c r="Y19" s="11"/>
      <c r="Z19" s="159"/>
      <c r="AA19" s="11"/>
      <c r="AB19" s="159"/>
      <c r="AC19" s="124"/>
      <c r="AD19" s="45"/>
    </row>
    <row r="20" spans="1:30" ht="24.95" hidden="1" customHeight="1" x14ac:dyDescent="0.3">
      <c r="A20" s="5" t="s">
        <v>83</v>
      </c>
      <c r="B20" s="161"/>
      <c r="C20" s="158"/>
      <c r="D20" s="158"/>
      <c r="E20" s="11"/>
      <c r="F20" s="11"/>
      <c r="G20" s="11"/>
      <c r="H20" s="159"/>
      <c r="I20" s="11"/>
      <c r="J20" s="11"/>
      <c r="K20" s="11"/>
      <c r="L20" s="159"/>
      <c r="M20" s="11"/>
      <c r="N20" s="159"/>
      <c r="O20" s="11"/>
      <c r="P20" s="11"/>
      <c r="Q20" s="11"/>
      <c r="R20" s="159"/>
      <c r="S20" s="11"/>
      <c r="T20" s="159"/>
      <c r="U20" s="11"/>
      <c r="V20" s="11"/>
      <c r="W20" s="159"/>
      <c r="X20" s="11"/>
      <c r="Y20" s="11"/>
      <c r="Z20" s="159"/>
      <c r="AA20" s="11"/>
      <c r="AB20" s="159"/>
      <c r="AC20" s="124"/>
      <c r="AD20" s="45"/>
    </row>
    <row r="21" spans="1:30" ht="24.95" hidden="1" customHeight="1" x14ac:dyDescent="0.3">
      <c r="A21" s="5" t="s">
        <v>77</v>
      </c>
      <c r="B21" s="161" t="s">
        <v>44</v>
      </c>
      <c r="C21" s="158"/>
      <c r="D21" s="158"/>
      <c r="E21" s="11"/>
      <c r="F21" s="11"/>
      <c r="G21" s="11"/>
      <c r="H21" s="159"/>
      <c r="I21" s="11"/>
      <c r="J21" s="11"/>
      <c r="K21" s="11"/>
      <c r="L21" s="159"/>
      <c r="M21" s="11"/>
      <c r="N21" s="159"/>
      <c r="O21" s="11"/>
      <c r="P21" s="11"/>
      <c r="Q21" s="11"/>
      <c r="R21" s="159"/>
      <c r="S21" s="11"/>
      <c r="T21" s="159"/>
      <c r="U21" s="11"/>
      <c r="V21" s="11"/>
      <c r="W21" s="159"/>
      <c r="X21" s="11"/>
      <c r="Y21" s="11"/>
      <c r="Z21" s="159"/>
      <c r="AA21" s="11"/>
      <c r="AB21" s="159"/>
      <c r="AC21" s="124"/>
      <c r="AD21" s="45"/>
    </row>
    <row r="22" spans="1:30" ht="24.95" hidden="1" customHeight="1" x14ac:dyDescent="0.3">
      <c r="A22" s="5" t="s">
        <v>81</v>
      </c>
      <c r="B22" s="161" t="s">
        <v>44</v>
      </c>
      <c r="C22" s="158"/>
      <c r="D22" s="158"/>
      <c r="E22" s="11"/>
      <c r="F22" s="11"/>
      <c r="G22" s="11"/>
      <c r="H22" s="159"/>
      <c r="I22" s="11"/>
      <c r="J22" s="11"/>
      <c r="K22" s="11"/>
      <c r="L22" s="159"/>
      <c r="M22" s="11"/>
      <c r="N22" s="159"/>
      <c r="O22" s="11"/>
      <c r="P22" s="11"/>
      <c r="Q22" s="11"/>
      <c r="R22" s="159"/>
      <c r="S22" s="11"/>
      <c r="T22" s="159"/>
      <c r="U22" s="11"/>
      <c r="V22" s="11"/>
      <c r="W22" s="159"/>
      <c r="X22" s="11"/>
      <c r="Y22" s="11"/>
      <c r="Z22" s="159"/>
      <c r="AA22" s="11"/>
      <c r="AB22" s="159"/>
      <c r="AC22" s="124"/>
      <c r="AD22" s="45"/>
    </row>
    <row r="23" spans="1:30" ht="29.25" customHeight="1" x14ac:dyDescent="0.3">
      <c r="A23" s="115" t="s">
        <v>230</v>
      </c>
      <c r="B23" s="165"/>
      <c r="C23" s="158"/>
      <c r="D23" s="158"/>
      <c r="E23" s="11"/>
      <c r="F23" s="11"/>
      <c r="G23" s="11"/>
      <c r="H23" s="159"/>
      <c r="I23" s="11"/>
      <c r="J23" s="11"/>
      <c r="K23" s="11"/>
      <c r="L23" s="159"/>
      <c r="M23" s="11"/>
      <c r="N23" s="159"/>
      <c r="O23" s="11"/>
      <c r="P23" s="11"/>
      <c r="Q23" s="11"/>
      <c r="R23" s="159"/>
      <c r="S23" s="11"/>
      <c r="T23" s="159"/>
      <c r="U23" s="11"/>
      <c r="V23" s="11"/>
      <c r="W23" s="159"/>
      <c r="X23" s="11"/>
      <c r="Y23" s="11"/>
      <c r="Z23" s="159"/>
      <c r="AA23" s="11"/>
      <c r="AB23" s="159"/>
      <c r="AC23" s="124"/>
      <c r="AD23" s="45"/>
    </row>
    <row r="24" spans="1:30" ht="24.95" hidden="1" customHeight="1" x14ac:dyDescent="0.3">
      <c r="A24" s="5" t="s">
        <v>62</v>
      </c>
      <c r="B24" s="165"/>
      <c r="C24" s="158"/>
      <c r="D24" s="158"/>
      <c r="E24" s="11"/>
      <c r="F24" s="11"/>
      <c r="G24" s="11"/>
      <c r="H24" s="159"/>
      <c r="I24" s="11"/>
      <c r="J24" s="11"/>
      <c r="K24" s="11"/>
      <c r="L24" s="159"/>
      <c r="M24" s="11"/>
      <c r="N24" s="159"/>
      <c r="O24" s="11"/>
      <c r="P24" s="11"/>
      <c r="Q24" s="11"/>
      <c r="R24" s="159"/>
      <c r="S24" s="11"/>
      <c r="T24" s="159"/>
      <c r="U24" s="11"/>
      <c r="V24" s="11"/>
      <c r="W24" s="159"/>
      <c r="X24" s="11"/>
      <c r="Y24" s="11"/>
      <c r="Z24" s="159"/>
      <c r="AA24" s="11"/>
      <c r="AB24" s="159"/>
      <c r="AC24" s="124"/>
      <c r="AD24" s="45"/>
    </row>
    <row r="25" spans="1:30" ht="24.95" customHeight="1" x14ac:dyDescent="0.3">
      <c r="A25" s="72" t="s">
        <v>19</v>
      </c>
      <c r="B25" s="165"/>
      <c r="C25" s="158"/>
      <c r="D25" s="158"/>
      <c r="E25" s="11"/>
      <c r="F25" s="11"/>
      <c r="G25" s="11"/>
      <c r="H25" s="159"/>
      <c r="I25" s="11"/>
      <c r="J25" s="11"/>
      <c r="K25" s="11"/>
      <c r="L25" s="159"/>
      <c r="M25" s="11"/>
      <c r="N25" s="159"/>
      <c r="O25" s="11"/>
      <c r="P25" s="11"/>
      <c r="Q25" s="11"/>
      <c r="R25" s="159"/>
      <c r="S25" s="11"/>
      <c r="T25" s="159"/>
      <c r="U25" s="11"/>
      <c r="V25" s="11"/>
      <c r="W25" s="159"/>
      <c r="X25" s="11"/>
      <c r="Y25" s="11"/>
      <c r="Z25" s="159"/>
      <c r="AA25" s="11"/>
      <c r="AB25" s="159"/>
      <c r="AC25" s="124"/>
      <c r="AD25" s="45"/>
    </row>
    <row r="26" spans="1:30" ht="24.95" customHeight="1" x14ac:dyDescent="0.3">
      <c r="A26" s="72" t="s">
        <v>80</v>
      </c>
      <c r="B26" s="165"/>
      <c r="C26" s="158"/>
      <c r="D26" s="158" t="s">
        <v>196</v>
      </c>
      <c r="E26" s="11"/>
      <c r="F26" s="11"/>
      <c r="G26" s="11"/>
      <c r="H26" s="159"/>
      <c r="I26" s="11"/>
      <c r="J26" s="11"/>
      <c r="K26" s="11"/>
      <c r="L26" s="159"/>
      <c r="M26" s="11"/>
      <c r="N26" s="159"/>
      <c r="O26" s="11"/>
      <c r="P26" s="11"/>
      <c r="Q26" s="11"/>
      <c r="R26" s="159"/>
      <c r="S26" s="11"/>
      <c r="T26" s="159"/>
      <c r="U26" s="11"/>
      <c r="V26" s="11"/>
      <c r="W26" s="159"/>
      <c r="X26" s="11"/>
      <c r="Y26" s="11"/>
      <c r="Z26" s="159"/>
      <c r="AA26" s="11"/>
      <c r="AB26" s="159"/>
      <c r="AC26" s="124"/>
      <c r="AD26" s="45"/>
    </row>
    <row r="27" spans="1:30" ht="24.95" customHeight="1" x14ac:dyDescent="0.3">
      <c r="A27" s="5" t="s">
        <v>351</v>
      </c>
      <c r="B27" s="165"/>
      <c r="C27" s="158"/>
      <c r="D27" s="158"/>
      <c r="E27" s="11"/>
      <c r="F27" s="11"/>
      <c r="G27" s="11"/>
      <c r="H27" s="159"/>
      <c r="I27" s="11"/>
      <c r="J27" s="11"/>
      <c r="K27" s="11"/>
      <c r="L27" s="159"/>
      <c r="M27" s="11"/>
      <c r="N27" s="159"/>
      <c r="O27" s="11"/>
      <c r="P27" s="11"/>
      <c r="Q27" s="11"/>
      <c r="R27" s="159"/>
      <c r="S27" s="11"/>
      <c r="T27" s="159"/>
      <c r="U27" s="11"/>
      <c r="V27" s="11"/>
      <c r="W27" s="159"/>
      <c r="X27" s="11"/>
      <c r="Y27" s="11"/>
      <c r="Z27" s="159"/>
      <c r="AA27" s="11"/>
      <c r="AB27" s="159"/>
      <c r="AC27" s="124"/>
      <c r="AD27" s="45"/>
    </row>
    <row r="28" spans="1:30" ht="24.95" customHeight="1" x14ac:dyDescent="0.3">
      <c r="A28" s="72" t="s">
        <v>380</v>
      </c>
      <c r="B28" s="165"/>
      <c r="C28" s="158"/>
      <c r="D28" s="158"/>
      <c r="E28" s="11"/>
      <c r="F28" s="11"/>
      <c r="G28" s="11"/>
      <c r="H28" s="159"/>
      <c r="I28" s="11"/>
      <c r="J28" s="11"/>
      <c r="K28" s="11"/>
      <c r="L28" s="159"/>
      <c r="M28" s="11"/>
      <c r="N28" s="159"/>
      <c r="O28" s="11"/>
      <c r="P28" s="11"/>
      <c r="Q28" s="11"/>
      <c r="R28" s="159"/>
      <c r="S28" s="11"/>
      <c r="T28" s="159"/>
      <c r="U28" s="11"/>
      <c r="V28" s="11"/>
      <c r="W28" s="159"/>
      <c r="X28" s="11"/>
      <c r="Y28" s="11"/>
      <c r="Z28" s="159"/>
      <c r="AA28" s="11"/>
      <c r="AB28" s="159"/>
      <c r="AC28" s="124"/>
      <c r="AD28" s="45"/>
    </row>
    <row r="29" spans="1:30" ht="40.5" x14ac:dyDescent="0.3">
      <c r="A29" s="119" t="s">
        <v>288</v>
      </c>
      <c r="B29" s="165"/>
      <c r="C29" s="158"/>
      <c r="D29" s="158"/>
      <c r="E29" s="11"/>
      <c r="F29" s="11"/>
      <c r="G29" s="11"/>
      <c r="H29" s="159"/>
      <c r="I29" s="11"/>
      <c r="J29" s="11"/>
      <c r="K29" s="11"/>
      <c r="L29" s="159"/>
      <c r="M29" s="11"/>
      <c r="N29" s="159"/>
      <c r="O29" s="11"/>
      <c r="P29" s="11"/>
      <c r="Q29" s="11"/>
      <c r="R29" s="159"/>
      <c r="S29" s="11"/>
      <c r="T29" s="159"/>
      <c r="U29" s="11"/>
      <c r="V29" s="11"/>
      <c r="W29" s="159"/>
      <c r="X29" s="11"/>
      <c r="Y29" s="11"/>
      <c r="Z29" s="159"/>
      <c r="AA29" s="11"/>
      <c r="AB29" s="159"/>
      <c r="AC29" s="124"/>
      <c r="AD29" s="45"/>
    </row>
    <row r="30" spans="1:30" ht="24.95" hidden="1" customHeight="1" x14ac:dyDescent="0.3">
      <c r="A30" s="138" t="s">
        <v>205</v>
      </c>
      <c r="B30" s="108"/>
      <c r="C30" s="91"/>
      <c r="D30" s="91"/>
      <c r="E30" s="11"/>
      <c r="F30" s="11"/>
      <c r="G30" s="11"/>
      <c r="H30" s="10"/>
      <c r="I30" s="11"/>
      <c r="J30" s="11"/>
      <c r="K30" s="11"/>
      <c r="L30" s="10"/>
      <c r="M30" s="11"/>
      <c r="N30" s="10"/>
      <c r="O30" s="11"/>
      <c r="P30" s="11"/>
      <c r="Q30" s="11"/>
      <c r="R30" s="10"/>
      <c r="S30" s="11"/>
      <c r="T30" s="10"/>
      <c r="U30" s="11"/>
      <c r="V30" s="11"/>
      <c r="W30" s="10"/>
      <c r="X30" s="11"/>
      <c r="Y30" s="11"/>
      <c r="Z30" s="10"/>
      <c r="AA30" s="11"/>
      <c r="AB30" s="10"/>
      <c r="AC30" s="124"/>
      <c r="AD30" s="45"/>
    </row>
    <row r="31" spans="1:30" ht="24.95" hidden="1" customHeight="1" x14ac:dyDescent="0.3">
      <c r="A31" s="5" t="s">
        <v>82</v>
      </c>
      <c r="B31" s="108"/>
      <c r="C31" s="91"/>
      <c r="D31" s="91"/>
      <c r="E31" s="11"/>
      <c r="F31" s="11"/>
      <c r="G31" s="11"/>
      <c r="H31" s="10"/>
      <c r="I31" s="11"/>
      <c r="J31" s="11"/>
      <c r="K31" s="11"/>
      <c r="L31" s="10"/>
      <c r="M31" s="11"/>
      <c r="N31" s="10"/>
      <c r="O31" s="11"/>
      <c r="P31" s="11"/>
      <c r="Q31" s="11"/>
      <c r="R31" s="10"/>
      <c r="S31" s="11"/>
      <c r="T31" s="10"/>
      <c r="U31" s="11"/>
      <c r="V31" s="11"/>
      <c r="W31" s="10"/>
      <c r="X31" s="11"/>
      <c r="Y31" s="11"/>
      <c r="Z31" s="10"/>
      <c r="AA31" s="11"/>
      <c r="AB31" s="10"/>
      <c r="AC31" s="124"/>
      <c r="AD31" s="45"/>
    </row>
    <row r="32" spans="1:30" ht="24.95" hidden="1" customHeight="1" x14ac:dyDescent="0.3">
      <c r="A32" s="5" t="s">
        <v>105</v>
      </c>
      <c r="B32" s="108"/>
      <c r="C32" s="91"/>
      <c r="D32" s="91"/>
      <c r="E32" s="11"/>
      <c r="F32" s="11"/>
      <c r="G32" s="11"/>
      <c r="H32" s="10"/>
      <c r="I32" s="11"/>
      <c r="J32" s="11"/>
      <c r="K32" s="11"/>
      <c r="L32" s="10"/>
      <c r="M32" s="11"/>
      <c r="N32" s="10"/>
      <c r="O32" s="11"/>
      <c r="P32" s="11"/>
      <c r="Q32" s="11"/>
      <c r="R32" s="10"/>
      <c r="S32" s="11"/>
      <c r="T32" s="10"/>
      <c r="U32" s="11"/>
      <c r="V32" s="11"/>
      <c r="W32" s="10"/>
      <c r="X32" s="11"/>
      <c r="Y32" s="11"/>
      <c r="Z32" s="10"/>
      <c r="AA32" s="11"/>
      <c r="AB32" s="10"/>
      <c r="AC32" s="124"/>
      <c r="AD32" s="45"/>
    </row>
    <row r="33" spans="1:34" ht="24.95" hidden="1" customHeight="1" x14ac:dyDescent="0.3">
      <c r="A33" s="5" t="s">
        <v>85</v>
      </c>
      <c r="B33" s="108"/>
      <c r="C33" s="91"/>
      <c r="D33" s="91"/>
      <c r="E33" s="11"/>
      <c r="F33" s="11"/>
      <c r="G33" s="11"/>
      <c r="H33" s="10"/>
      <c r="I33" s="11"/>
      <c r="J33" s="11"/>
      <c r="K33" s="11"/>
      <c r="L33" s="10"/>
      <c r="M33" s="11"/>
      <c r="N33" s="10"/>
      <c r="O33" s="11"/>
      <c r="P33" s="11"/>
      <c r="Q33" s="11"/>
      <c r="R33" s="10"/>
      <c r="S33" s="11"/>
      <c r="T33" s="10"/>
      <c r="U33" s="11"/>
      <c r="V33" s="11"/>
      <c r="W33" s="10"/>
      <c r="X33" s="11"/>
      <c r="Y33" s="11"/>
      <c r="Z33" s="10"/>
      <c r="AA33" s="11"/>
      <c r="AB33" s="10"/>
      <c r="AC33" s="124"/>
      <c r="AD33" s="45"/>
    </row>
    <row r="34" spans="1:34" ht="24.95" hidden="1" customHeight="1" x14ac:dyDescent="0.3">
      <c r="A34" s="5" t="s">
        <v>84</v>
      </c>
      <c r="B34" s="108"/>
      <c r="C34" s="91"/>
      <c r="D34" s="91"/>
      <c r="E34" s="11"/>
      <c r="F34" s="11"/>
      <c r="G34" s="11"/>
      <c r="H34" s="10"/>
      <c r="I34" s="11"/>
      <c r="J34" s="11"/>
      <c r="K34" s="11"/>
      <c r="L34" s="10"/>
      <c r="M34" s="11"/>
      <c r="N34" s="10"/>
      <c r="O34" s="11"/>
      <c r="P34" s="11"/>
      <c r="Q34" s="11"/>
      <c r="R34" s="10"/>
      <c r="S34" s="11"/>
      <c r="T34" s="10"/>
      <c r="U34" s="11"/>
      <c r="V34" s="11"/>
      <c r="W34" s="10"/>
      <c r="X34" s="11"/>
      <c r="Y34" s="11"/>
      <c r="Z34" s="10"/>
      <c r="AA34" s="11"/>
      <c r="AB34" s="10"/>
      <c r="AC34" s="124"/>
      <c r="AD34" s="45"/>
    </row>
    <row r="35" spans="1:34" ht="24.95" customHeight="1" x14ac:dyDescent="0.3">
      <c r="A35" s="5"/>
      <c r="B35" s="108"/>
      <c r="C35" s="91"/>
      <c r="D35" s="91"/>
      <c r="E35" s="11"/>
      <c r="F35" s="11"/>
      <c r="G35" s="11"/>
      <c r="H35" s="10"/>
      <c r="I35" s="11"/>
      <c r="J35" s="11"/>
      <c r="K35" s="11"/>
      <c r="L35" s="10"/>
      <c r="M35" s="11"/>
      <c r="N35" s="10"/>
      <c r="O35" s="11"/>
      <c r="P35" s="11"/>
      <c r="Q35" s="11"/>
      <c r="R35" s="10"/>
      <c r="S35" s="11"/>
      <c r="T35" s="10"/>
      <c r="U35" s="11"/>
      <c r="V35" s="11"/>
      <c r="W35" s="10"/>
      <c r="X35" s="11"/>
      <c r="Y35" s="11"/>
      <c r="Z35" s="10"/>
      <c r="AA35" s="11"/>
      <c r="AB35" s="10"/>
      <c r="AC35" s="124"/>
      <c r="AD35" s="45"/>
    </row>
    <row r="36" spans="1:34" ht="24.95" customHeight="1" x14ac:dyDescent="0.3">
      <c r="A36" s="138" t="s">
        <v>328</v>
      </c>
      <c r="B36" s="108"/>
      <c r="C36" s="91"/>
      <c r="D36" s="91"/>
      <c r="E36" s="11"/>
      <c r="F36" s="11"/>
      <c r="G36" s="11"/>
      <c r="H36" s="10"/>
      <c r="I36" s="11"/>
      <c r="J36" s="11"/>
      <c r="K36" s="11"/>
      <c r="L36" s="10"/>
      <c r="M36" s="11"/>
      <c r="N36" s="10"/>
      <c r="O36" s="11"/>
      <c r="P36" s="11"/>
      <c r="Q36" s="11"/>
      <c r="R36" s="10"/>
      <c r="S36" s="11"/>
      <c r="T36" s="10"/>
      <c r="U36" s="11"/>
      <c r="V36" s="11"/>
      <c r="W36" s="10"/>
      <c r="X36" s="11"/>
      <c r="Y36" s="11"/>
      <c r="Z36" s="10"/>
      <c r="AA36" s="11"/>
      <c r="AB36" s="10"/>
      <c r="AC36" s="124"/>
      <c r="AD36" s="45"/>
    </row>
    <row r="37" spans="1:34" ht="24.95" customHeight="1" thickBot="1" x14ac:dyDescent="0.35">
      <c r="A37" s="5"/>
      <c r="B37" s="95"/>
      <c r="C37" s="91"/>
      <c r="D37" s="91"/>
      <c r="E37" s="11"/>
      <c r="F37" s="11"/>
      <c r="G37" s="11"/>
      <c r="H37" s="10"/>
      <c r="I37" s="11"/>
      <c r="J37" s="11"/>
      <c r="K37" s="11"/>
      <c r="L37" s="10"/>
      <c r="M37" s="11"/>
      <c r="N37" s="10"/>
      <c r="O37" s="11"/>
      <c r="P37" s="11"/>
      <c r="Q37" s="11"/>
      <c r="R37" s="10"/>
      <c r="S37" s="11"/>
      <c r="T37" s="10"/>
      <c r="U37" s="11"/>
      <c r="V37" s="11"/>
      <c r="W37" s="10"/>
      <c r="X37" s="11"/>
      <c r="Y37" s="11"/>
      <c r="Z37" s="10"/>
      <c r="AA37" s="11"/>
      <c r="AB37" s="10"/>
      <c r="AC37" s="124"/>
      <c r="AD37" s="46"/>
      <c r="AE37" s="13"/>
      <c r="AF37" s="36"/>
      <c r="AG37" s="36"/>
      <c r="AH37" s="36"/>
    </row>
    <row r="38" spans="1:34" ht="24.95" customHeight="1" thickBot="1" x14ac:dyDescent="0.35">
      <c r="A38" s="182" t="s">
        <v>13</v>
      </c>
      <c r="B38" s="183"/>
      <c r="C38" s="18">
        <f t="shared" ref="C38:AB38" si="5">SUM(C8:C37)</f>
        <v>0</v>
      </c>
      <c r="D38" s="18">
        <f t="shared" si="5"/>
        <v>0</v>
      </c>
      <c r="E38" s="18">
        <f t="shared" si="5"/>
        <v>0</v>
      </c>
      <c r="F38" s="19">
        <f t="shared" si="5"/>
        <v>0</v>
      </c>
      <c r="G38" s="19">
        <f t="shared" si="5"/>
        <v>0</v>
      </c>
      <c r="H38" s="19">
        <f t="shared" si="5"/>
        <v>0</v>
      </c>
      <c r="I38" s="19">
        <f t="shared" si="5"/>
        <v>0</v>
      </c>
      <c r="J38" s="19">
        <f t="shared" si="5"/>
        <v>0</v>
      </c>
      <c r="K38" s="19">
        <f t="shared" si="5"/>
        <v>0</v>
      </c>
      <c r="L38" s="19">
        <f t="shared" si="5"/>
        <v>0</v>
      </c>
      <c r="M38" s="19">
        <f t="shared" si="5"/>
        <v>0</v>
      </c>
      <c r="N38" s="19">
        <f t="shared" si="5"/>
        <v>0</v>
      </c>
      <c r="O38" s="19">
        <f t="shared" si="5"/>
        <v>0</v>
      </c>
      <c r="P38" s="19">
        <f t="shared" si="5"/>
        <v>0</v>
      </c>
      <c r="Q38" s="19">
        <f t="shared" si="5"/>
        <v>0</v>
      </c>
      <c r="R38" s="19">
        <f t="shared" si="5"/>
        <v>0</v>
      </c>
      <c r="S38" s="19">
        <f t="shared" si="5"/>
        <v>0</v>
      </c>
      <c r="T38" s="19">
        <f t="shared" si="5"/>
        <v>0</v>
      </c>
      <c r="U38" s="19">
        <f t="shared" si="5"/>
        <v>0</v>
      </c>
      <c r="V38" s="19">
        <f t="shared" si="5"/>
        <v>0</v>
      </c>
      <c r="W38" s="19">
        <f t="shared" si="5"/>
        <v>0</v>
      </c>
      <c r="X38" s="19">
        <f t="shared" si="5"/>
        <v>0</v>
      </c>
      <c r="Y38" s="19">
        <f t="shared" si="5"/>
        <v>0</v>
      </c>
      <c r="Z38" s="19">
        <f t="shared" si="5"/>
        <v>0</v>
      </c>
      <c r="AA38" s="20">
        <f t="shared" si="5"/>
        <v>0</v>
      </c>
      <c r="AB38" s="20">
        <f t="shared" si="5"/>
        <v>0</v>
      </c>
    </row>
    <row r="39" spans="1:34" s="23" customFormat="1" ht="24.9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</row>
    <row r="40" spans="1:34" s="23" customFormat="1" ht="24.95" customHeight="1" x14ac:dyDescent="0.25">
      <c r="J40" s="24"/>
      <c r="K40" s="24"/>
      <c r="L40" s="24"/>
      <c r="M40" s="25"/>
      <c r="N40" s="26"/>
      <c r="O40" s="27"/>
      <c r="R40" s="24"/>
      <c r="S40" s="24"/>
      <c r="T40" s="24"/>
      <c r="U40" s="24"/>
      <c r="V40" s="24"/>
      <c r="W40" s="24"/>
      <c r="X40" s="28"/>
      <c r="Y40" s="24"/>
      <c r="Z40" s="24"/>
      <c r="AA40" s="28"/>
      <c r="AB40" s="24"/>
    </row>
    <row r="41" spans="1:34" s="23" customFormat="1" ht="24.95" customHeight="1" x14ac:dyDescent="0.25">
      <c r="J41" s="24"/>
      <c r="M41" s="25"/>
      <c r="N41" s="26"/>
      <c r="O41" s="27"/>
      <c r="R41" s="24"/>
      <c r="U41" s="24"/>
      <c r="X41" s="28"/>
      <c r="AA41" s="28"/>
    </row>
    <row r="42" spans="1:34" s="23" customFormat="1" ht="24.95" customHeight="1" x14ac:dyDescent="0.25">
      <c r="J42" s="24"/>
      <c r="K42" s="24"/>
      <c r="L42" s="24"/>
      <c r="M42" s="29"/>
      <c r="N42" s="30"/>
      <c r="O42" s="29"/>
      <c r="R42" s="24"/>
      <c r="S42" s="24"/>
      <c r="T42" s="24"/>
      <c r="U42" s="24"/>
      <c r="V42" s="24"/>
      <c r="W42" s="24"/>
      <c r="X42" s="16"/>
      <c r="Y42" s="24"/>
      <c r="Z42" s="24"/>
      <c r="AA42" s="16"/>
      <c r="AB42" s="24"/>
    </row>
    <row r="43" spans="1:34" s="23" customFormat="1" ht="23.1" customHeight="1" x14ac:dyDescent="0.25">
      <c r="F43" s="16"/>
      <c r="G43" s="16"/>
      <c r="H43" s="16"/>
      <c r="I43" s="16"/>
      <c r="J43" s="24"/>
      <c r="K43" s="16"/>
      <c r="L43" s="16"/>
      <c r="M43" s="31"/>
      <c r="N43" s="31"/>
      <c r="O43" s="31"/>
      <c r="P43" s="16"/>
      <c r="Q43" s="16"/>
      <c r="R43" s="24"/>
      <c r="S43" s="16"/>
      <c r="T43" s="16"/>
      <c r="U43" s="24"/>
      <c r="V43" s="16"/>
      <c r="W43" s="16"/>
      <c r="X43" s="32"/>
      <c r="Y43" s="16"/>
      <c r="Z43" s="16"/>
      <c r="AA43" s="32"/>
      <c r="AB43" s="16"/>
    </row>
    <row r="44" spans="1:34" ht="23.1" customHeight="1" x14ac:dyDescent="0.2">
      <c r="A44" s="23"/>
      <c r="B44" s="23"/>
      <c r="C44" s="23"/>
      <c r="D44" s="23"/>
      <c r="E44" s="23"/>
      <c r="F44" s="23"/>
      <c r="G44" s="23"/>
      <c r="H44" s="23"/>
      <c r="I44" s="23"/>
      <c r="J44" s="16"/>
      <c r="K44" s="23"/>
      <c r="L44" s="23"/>
      <c r="M44" s="16"/>
      <c r="N44" s="16"/>
      <c r="O44" s="16"/>
      <c r="P44" s="23"/>
      <c r="Q44" s="23"/>
      <c r="R44" s="16"/>
      <c r="S44" s="23"/>
      <c r="T44" s="23"/>
      <c r="U44" s="16"/>
      <c r="V44" s="23"/>
      <c r="W44" s="23"/>
      <c r="X44" s="16"/>
      <c r="Y44" s="23"/>
      <c r="Z44" s="23"/>
      <c r="AA44" s="16"/>
      <c r="AB44" s="23"/>
      <c r="AC44" s="23"/>
      <c r="AD44" s="23"/>
      <c r="AE44" s="23"/>
      <c r="AF44" s="23"/>
      <c r="AG44" s="23"/>
      <c r="AH44" s="23"/>
    </row>
    <row r="45" spans="1:34" ht="23.1" customHeight="1" x14ac:dyDescent="0.2">
      <c r="K45" s="33"/>
      <c r="L45" s="33"/>
      <c r="M45" s="33"/>
      <c r="N45" s="33"/>
      <c r="O45" s="33"/>
      <c r="P45" s="33"/>
      <c r="S45" s="33"/>
      <c r="T45" s="33"/>
      <c r="U45" s="33"/>
      <c r="V45" s="33"/>
      <c r="W45" s="33"/>
      <c r="X45" s="33"/>
      <c r="Y45" s="33"/>
      <c r="Z45" s="33"/>
      <c r="AA45" s="33"/>
      <c r="AB45" s="33"/>
    </row>
    <row r="46" spans="1:34" ht="23.1" customHeight="1" x14ac:dyDescent="0.2">
      <c r="A46" s="33"/>
      <c r="B46" s="33"/>
      <c r="C46" s="33"/>
      <c r="D46" s="33"/>
      <c r="E46" s="33"/>
      <c r="F46" s="33"/>
      <c r="G46" s="33"/>
      <c r="L46" s="33"/>
      <c r="M46" s="33"/>
      <c r="N46" s="33"/>
      <c r="O46" s="33"/>
      <c r="P46" s="33"/>
      <c r="S46" s="33"/>
      <c r="T46" s="33"/>
      <c r="U46" s="33"/>
      <c r="V46" s="33"/>
      <c r="W46" s="33"/>
      <c r="X46" s="33"/>
      <c r="Y46" s="33"/>
      <c r="Z46" s="33"/>
      <c r="AA46" s="33"/>
      <c r="AB46" s="33"/>
    </row>
    <row r="47" spans="1:34" ht="23.1" customHeight="1" x14ac:dyDescent="0.2">
      <c r="T47" s="33"/>
      <c r="U47" s="33"/>
      <c r="V47" s="33"/>
      <c r="W47" s="33"/>
      <c r="X47" s="33"/>
      <c r="Y47" s="33"/>
      <c r="Z47" s="33"/>
      <c r="AA47" s="33"/>
      <c r="AB47" s="33"/>
    </row>
    <row r="48" spans="1:34" ht="23.1" customHeight="1" x14ac:dyDescent="0.2"/>
  </sheetData>
  <mergeCells count="1">
    <mergeCell ref="A38:B38"/>
  </mergeCells>
  <conditionalFormatting sqref="J42">
    <cfRule type="expression" dxfId="95" priority="11" stopIfTrue="1">
      <formula>#REF!="sobra"</formula>
    </cfRule>
    <cfRule type="expression" dxfId="94" priority="12" stopIfTrue="1">
      <formula>#REF!="Falta"</formula>
    </cfRule>
  </conditionalFormatting>
  <conditionalFormatting sqref="L42 R42">
    <cfRule type="expression" dxfId="93" priority="13" stopIfTrue="1">
      <formula>#REF!="sobra"</formula>
    </cfRule>
    <cfRule type="expression" dxfId="92" priority="14" stopIfTrue="1">
      <formula>#REF!="Falta"</formula>
    </cfRule>
  </conditionalFormatting>
  <conditionalFormatting sqref="T42:U42">
    <cfRule type="expression" dxfId="91" priority="9" stopIfTrue="1">
      <formula>#REF!="sobra"</formula>
    </cfRule>
    <cfRule type="expression" dxfId="90" priority="10" stopIfTrue="1">
      <formula>#REF!="Falta"</formula>
    </cfRule>
  </conditionalFormatting>
  <conditionalFormatting sqref="W42">
    <cfRule type="expression" dxfId="89" priority="7" stopIfTrue="1">
      <formula>#REF!="sobra"</formula>
    </cfRule>
    <cfRule type="expression" dxfId="88" priority="8" stopIfTrue="1">
      <formula>#REF!="Falta"</formula>
    </cfRule>
  </conditionalFormatting>
  <conditionalFormatting sqref="Z42">
    <cfRule type="expression" dxfId="87" priority="3" stopIfTrue="1">
      <formula>#REF!="sobra"</formula>
    </cfRule>
    <cfRule type="expression" dxfId="86" priority="4" stopIfTrue="1">
      <formula>#REF!="Falta"</formula>
    </cfRule>
  </conditionalFormatting>
  <conditionalFormatting sqref="AB42">
    <cfRule type="expression" dxfId="85" priority="1" stopIfTrue="1">
      <formula>#REF!="sobra"</formula>
    </cfRule>
    <cfRule type="expression" dxfId="84" priority="2" stopIfTrue="1">
      <formula>#REF!="Falta"</formula>
    </cfRule>
  </conditionalFormatting>
  <conditionalFormatting sqref="AD37">
    <cfRule type="containsText" dxfId="83" priority="5" stopIfTrue="1" operator="containsText" text="FALTA">
      <formula>NOT(ISERROR(SEARCH("FALTA",AD37)))</formula>
    </cfRule>
    <cfRule type="containsText" dxfId="82" priority="6" stopIfTrue="1" operator="containsText" text="SOBRA">
      <formula>NOT(ISERROR(SEARCH("SOBRA",AD37)))</formula>
    </cfRule>
  </conditionalFormatting>
  <conditionalFormatting sqref="AF37">
    <cfRule type="expression" dxfId="81" priority="15" stopIfTrue="1">
      <formula>#REF!="sobra"</formula>
    </cfRule>
    <cfRule type="expression" dxfId="80" priority="16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AI40"/>
  <sheetViews>
    <sheetView showGridLines="0" zoomScale="60" zoomScaleNormal="60" workbookViewId="0">
      <pane xSplit="1" topLeftCell="B1" activePane="topRight" state="frozen"/>
      <selection pane="topRight" activeCell="A14" sqref="A14"/>
    </sheetView>
  </sheetViews>
  <sheetFormatPr defaultColWidth="9.140625" defaultRowHeight="12.75" x14ac:dyDescent="0.2"/>
  <cols>
    <col min="1" max="1" width="60" style="1" customWidth="1"/>
    <col min="2" max="2" width="16.85546875" style="1" customWidth="1"/>
    <col min="3" max="3" width="10.7109375" style="1" hidden="1" customWidth="1"/>
    <col min="4" max="4" width="13.140625" style="1" customWidth="1"/>
    <col min="5" max="5" width="11.85546875" style="1" customWidth="1"/>
    <col min="6" max="29" width="10.7109375" style="1" customWidth="1"/>
    <col min="30" max="30" width="62.5703125" style="1" customWidth="1"/>
    <col min="31" max="31" width="19.42578125" style="1" bestFit="1" customWidth="1"/>
    <col min="32" max="32" width="15.7109375" style="1" customWidth="1"/>
    <col min="33" max="33" width="15.85546875" style="1" bestFit="1" customWidth="1"/>
    <col min="34" max="16384" width="9.140625" style="1"/>
  </cols>
  <sheetData>
    <row r="1" spans="1:35" s="52" customFormat="1" ht="55.5" x14ac:dyDescent="0.35">
      <c r="A1" s="51" t="s">
        <v>47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224</v>
      </c>
      <c r="K1" s="53" t="s">
        <v>25</v>
      </c>
      <c r="L1" s="53" t="s">
        <v>26</v>
      </c>
      <c r="M1" s="53" t="s">
        <v>27</v>
      </c>
      <c r="N1" s="53" t="s">
        <v>28</v>
      </c>
      <c r="O1" s="53" t="s">
        <v>29</v>
      </c>
      <c r="P1" s="53" t="s">
        <v>30</v>
      </c>
      <c r="Q1" s="53" t="s">
        <v>31</v>
      </c>
      <c r="R1" s="53" t="s">
        <v>32</v>
      </c>
      <c r="S1" s="53" t="s">
        <v>33</v>
      </c>
      <c r="T1" s="53" t="s">
        <v>34</v>
      </c>
      <c r="U1" s="53" t="s">
        <v>35</v>
      </c>
      <c r="V1" s="53" t="s">
        <v>36</v>
      </c>
      <c r="W1" s="53" t="s">
        <v>37</v>
      </c>
      <c r="X1" s="54" t="s">
        <v>38</v>
      </c>
      <c r="Y1" s="53" t="s">
        <v>3</v>
      </c>
      <c r="Z1" s="53" t="s">
        <v>4</v>
      </c>
      <c r="AA1" s="54" t="s">
        <v>5</v>
      </c>
      <c r="AB1" s="53" t="s">
        <v>6</v>
      </c>
      <c r="AC1" s="54" t="s">
        <v>7</v>
      </c>
      <c r="AF1" s="55"/>
      <c r="AG1" s="55"/>
      <c r="AH1" s="56"/>
      <c r="AI1" s="56"/>
    </row>
    <row r="2" spans="1:35" ht="24.95" customHeight="1" x14ac:dyDescent="0.35">
      <c r="A2" s="57" t="s">
        <v>8</v>
      </c>
      <c r="B2" s="59" t="s">
        <v>9</v>
      </c>
      <c r="C2" s="78">
        <v>0</v>
      </c>
      <c r="D2" s="78"/>
      <c r="E2" s="78"/>
      <c r="F2" s="78">
        <v>0</v>
      </c>
      <c r="G2" s="78"/>
      <c r="H2" s="78">
        <v>0</v>
      </c>
      <c r="I2" s="78">
        <v>0</v>
      </c>
      <c r="J2" s="78"/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  <c r="AC2" s="78">
        <v>0</v>
      </c>
    </row>
    <row r="3" spans="1:35" ht="24.95" customHeight="1" x14ac:dyDescent="0.3">
      <c r="A3" s="2"/>
      <c r="B3" s="59" t="s">
        <v>10</v>
      </c>
      <c r="C3" s="60">
        <f t="shared" ref="C3:AC3" si="0">C2-C4</f>
        <v>0</v>
      </c>
      <c r="D3" s="60"/>
      <c r="E3" s="60"/>
      <c r="F3" s="60">
        <f t="shared" si="0"/>
        <v>0</v>
      </c>
      <c r="G3" s="60"/>
      <c r="H3" s="60">
        <f t="shared" si="0"/>
        <v>0</v>
      </c>
      <c r="I3" s="60">
        <f t="shared" si="0"/>
        <v>0</v>
      </c>
      <c r="J3" s="60"/>
      <c r="K3" s="60">
        <f t="shared" si="0"/>
        <v>0</v>
      </c>
      <c r="L3" s="60">
        <f t="shared" si="0"/>
        <v>0</v>
      </c>
      <c r="M3" s="60">
        <f t="shared" si="0"/>
        <v>0</v>
      </c>
      <c r="N3" s="60">
        <f t="shared" si="0"/>
        <v>0</v>
      </c>
      <c r="O3" s="60">
        <f t="shared" si="0"/>
        <v>0</v>
      </c>
      <c r="P3" s="60">
        <f t="shared" si="0"/>
        <v>0</v>
      </c>
      <c r="Q3" s="60">
        <f t="shared" si="0"/>
        <v>0</v>
      </c>
      <c r="R3" s="60">
        <f t="shared" si="0"/>
        <v>0</v>
      </c>
      <c r="S3" s="60">
        <f t="shared" si="0"/>
        <v>0</v>
      </c>
      <c r="T3" s="60">
        <f t="shared" si="0"/>
        <v>0</v>
      </c>
      <c r="U3" s="60">
        <f t="shared" si="0"/>
        <v>0</v>
      </c>
      <c r="V3" s="60">
        <f t="shared" si="0"/>
        <v>0</v>
      </c>
      <c r="W3" s="60">
        <f t="shared" si="0"/>
        <v>0</v>
      </c>
      <c r="X3" s="60">
        <f t="shared" si="0"/>
        <v>0</v>
      </c>
      <c r="Y3" s="60">
        <f t="shared" si="0"/>
        <v>0</v>
      </c>
      <c r="Z3" s="60">
        <f t="shared" si="0"/>
        <v>0</v>
      </c>
      <c r="AA3" s="60">
        <f t="shared" si="0"/>
        <v>0</v>
      </c>
      <c r="AB3" s="60">
        <f t="shared" si="0"/>
        <v>0</v>
      </c>
      <c r="AC3" s="60">
        <f t="shared" si="0"/>
        <v>0</v>
      </c>
    </row>
    <row r="4" spans="1:35" ht="24.95" customHeight="1" x14ac:dyDescent="0.3">
      <c r="A4" s="61"/>
      <c r="B4" s="76" t="s">
        <v>22</v>
      </c>
      <c r="C4" s="77">
        <f>C30</f>
        <v>0</v>
      </c>
      <c r="D4" s="77">
        <f t="shared" ref="D4:H4" si="1">D30</f>
        <v>0</v>
      </c>
      <c r="E4" s="77">
        <f t="shared" si="1"/>
        <v>0</v>
      </c>
      <c r="F4" s="77">
        <f t="shared" si="1"/>
        <v>0</v>
      </c>
      <c r="G4" s="77">
        <f t="shared" si="1"/>
        <v>0</v>
      </c>
      <c r="H4" s="77">
        <f t="shared" si="1"/>
        <v>0</v>
      </c>
      <c r="I4" s="77">
        <f>I30</f>
        <v>0</v>
      </c>
      <c r="J4" s="77">
        <f t="shared" ref="J4:K4" si="2">J30</f>
        <v>0</v>
      </c>
      <c r="K4" s="77">
        <f t="shared" si="2"/>
        <v>0</v>
      </c>
      <c r="L4" s="77">
        <f t="shared" ref="L4:AC4" si="3">L30</f>
        <v>0</v>
      </c>
      <c r="M4" s="77">
        <f t="shared" si="3"/>
        <v>0</v>
      </c>
      <c r="N4" s="77">
        <f t="shared" si="3"/>
        <v>0</v>
      </c>
      <c r="O4" s="77">
        <f t="shared" si="3"/>
        <v>0</v>
      </c>
      <c r="P4" s="77">
        <f t="shared" si="3"/>
        <v>0</v>
      </c>
      <c r="Q4" s="77">
        <f t="shared" si="3"/>
        <v>0</v>
      </c>
      <c r="R4" s="77">
        <f t="shared" si="3"/>
        <v>0</v>
      </c>
      <c r="S4" s="77">
        <f t="shared" si="3"/>
        <v>0</v>
      </c>
      <c r="T4" s="77">
        <f t="shared" si="3"/>
        <v>0</v>
      </c>
      <c r="U4" s="77">
        <f t="shared" si="3"/>
        <v>0</v>
      </c>
      <c r="V4" s="77">
        <f t="shared" si="3"/>
        <v>0</v>
      </c>
      <c r="W4" s="77">
        <f t="shared" si="3"/>
        <v>0</v>
      </c>
      <c r="X4" s="77">
        <f t="shared" si="3"/>
        <v>0</v>
      </c>
      <c r="Y4" s="77">
        <f t="shared" si="3"/>
        <v>0</v>
      </c>
      <c r="Z4" s="77">
        <f t="shared" si="3"/>
        <v>0</v>
      </c>
      <c r="AA4" s="77">
        <f t="shared" si="3"/>
        <v>0</v>
      </c>
      <c r="AB4" s="77">
        <f t="shared" si="3"/>
        <v>0</v>
      </c>
      <c r="AC4" s="77">
        <f t="shared" si="3"/>
        <v>0</v>
      </c>
    </row>
    <row r="5" spans="1:35" ht="24.95" customHeight="1" x14ac:dyDescent="0.3">
      <c r="A5" s="61"/>
      <c r="B5" s="59" t="s">
        <v>11</v>
      </c>
      <c r="C5" s="60">
        <f t="shared" ref="C5:AC5" si="4">C30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/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  <c r="AC5" s="60">
        <f t="shared" si="4"/>
        <v>0</v>
      </c>
    </row>
    <row r="6" spans="1:35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0"/>
      <c r="AA6" s="50"/>
      <c r="AB6" s="50"/>
      <c r="AC6" s="50"/>
    </row>
    <row r="7" spans="1:35" s="52" customFormat="1" ht="56.25" thickBot="1" x14ac:dyDescent="0.4">
      <c r="A7" s="63" t="s">
        <v>21</v>
      </c>
      <c r="B7" s="92" t="s">
        <v>12</v>
      </c>
      <c r="C7" s="89" t="str">
        <f t="shared" ref="C7:AC7" si="5">C1</f>
        <v>Molho</v>
      </c>
      <c r="D7" s="66" t="str">
        <f t="shared" si="5"/>
        <v>Litros Chantilly</v>
      </c>
      <c r="E7" s="89" t="str">
        <f t="shared" si="5"/>
        <v>Mini Chantilly</v>
      </c>
      <c r="F7" s="66" t="str">
        <f t="shared" si="5"/>
        <v>Tetra</v>
      </c>
      <c r="G7" s="66" t="str">
        <f t="shared" si="5"/>
        <v>Tp Cul.</v>
      </c>
      <c r="H7" s="66" t="str">
        <f t="shared" si="5"/>
        <v>Fresco 250g</v>
      </c>
      <c r="I7" s="67" t="str">
        <f t="shared" si="5"/>
        <v>Fresco 500g</v>
      </c>
      <c r="J7" s="67" t="str">
        <f t="shared" si="5"/>
        <v>Fresco 500g Fino</v>
      </c>
      <c r="K7" s="67" t="str">
        <f t="shared" si="5"/>
        <v>Fresco 1kg</v>
      </c>
      <c r="L7" s="67" t="str">
        <f t="shared" si="5"/>
        <v>Seco Fino</v>
      </c>
      <c r="M7" s="67" t="str">
        <f t="shared" si="5"/>
        <v>Seco Flocos</v>
      </c>
      <c r="N7" s="67" t="str">
        <f t="shared" si="5"/>
        <v>Marsh 500g</v>
      </c>
      <c r="O7" s="67" t="str">
        <f t="shared" si="5"/>
        <v>Marsh 1kg</v>
      </c>
      <c r="P7" s="67" t="str">
        <f t="shared" si="5"/>
        <v>Massa 1kg</v>
      </c>
      <c r="Q7" s="67" t="str">
        <f t="shared" si="5"/>
        <v>Massa 2.2kg</v>
      </c>
      <c r="R7" s="67" t="str">
        <f t="shared" si="5"/>
        <v>Semi-Folhada 2kg</v>
      </c>
      <c r="S7" s="67" t="str">
        <f t="shared" si="5"/>
        <v>Brig PT 1kg</v>
      </c>
      <c r="T7" s="67" t="str">
        <f t="shared" si="5"/>
        <v>Beij PT 1kg</v>
      </c>
      <c r="U7" s="67" t="str">
        <f t="shared" si="5"/>
        <v>Brig PT 2kg</v>
      </c>
      <c r="V7" s="67" t="str">
        <f t="shared" si="5"/>
        <v>Beij PT 2kg</v>
      </c>
      <c r="W7" s="67" t="str">
        <f t="shared" si="5"/>
        <v>Brig Cl 1kg</v>
      </c>
      <c r="X7" s="67" t="str">
        <f t="shared" si="5"/>
        <v>Beij Cl 1kg</v>
      </c>
      <c r="Y7" s="67" t="str">
        <f t="shared" si="5"/>
        <v>Jundmel</v>
      </c>
      <c r="Z7" s="67" t="str">
        <f t="shared" si="5"/>
        <v>Pão de Queijo</v>
      </c>
      <c r="AA7" s="67" t="str">
        <f t="shared" si="5"/>
        <v>Ovo</v>
      </c>
      <c r="AB7" s="67" t="str">
        <f t="shared" si="5"/>
        <v>Gema</v>
      </c>
      <c r="AC7" s="67" t="str">
        <f t="shared" si="5"/>
        <v>Clara</v>
      </c>
      <c r="AD7" s="102" t="s">
        <v>14</v>
      </c>
      <c r="AE7" s="69" t="s">
        <v>15</v>
      </c>
      <c r="AF7" s="70"/>
      <c r="AG7" s="71"/>
      <c r="AH7" s="71"/>
      <c r="AI7" s="71"/>
    </row>
    <row r="8" spans="1:35" ht="24.95" customHeight="1" x14ac:dyDescent="0.35">
      <c r="A8" s="5" t="s">
        <v>54</v>
      </c>
      <c r="B8" s="93"/>
      <c r="C8" s="73"/>
      <c r="D8" s="73"/>
      <c r="E8" s="7"/>
      <c r="F8" s="7"/>
      <c r="G8" s="7"/>
      <c r="H8" s="6"/>
      <c r="I8" s="7"/>
      <c r="J8" s="7" t="s">
        <v>196</v>
      </c>
      <c r="K8" s="7"/>
      <c r="L8" s="7"/>
      <c r="M8" s="6"/>
      <c r="N8" s="7" t="s">
        <v>196</v>
      </c>
      <c r="O8" s="6"/>
      <c r="P8" s="7"/>
      <c r="Q8" s="7"/>
      <c r="R8" s="7"/>
      <c r="S8" s="6"/>
      <c r="T8" s="7"/>
      <c r="U8" s="6"/>
      <c r="V8" s="7"/>
      <c r="W8" s="7"/>
      <c r="X8" s="6"/>
      <c r="Y8" s="7"/>
      <c r="Z8" s="7"/>
      <c r="AA8" s="6"/>
      <c r="AB8" s="7"/>
      <c r="AC8" s="6"/>
      <c r="AD8" s="125"/>
      <c r="AE8" s="41"/>
      <c r="AF8" s="14"/>
      <c r="AG8" s="34"/>
      <c r="AH8" s="34"/>
      <c r="AI8" s="34"/>
    </row>
    <row r="9" spans="1:35" ht="24.95" hidden="1" customHeight="1" x14ac:dyDescent="0.35">
      <c r="A9" s="8" t="s">
        <v>283</v>
      </c>
      <c r="B9" s="94"/>
      <c r="C9" s="73"/>
      <c r="D9" s="73"/>
      <c r="E9" s="7"/>
      <c r="F9" s="7"/>
      <c r="G9" s="7"/>
      <c r="H9" s="6"/>
      <c r="I9" s="7"/>
      <c r="J9" s="7"/>
      <c r="K9" s="7"/>
      <c r="L9" s="7"/>
      <c r="M9" s="6"/>
      <c r="N9" s="7"/>
      <c r="O9" s="6"/>
      <c r="P9" s="7"/>
      <c r="Q9" s="7"/>
      <c r="R9" s="7"/>
      <c r="S9" s="6"/>
      <c r="T9" s="7"/>
      <c r="U9" s="6"/>
      <c r="V9" s="7"/>
      <c r="W9" s="7"/>
      <c r="X9" s="6"/>
      <c r="Y9" s="7"/>
      <c r="Z9" s="7"/>
      <c r="AA9" s="6"/>
      <c r="AB9" s="7"/>
      <c r="AC9" s="6"/>
      <c r="AD9" s="125"/>
      <c r="AE9" s="75"/>
      <c r="AF9" s="14"/>
      <c r="AG9" s="34"/>
      <c r="AH9" s="34"/>
      <c r="AI9" s="34"/>
    </row>
    <row r="10" spans="1:35" ht="24.95" customHeight="1" x14ac:dyDescent="0.35">
      <c r="A10" s="8" t="s">
        <v>376</v>
      </c>
      <c r="B10" s="94"/>
      <c r="C10" s="91"/>
      <c r="D10" s="91"/>
      <c r="E10" s="11"/>
      <c r="F10" s="11"/>
      <c r="G10" s="11"/>
      <c r="H10" s="10"/>
      <c r="I10" s="11"/>
      <c r="J10" s="11"/>
      <c r="K10" s="11"/>
      <c r="L10" s="11"/>
      <c r="M10" s="10"/>
      <c r="N10" s="11"/>
      <c r="O10" s="10"/>
      <c r="P10" s="11"/>
      <c r="Q10" s="11"/>
      <c r="R10" s="11"/>
      <c r="S10" s="10"/>
      <c r="T10" s="11"/>
      <c r="U10" s="10"/>
      <c r="V10" s="11"/>
      <c r="W10" s="11"/>
      <c r="X10" s="10"/>
      <c r="Y10" s="11"/>
      <c r="Z10" s="11"/>
      <c r="AA10" s="10"/>
      <c r="AB10" s="11"/>
      <c r="AC10" s="10"/>
      <c r="AD10" s="131"/>
      <c r="AE10" s="42"/>
      <c r="AF10" s="14"/>
      <c r="AG10" s="34"/>
      <c r="AH10" s="34"/>
      <c r="AI10" s="34"/>
    </row>
    <row r="11" spans="1:35" ht="24.95" customHeight="1" x14ac:dyDescent="0.35">
      <c r="A11" s="5" t="s">
        <v>53</v>
      </c>
      <c r="B11" s="93"/>
      <c r="C11" s="91"/>
      <c r="D11" s="91"/>
      <c r="E11" s="11"/>
      <c r="F11" s="11"/>
      <c r="G11" s="11"/>
      <c r="H11" s="10" t="s">
        <v>196</v>
      </c>
      <c r="I11" s="11" t="s">
        <v>196</v>
      </c>
      <c r="J11" s="11" t="s">
        <v>196</v>
      </c>
      <c r="K11" s="11"/>
      <c r="L11" s="11"/>
      <c r="M11" s="10"/>
      <c r="N11" s="11"/>
      <c r="O11" s="10"/>
      <c r="P11" s="11"/>
      <c r="Q11" s="11"/>
      <c r="R11" s="11"/>
      <c r="S11" s="10"/>
      <c r="T11" s="11"/>
      <c r="U11" s="10"/>
      <c r="V11" s="11"/>
      <c r="W11" s="11"/>
      <c r="X11" s="10"/>
      <c r="Y11" s="11"/>
      <c r="Z11" s="11"/>
      <c r="AA11" s="10"/>
      <c r="AB11" s="11"/>
      <c r="AC11" s="10"/>
      <c r="AD11" s="124"/>
      <c r="AE11" s="43"/>
      <c r="AF11" s="12"/>
      <c r="AG11" s="35"/>
      <c r="AH11" s="35"/>
      <c r="AI11" s="35"/>
    </row>
    <row r="12" spans="1:35" ht="24.95" hidden="1" customHeight="1" x14ac:dyDescent="0.35">
      <c r="A12" s="5" t="s">
        <v>125</v>
      </c>
      <c r="B12" s="93"/>
      <c r="C12" s="91"/>
      <c r="D12" s="91"/>
      <c r="E12" s="11"/>
      <c r="F12" s="11"/>
      <c r="G12" s="11"/>
      <c r="H12" s="10"/>
      <c r="I12" s="11"/>
      <c r="J12" s="11"/>
      <c r="K12" s="11"/>
      <c r="L12" s="11"/>
      <c r="M12" s="10"/>
      <c r="N12" s="11"/>
      <c r="O12" s="10"/>
      <c r="P12" s="11"/>
      <c r="Q12" s="11"/>
      <c r="R12" s="11"/>
      <c r="S12" s="10"/>
      <c r="T12" s="11"/>
      <c r="U12" s="10"/>
      <c r="V12" s="11"/>
      <c r="W12" s="11"/>
      <c r="X12" s="10"/>
      <c r="Y12" s="11"/>
      <c r="Z12" s="11"/>
      <c r="AA12" s="10"/>
      <c r="AB12" s="11"/>
      <c r="AC12" s="10"/>
      <c r="AD12" s="131"/>
      <c r="AE12" s="43"/>
      <c r="AF12" s="12"/>
      <c r="AG12" s="35"/>
      <c r="AH12" s="35"/>
      <c r="AI12" s="35"/>
    </row>
    <row r="13" spans="1:35" ht="24.95" customHeight="1" x14ac:dyDescent="0.35">
      <c r="A13" s="5" t="s">
        <v>320</v>
      </c>
      <c r="B13" s="93"/>
      <c r="C13" s="91"/>
      <c r="D13" s="91"/>
      <c r="E13" s="11"/>
      <c r="F13" s="11"/>
      <c r="G13" s="11"/>
      <c r="H13" s="10"/>
      <c r="I13" s="11" t="s">
        <v>196</v>
      </c>
      <c r="J13" s="11" t="s">
        <v>196</v>
      </c>
      <c r="K13" s="11" t="s">
        <v>196</v>
      </c>
      <c r="L13" s="11"/>
      <c r="M13" s="10"/>
      <c r="N13" s="11"/>
      <c r="O13" s="10"/>
      <c r="P13" s="11" t="s">
        <v>196</v>
      </c>
      <c r="Q13" s="11"/>
      <c r="R13" s="11"/>
      <c r="S13" s="10"/>
      <c r="T13" s="11"/>
      <c r="U13" s="10"/>
      <c r="V13" s="11"/>
      <c r="W13" s="11"/>
      <c r="X13" s="10"/>
      <c r="Y13" s="11"/>
      <c r="Z13" s="11"/>
      <c r="AA13" s="10"/>
      <c r="AB13" s="11"/>
      <c r="AC13" s="10"/>
      <c r="AD13" s="131"/>
      <c r="AE13" s="44"/>
      <c r="AF13" s="15"/>
      <c r="AG13" s="34"/>
      <c r="AH13" s="34"/>
      <c r="AI13" s="34"/>
    </row>
    <row r="14" spans="1:35" ht="24.95" customHeight="1" x14ac:dyDescent="0.35">
      <c r="A14" s="5" t="s">
        <v>346</v>
      </c>
      <c r="B14" s="93"/>
      <c r="C14" s="91"/>
      <c r="D14" s="91" t="s">
        <v>196</v>
      </c>
      <c r="E14" s="11" t="s">
        <v>196</v>
      </c>
      <c r="F14" s="11"/>
      <c r="G14" s="11"/>
      <c r="H14" s="10"/>
      <c r="I14" s="11"/>
      <c r="J14" s="11"/>
      <c r="K14" s="11"/>
      <c r="L14" s="11"/>
      <c r="M14" s="10"/>
      <c r="N14" s="11"/>
      <c r="O14" s="10"/>
      <c r="P14" s="11"/>
      <c r="Q14" s="11"/>
      <c r="R14" s="11"/>
      <c r="S14" s="10"/>
      <c r="T14" s="11"/>
      <c r="U14" s="10"/>
      <c r="V14" s="11"/>
      <c r="W14" s="11"/>
      <c r="X14" s="10"/>
      <c r="Y14" s="11"/>
      <c r="Z14" s="11"/>
      <c r="AA14" s="10"/>
      <c r="AB14" s="11"/>
      <c r="AC14" s="10"/>
      <c r="AD14" s="131"/>
      <c r="AE14" s="44"/>
      <c r="AF14" s="15"/>
      <c r="AG14" s="34"/>
      <c r="AH14" s="34"/>
      <c r="AI14" s="34"/>
    </row>
    <row r="15" spans="1:35" ht="24.95" customHeight="1" x14ac:dyDescent="0.35">
      <c r="A15" s="5" t="s">
        <v>347</v>
      </c>
      <c r="B15" s="93"/>
      <c r="C15" s="91"/>
      <c r="D15" s="91" t="s">
        <v>196</v>
      </c>
      <c r="E15" s="11" t="s">
        <v>196</v>
      </c>
      <c r="F15" s="11"/>
      <c r="G15" s="11"/>
      <c r="H15" s="10"/>
      <c r="I15" s="11"/>
      <c r="J15" s="11"/>
      <c r="K15" s="11"/>
      <c r="L15" s="11"/>
      <c r="M15" s="10"/>
      <c r="N15" s="11"/>
      <c r="O15" s="10"/>
      <c r="P15" s="11"/>
      <c r="Q15" s="11"/>
      <c r="R15" s="11"/>
      <c r="S15" s="10"/>
      <c r="T15" s="11"/>
      <c r="U15" s="10"/>
      <c r="V15" s="11"/>
      <c r="W15" s="11"/>
      <c r="X15" s="10"/>
      <c r="Y15" s="11"/>
      <c r="Z15" s="11"/>
      <c r="AA15" s="10"/>
      <c r="AB15" s="11"/>
      <c r="AC15" s="10"/>
      <c r="AD15" s="131"/>
      <c r="AE15" s="44"/>
      <c r="AF15" s="15"/>
      <c r="AG15" s="34"/>
      <c r="AH15" s="34"/>
      <c r="AI15" s="34"/>
    </row>
    <row r="16" spans="1:35" ht="24.95" customHeight="1" x14ac:dyDescent="0.3">
      <c r="A16" s="5" t="s">
        <v>321</v>
      </c>
      <c r="B16" s="93"/>
      <c r="C16" s="91"/>
      <c r="D16" s="91"/>
      <c r="E16" s="11"/>
      <c r="F16" s="11"/>
      <c r="G16" s="11"/>
      <c r="H16" s="10"/>
      <c r="I16" s="11"/>
      <c r="J16" s="11" t="s">
        <v>196</v>
      </c>
      <c r="K16" s="11"/>
      <c r="L16" s="11"/>
      <c r="M16" s="10"/>
      <c r="N16" s="11"/>
      <c r="O16" s="10"/>
      <c r="P16" s="11"/>
      <c r="Q16" s="11"/>
      <c r="R16" s="11"/>
      <c r="S16" s="10"/>
      <c r="T16" s="11"/>
      <c r="U16" s="10"/>
      <c r="V16" s="11"/>
      <c r="W16" s="11"/>
      <c r="X16" s="10"/>
      <c r="Y16" s="11"/>
      <c r="Z16" s="11"/>
      <c r="AA16" s="10"/>
      <c r="AB16" s="11"/>
      <c r="AC16" s="10"/>
      <c r="AD16" s="131"/>
      <c r="AE16" s="45"/>
    </row>
    <row r="17" spans="1:35" ht="24.95" hidden="1" customHeight="1" x14ac:dyDescent="0.3">
      <c r="A17" s="187" t="s">
        <v>104</v>
      </c>
      <c r="B17" s="93"/>
      <c r="C17" s="91"/>
      <c r="D17" s="91"/>
      <c r="E17" s="11"/>
      <c r="F17" s="11"/>
      <c r="G17" s="11"/>
      <c r="H17" s="10"/>
      <c r="I17" s="11"/>
      <c r="J17" s="11"/>
      <c r="K17" s="11"/>
      <c r="L17" s="11"/>
      <c r="M17" s="10"/>
      <c r="N17" s="11"/>
      <c r="O17" s="10"/>
      <c r="P17" s="11"/>
      <c r="Q17" s="11"/>
      <c r="R17" s="11"/>
      <c r="S17" s="10"/>
      <c r="T17" s="11"/>
      <c r="U17" s="10"/>
      <c r="V17" s="11"/>
      <c r="W17" s="11"/>
      <c r="X17" s="10"/>
      <c r="Y17" s="11"/>
      <c r="Z17" s="11"/>
      <c r="AA17" s="10"/>
      <c r="AB17" s="11"/>
      <c r="AC17" s="10"/>
      <c r="AD17" s="131"/>
      <c r="AE17" s="45"/>
    </row>
    <row r="18" spans="1:35" ht="24.95" hidden="1" customHeight="1" x14ac:dyDescent="0.3">
      <c r="A18" s="188"/>
      <c r="B18" s="93"/>
      <c r="C18" s="91"/>
      <c r="D18" s="91"/>
      <c r="E18" s="11"/>
      <c r="F18" s="11"/>
      <c r="G18" s="11"/>
      <c r="H18" s="10"/>
      <c r="I18" s="11"/>
      <c r="J18" s="11"/>
      <c r="K18" s="11"/>
      <c r="L18" s="11"/>
      <c r="M18" s="10"/>
      <c r="N18" s="11"/>
      <c r="O18" s="10"/>
      <c r="P18" s="11"/>
      <c r="Q18" s="11"/>
      <c r="R18" s="11"/>
      <c r="S18" s="10"/>
      <c r="T18" s="11"/>
      <c r="U18" s="10"/>
      <c r="V18" s="11"/>
      <c r="W18" s="11"/>
      <c r="X18" s="10"/>
      <c r="Y18" s="11"/>
      <c r="Z18" s="11"/>
      <c r="AA18" s="10"/>
      <c r="AB18" s="11"/>
      <c r="AC18" s="10"/>
      <c r="AD18" s="131"/>
      <c r="AE18" s="45"/>
    </row>
    <row r="19" spans="1:35" ht="24.95" hidden="1" customHeight="1" x14ac:dyDescent="0.3">
      <c r="A19" s="189"/>
      <c r="B19" s="93"/>
      <c r="C19" s="91"/>
      <c r="D19" s="91"/>
      <c r="E19" s="11"/>
      <c r="F19" s="11"/>
      <c r="G19" s="11"/>
      <c r="H19" s="10"/>
      <c r="I19" s="11"/>
      <c r="J19" s="11"/>
      <c r="K19" s="11"/>
      <c r="L19" s="11"/>
      <c r="M19" s="10"/>
      <c r="N19" s="11"/>
      <c r="O19" s="10"/>
      <c r="P19" s="11"/>
      <c r="Q19" s="11"/>
      <c r="R19" s="11"/>
      <c r="S19" s="10"/>
      <c r="T19" s="11"/>
      <c r="U19" s="10"/>
      <c r="V19" s="11"/>
      <c r="W19" s="11"/>
      <c r="X19" s="10"/>
      <c r="Y19" s="11"/>
      <c r="Z19" s="11"/>
      <c r="AA19" s="10"/>
      <c r="AB19" s="11"/>
      <c r="AC19" s="10"/>
      <c r="AD19" s="131"/>
      <c r="AE19" s="45"/>
    </row>
    <row r="20" spans="1:35" ht="24.95" hidden="1" customHeight="1" x14ac:dyDescent="0.3">
      <c r="A20" s="5"/>
      <c r="B20" s="93"/>
      <c r="C20" s="91"/>
      <c r="D20" s="91"/>
      <c r="E20" s="11"/>
      <c r="F20" s="11"/>
      <c r="G20" s="11"/>
      <c r="H20" s="10"/>
      <c r="I20" s="11"/>
      <c r="J20" s="11"/>
      <c r="K20" s="11"/>
      <c r="L20" s="11"/>
      <c r="M20" s="10"/>
      <c r="N20" s="11"/>
      <c r="O20" s="10"/>
      <c r="P20" s="11"/>
      <c r="Q20" s="11"/>
      <c r="R20" s="11"/>
      <c r="S20" s="10"/>
      <c r="T20" s="11"/>
      <c r="U20" s="10"/>
      <c r="V20" s="11"/>
      <c r="W20" s="11"/>
      <c r="X20" s="10"/>
      <c r="Y20" s="11"/>
      <c r="Z20" s="11"/>
      <c r="AA20" s="10"/>
      <c r="AB20" s="11"/>
      <c r="AC20" s="10"/>
      <c r="AD20" s="131"/>
      <c r="AE20" s="45"/>
    </row>
    <row r="21" spans="1:35" ht="24.95" customHeight="1" x14ac:dyDescent="0.3">
      <c r="A21" s="5" t="s">
        <v>124</v>
      </c>
      <c r="B21" s="93"/>
      <c r="C21" s="91"/>
      <c r="D21" s="91"/>
      <c r="E21" s="11"/>
      <c r="F21" s="11"/>
      <c r="G21" s="11"/>
      <c r="H21" s="10"/>
      <c r="I21" s="11"/>
      <c r="J21" s="11"/>
      <c r="K21" s="11"/>
      <c r="L21" s="11"/>
      <c r="M21" s="10"/>
      <c r="N21" s="11"/>
      <c r="O21" s="10"/>
      <c r="P21" s="11"/>
      <c r="Q21" s="11"/>
      <c r="R21" s="11"/>
      <c r="S21" s="10"/>
      <c r="T21" s="11"/>
      <c r="U21" s="10"/>
      <c r="V21" s="11"/>
      <c r="W21" s="11"/>
      <c r="X21" s="10"/>
      <c r="Y21" s="11"/>
      <c r="Z21" s="11"/>
      <c r="AA21" s="10"/>
      <c r="AB21" s="11"/>
      <c r="AC21" s="10"/>
      <c r="AD21" s="131"/>
      <c r="AE21" s="46"/>
      <c r="AF21" s="13"/>
      <c r="AG21" s="36"/>
      <c r="AH21" s="36"/>
      <c r="AI21" s="36"/>
    </row>
    <row r="22" spans="1:35" ht="24.95" customHeight="1" x14ac:dyDescent="0.3">
      <c r="A22" s="5" t="s">
        <v>183</v>
      </c>
      <c r="B22" s="93"/>
      <c r="C22" s="91"/>
      <c r="D22" s="91"/>
      <c r="E22" s="11"/>
      <c r="F22" s="11"/>
      <c r="G22" s="11"/>
      <c r="H22" s="10"/>
      <c r="I22" s="11"/>
      <c r="J22" s="11"/>
      <c r="K22" s="11"/>
      <c r="L22" s="11"/>
      <c r="M22" s="10"/>
      <c r="N22" s="11"/>
      <c r="O22" s="10"/>
      <c r="P22" s="11" t="s">
        <v>196</v>
      </c>
      <c r="Q22" s="11"/>
      <c r="R22" s="11"/>
      <c r="S22" s="10"/>
      <c r="T22" s="11"/>
      <c r="U22" s="10"/>
      <c r="V22" s="11"/>
      <c r="W22" s="11"/>
      <c r="X22" s="10"/>
      <c r="Y22" s="11"/>
      <c r="Z22" s="11"/>
      <c r="AA22" s="10"/>
      <c r="AB22" s="11"/>
      <c r="AC22" s="10"/>
      <c r="AD22" s="131"/>
      <c r="AE22" s="46"/>
      <c r="AF22" s="13"/>
      <c r="AG22" s="36"/>
      <c r="AH22" s="36"/>
      <c r="AI22" s="36"/>
    </row>
    <row r="23" spans="1:35" ht="24.95" hidden="1" customHeight="1" x14ac:dyDescent="0.3">
      <c r="A23" s="5" t="s">
        <v>52</v>
      </c>
      <c r="B23" s="93"/>
      <c r="C23" s="91"/>
      <c r="D23" s="91"/>
      <c r="E23" s="11"/>
      <c r="F23" s="11"/>
      <c r="G23" s="11"/>
      <c r="H23" s="10"/>
      <c r="I23" s="11"/>
      <c r="J23" s="11"/>
      <c r="K23" s="11"/>
      <c r="L23" s="11"/>
      <c r="M23" s="10"/>
      <c r="N23" s="11"/>
      <c r="O23" s="10"/>
      <c r="P23" s="11"/>
      <c r="Q23" s="11"/>
      <c r="R23" s="11"/>
      <c r="S23" s="10"/>
      <c r="T23" s="11"/>
      <c r="U23" s="10"/>
      <c r="V23" s="11"/>
      <c r="W23" s="11"/>
      <c r="X23" s="10"/>
      <c r="Y23" s="11"/>
      <c r="Z23" s="11"/>
      <c r="AA23" s="10"/>
      <c r="AB23" s="11"/>
      <c r="AC23" s="10"/>
      <c r="AD23" s="131"/>
      <c r="AE23" s="45"/>
    </row>
    <row r="24" spans="1:35" ht="24.95" customHeight="1" x14ac:dyDescent="0.35">
      <c r="A24" s="5" t="s">
        <v>51</v>
      </c>
      <c r="B24" s="93" t="s">
        <v>44</v>
      </c>
      <c r="C24" s="91"/>
      <c r="D24" s="91"/>
      <c r="E24" s="11"/>
      <c r="F24" s="11"/>
      <c r="G24" s="11"/>
      <c r="H24" s="10"/>
      <c r="I24" s="11" t="s">
        <v>196</v>
      </c>
      <c r="J24" s="11"/>
      <c r="K24" s="11"/>
      <c r="L24" s="11"/>
      <c r="M24" s="10"/>
      <c r="N24" s="11"/>
      <c r="O24" s="10"/>
      <c r="P24" s="11"/>
      <c r="Q24" s="11"/>
      <c r="R24" s="11"/>
      <c r="S24" s="10"/>
      <c r="T24" s="11"/>
      <c r="U24" s="10"/>
      <c r="V24" s="11"/>
      <c r="W24" s="11"/>
      <c r="X24" s="10"/>
      <c r="Y24" s="11"/>
      <c r="Z24" s="11"/>
      <c r="AA24" s="10"/>
      <c r="AB24" s="11"/>
      <c r="AC24" s="10"/>
      <c r="AD24" s="131"/>
      <c r="AE24" s="42"/>
      <c r="AF24" s="14"/>
      <c r="AG24" s="37"/>
      <c r="AH24" s="37"/>
      <c r="AI24" s="37"/>
    </row>
    <row r="25" spans="1:35" ht="24.95" customHeight="1" x14ac:dyDescent="0.35">
      <c r="A25" s="5" t="s">
        <v>377</v>
      </c>
      <c r="B25" s="93" t="s">
        <v>378</v>
      </c>
      <c r="C25" s="91"/>
      <c r="D25" s="91"/>
      <c r="E25" s="11"/>
      <c r="F25" s="11"/>
      <c r="G25" s="11"/>
      <c r="H25" s="10"/>
      <c r="I25" s="11"/>
      <c r="J25" s="11"/>
      <c r="K25" s="11"/>
      <c r="L25" s="11"/>
      <c r="M25" s="10"/>
      <c r="N25" s="11"/>
      <c r="O25" s="10"/>
      <c r="P25" s="11"/>
      <c r="Q25" s="11" t="s">
        <v>196</v>
      </c>
      <c r="R25" s="11"/>
      <c r="S25" s="10"/>
      <c r="T25" s="11"/>
      <c r="U25" s="10"/>
      <c r="V25" s="11"/>
      <c r="W25" s="11"/>
      <c r="X25" s="10"/>
      <c r="Y25" s="11"/>
      <c r="Z25" s="11"/>
      <c r="AA25" s="10"/>
      <c r="AB25" s="11"/>
      <c r="AC25" s="10"/>
      <c r="AD25" s="131"/>
      <c r="AE25" s="42"/>
      <c r="AF25" s="14"/>
      <c r="AG25" s="37"/>
      <c r="AH25" s="37"/>
      <c r="AI25" s="37"/>
    </row>
    <row r="26" spans="1:35" ht="24.95" customHeight="1" x14ac:dyDescent="0.35">
      <c r="A26" s="5"/>
      <c r="B26" s="93"/>
      <c r="C26" s="91"/>
      <c r="D26" s="91"/>
      <c r="E26" s="11"/>
      <c r="F26" s="11"/>
      <c r="G26" s="11"/>
      <c r="H26" s="10"/>
      <c r="I26" s="11"/>
      <c r="J26" s="11"/>
      <c r="K26" s="11"/>
      <c r="L26" s="11"/>
      <c r="M26" s="10"/>
      <c r="N26" s="11"/>
      <c r="O26" s="10"/>
      <c r="P26" s="11"/>
      <c r="Q26" s="11"/>
      <c r="R26" s="11"/>
      <c r="S26" s="10"/>
      <c r="T26" s="11"/>
      <c r="U26" s="10"/>
      <c r="V26" s="11"/>
      <c r="W26" s="11"/>
      <c r="X26" s="10"/>
      <c r="Y26" s="11"/>
      <c r="Z26" s="11"/>
      <c r="AA26" s="10"/>
      <c r="AB26" s="11"/>
      <c r="AC26" s="10"/>
      <c r="AD26" s="131"/>
      <c r="AE26" s="47"/>
      <c r="AF26" s="4"/>
      <c r="AG26" s="37"/>
      <c r="AH26" s="37"/>
      <c r="AI26" s="37"/>
    </row>
    <row r="27" spans="1:35" ht="24.95" hidden="1" customHeight="1" x14ac:dyDescent="0.35">
      <c r="A27" s="5" t="s">
        <v>87</v>
      </c>
      <c r="B27" s="93"/>
      <c r="C27" s="91"/>
      <c r="D27" s="91"/>
      <c r="E27" s="11"/>
      <c r="F27" s="11"/>
      <c r="G27" s="11"/>
      <c r="H27" s="10"/>
      <c r="I27" s="11"/>
      <c r="J27" s="11"/>
      <c r="K27" s="11"/>
      <c r="L27" s="11"/>
      <c r="M27" s="10"/>
      <c r="N27" s="11"/>
      <c r="O27" s="10"/>
      <c r="P27" s="11"/>
      <c r="Q27" s="11"/>
      <c r="R27" s="11"/>
      <c r="S27" s="10"/>
      <c r="T27" s="11"/>
      <c r="U27" s="10"/>
      <c r="V27" s="11"/>
      <c r="W27" s="11"/>
      <c r="X27" s="10"/>
      <c r="Y27" s="11"/>
      <c r="Z27" s="11"/>
      <c r="AA27" s="10"/>
      <c r="AB27" s="11"/>
      <c r="AC27" s="10"/>
      <c r="AD27" s="131"/>
      <c r="AE27" s="42"/>
      <c r="AF27" s="15"/>
      <c r="AG27" s="34"/>
      <c r="AH27" s="34"/>
      <c r="AI27" s="34"/>
    </row>
    <row r="28" spans="1:35" ht="61.5" x14ac:dyDescent="0.35">
      <c r="A28" s="121" t="s">
        <v>324</v>
      </c>
      <c r="B28" s="108"/>
      <c r="C28" s="91"/>
      <c r="D28" s="91"/>
      <c r="E28" s="11"/>
      <c r="F28" s="11"/>
      <c r="G28" s="11"/>
      <c r="H28" s="10"/>
      <c r="I28" s="11"/>
      <c r="J28" s="11"/>
      <c r="K28" s="11"/>
      <c r="L28" s="11"/>
      <c r="M28" s="10"/>
      <c r="N28" s="11"/>
      <c r="O28" s="10"/>
      <c r="P28" s="11"/>
      <c r="Q28" s="11"/>
      <c r="R28" s="11"/>
      <c r="S28" s="10"/>
      <c r="T28" s="11"/>
      <c r="U28" s="10"/>
      <c r="V28" s="11"/>
      <c r="W28" s="11"/>
      <c r="X28" s="10"/>
      <c r="Y28" s="11"/>
      <c r="Z28" s="11"/>
      <c r="AA28" s="10"/>
      <c r="AB28" s="11"/>
      <c r="AC28" s="10"/>
      <c r="AD28" s="131"/>
      <c r="AE28" s="42"/>
      <c r="AF28" s="15"/>
      <c r="AG28" s="34"/>
      <c r="AH28" s="34"/>
      <c r="AI28" s="34"/>
    </row>
    <row r="29" spans="1:35" ht="24.95" customHeight="1" thickBot="1" x14ac:dyDescent="0.35">
      <c r="A29" s="5"/>
      <c r="B29" s="95"/>
      <c r="C29" s="91"/>
      <c r="D29" s="91"/>
      <c r="E29" s="11"/>
      <c r="F29" s="11"/>
      <c r="G29" s="11"/>
      <c r="H29" s="10"/>
      <c r="I29" s="11"/>
      <c r="J29" s="11"/>
      <c r="K29" s="11"/>
      <c r="L29" s="11"/>
      <c r="M29" s="10"/>
      <c r="N29" s="11"/>
      <c r="O29" s="10"/>
      <c r="P29" s="11"/>
      <c r="Q29" s="11"/>
      <c r="R29" s="11"/>
      <c r="S29" s="10"/>
      <c r="T29" s="11"/>
      <c r="U29" s="10"/>
      <c r="V29" s="11"/>
      <c r="W29" s="11"/>
      <c r="X29" s="10"/>
      <c r="Y29" s="11"/>
      <c r="Z29" s="11"/>
      <c r="AA29" s="10"/>
      <c r="AB29" s="11"/>
      <c r="AC29" s="10"/>
      <c r="AD29" s="131"/>
      <c r="AE29" s="48"/>
      <c r="AF29" s="38"/>
      <c r="AG29" s="38"/>
      <c r="AH29" s="38"/>
      <c r="AI29" s="38"/>
    </row>
    <row r="30" spans="1:35" ht="24.95" customHeight="1" thickBot="1" x14ac:dyDescent="0.35">
      <c r="A30" s="182" t="s">
        <v>13</v>
      </c>
      <c r="B30" s="183"/>
      <c r="C30" s="18">
        <f t="shared" ref="C30:AC30" si="6">SUM(C8:C29)</f>
        <v>0</v>
      </c>
      <c r="D30" s="18">
        <f t="shared" si="6"/>
        <v>0</v>
      </c>
      <c r="E30" s="18">
        <f t="shared" si="6"/>
        <v>0</v>
      </c>
      <c r="F30" s="19">
        <f t="shared" si="6"/>
        <v>0</v>
      </c>
      <c r="G30" s="19">
        <f t="shared" si="6"/>
        <v>0</v>
      </c>
      <c r="H30" s="19">
        <f t="shared" si="6"/>
        <v>0</v>
      </c>
      <c r="I30" s="19">
        <f t="shared" si="6"/>
        <v>0</v>
      </c>
      <c r="J30" s="19">
        <f t="shared" si="6"/>
        <v>0</v>
      </c>
      <c r="K30" s="19">
        <f t="shared" si="6"/>
        <v>0</v>
      </c>
      <c r="L30" s="19">
        <f t="shared" si="6"/>
        <v>0</v>
      </c>
      <c r="M30" s="19">
        <f t="shared" si="6"/>
        <v>0</v>
      </c>
      <c r="N30" s="19">
        <f t="shared" si="6"/>
        <v>0</v>
      </c>
      <c r="O30" s="19">
        <f t="shared" si="6"/>
        <v>0</v>
      </c>
      <c r="P30" s="19">
        <f t="shared" si="6"/>
        <v>0</v>
      </c>
      <c r="Q30" s="19">
        <f t="shared" si="6"/>
        <v>0</v>
      </c>
      <c r="R30" s="19">
        <f t="shared" si="6"/>
        <v>0</v>
      </c>
      <c r="S30" s="19">
        <f t="shared" si="6"/>
        <v>0</v>
      </c>
      <c r="T30" s="19">
        <f t="shared" si="6"/>
        <v>0</v>
      </c>
      <c r="U30" s="19">
        <f t="shared" si="6"/>
        <v>0</v>
      </c>
      <c r="V30" s="19">
        <f t="shared" si="6"/>
        <v>0</v>
      </c>
      <c r="W30" s="19">
        <f t="shared" si="6"/>
        <v>0</v>
      </c>
      <c r="X30" s="19">
        <f t="shared" si="6"/>
        <v>0</v>
      </c>
      <c r="Y30" s="19">
        <f t="shared" si="6"/>
        <v>0</v>
      </c>
      <c r="Z30" s="19">
        <f t="shared" si="6"/>
        <v>0</v>
      </c>
      <c r="AA30" s="19">
        <f t="shared" si="6"/>
        <v>0</v>
      </c>
      <c r="AB30" s="20">
        <f t="shared" si="6"/>
        <v>0</v>
      </c>
      <c r="AC30" s="20">
        <f t="shared" si="6"/>
        <v>0</v>
      </c>
    </row>
    <row r="31" spans="1:35" s="23" customFormat="1" ht="24.95" customHeight="1" x14ac:dyDescent="0.25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</row>
    <row r="32" spans="1:35" s="23" customFormat="1" ht="24.95" customHeight="1" x14ac:dyDescent="0.25">
      <c r="K32" s="24"/>
      <c r="L32" s="24"/>
      <c r="M32" s="24"/>
      <c r="N32" s="25"/>
      <c r="O32" s="26"/>
      <c r="P32" s="27"/>
      <c r="S32" s="24"/>
      <c r="T32" s="24"/>
      <c r="U32" s="24"/>
      <c r="V32" s="24"/>
      <c r="W32" s="24"/>
      <c r="X32" s="24"/>
      <c r="Y32" s="28"/>
      <c r="Z32" s="24"/>
      <c r="AA32" s="24"/>
      <c r="AB32" s="28"/>
      <c r="AC32" s="24"/>
    </row>
    <row r="33" spans="1:35" s="23" customFormat="1" ht="24.95" customHeight="1" x14ac:dyDescent="0.25">
      <c r="K33" s="24"/>
      <c r="N33" s="25"/>
      <c r="O33" s="26"/>
      <c r="P33" s="27"/>
      <c r="S33" s="24"/>
      <c r="V33" s="24"/>
      <c r="Y33" s="28"/>
      <c r="AB33" s="28"/>
    </row>
    <row r="34" spans="1:35" s="23" customFormat="1" ht="24.95" customHeight="1" x14ac:dyDescent="0.25">
      <c r="K34" s="24"/>
      <c r="L34" s="24"/>
      <c r="M34" s="24"/>
      <c r="N34" s="29"/>
      <c r="O34" s="30"/>
      <c r="P34" s="29"/>
      <c r="S34" s="24"/>
      <c r="T34" s="24"/>
      <c r="U34" s="24"/>
      <c r="V34" s="24"/>
      <c r="W34" s="24"/>
      <c r="X34" s="24"/>
      <c r="Y34" s="16"/>
      <c r="Z34" s="24"/>
      <c r="AA34" s="24"/>
      <c r="AB34" s="16"/>
      <c r="AC34" s="24"/>
    </row>
    <row r="35" spans="1:35" s="23" customFormat="1" ht="23.1" customHeight="1" x14ac:dyDescent="0.25">
      <c r="F35" s="16"/>
      <c r="G35" s="16"/>
      <c r="H35" s="16"/>
      <c r="I35" s="16"/>
      <c r="J35" s="16"/>
      <c r="K35" s="24"/>
      <c r="L35" s="16"/>
      <c r="M35" s="16"/>
      <c r="N35" s="31"/>
      <c r="O35" s="31"/>
      <c r="P35" s="31"/>
      <c r="Q35" s="16"/>
      <c r="R35" s="16"/>
      <c r="S35" s="24"/>
      <c r="T35" s="16"/>
      <c r="U35" s="16"/>
      <c r="V35" s="24"/>
      <c r="W35" s="16"/>
      <c r="X35" s="16"/>
      <c r="Y35" s="32"/>
      <c r="Z35" s="16"/>
      <c r="AA35" s="16"/>
      <c r="AB35" s="32"/>
      <c r="AC35" s="16"/>
    </row>
    <row r="36" spans="1:35" ht="23.1" customHeight="1" x14ac:dyDescent="0.2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16"/>
      <c r="L36" s="23"/>
      <c r="M36" s="23"/>
      <c r="N36" s="16"/>
      <c r="O36" s="16"/>
      <c r="P36" s="16"/>
      <c r="Q36" s="23"/>
      <c r="R36" s="23"/>
      <c r="S36" s="16"/>
      <c r="T36" s="23"/>
      <c r="U36" s="23"/>
      <c r="V36" s="16"/>
      <c r="W36" s="23"/>
      <c r="X36" s="23"/>
      <c r="Y36" s="16"/>
      <c r="Z36" s="23"/>
      <c r="AA36" s="23"/>
      <c r="AB36" s="16"/>
      <c r="AC36" s="23"/>
      <c r="AD36" s="23"/>
      <c r="AE36" s="23"/>
      <c r="AF36" s="23"/>
      <c r="AG36" s="23"/>
      <c r="AH36" s="23"/>
      <c r="AI36" s="23"/>
    </row>
    <row r="37" spans="1:35" ht="23.1" customHeight="1" x14ac:dyDescent="0.2">
      <c r="L37" s="33"/>
      <c r="M37" s="33"/>
      <c r="N37" s="33"/>
      <c r="O37" s="33"/>
      <c r="P37" s="33"/>
      <c r="Q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</row>
    <row r="38" spans="1:35" ht="23.1" customHeight="1" x14ac:dyDescent="0.2">
      <c r="A38" s="33"/>
      <c r="B38" s="33"/>
      <c r="C38" s="33"/>
      <c r="D38" s="33"/>
      <c r="E38" s="33"/>
      <c r="F38" s="33"/>
      <c r="G38" s="33"/>
      <c r="M38" s="33"/>
      <c r="N38" s="33"/>
      <c r="O38" s="33"/>
      <c r="P38" s="33"/>
      <c r="Q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</row>
    <row r="39" spans="1:35" ht="23.1" customHeight="1" x14ac:dyDescent="0.2">
      <c r="U39" s="33"/>
      <c r="V39" s="33"/>
      <c r="W39" s="33"/>
      <c r="X39" s="33"/>
      <c r="Y39" s="33"/>
      <c r="Z39" s="33"/>
      <c r="AA39" s="33"/>
      <c r="AB39" s="33"/>
      <c r="AC39" s="33"/>
    </row>
    <row r="40" spans="1:35" ht="23.1" customHeight="1" x14ac:dyDescent="0.2"/>
  </sheetData>
  <mergeCells count="2">
    <mergeCell ref="A30:B30"/>
    <mergeCell ref="A17:A19"/>
  </mergeCells>
  <conditionalFormatting sqref="K34">
    <cfRule type="expression" dxfId="79" priority="13" stopIfTrue="1">
      <formula>#REF!="sobra"</formula>
    </cfRule>
    <cfRule type="expression" dxfId="78" priority="14" stopIfTrue="1">
      <formula>#REF!="Falta"</formula>
    </cfRule>
  </conditionalFormatting>
  <conditionalFormatting sqref="M34 S34">
    <cfRule type="expression" dxfId="77" priority="15" stopIfTrue="1">
      <formula>#REF!="sobra"</formula>
    </cfRule>
    <cfRule type="expression" dxfId="76" priority="16" stopIfTrue="1">
      <formula>#REF!="Falta"</formula>
    </cfRule>
  </conditionalFormatting>
  <conditionalFormatting sqref="U34:V34">
    <cfRule type="expression" dxfId="75" priority="11" stopIfTrue="1">
      <formula>#REF!="sobra"</formula>
    </cfRule>
    <cfRule type="expression" dxfId="74" priority="12" stopIfTrue="1">
      <formula>#REF!="Falta"</formula>
    </cfRule>
  </conditionalFormatting>
  <conditionalFormatting sqref="X34">
    <cfRule type="expression" dxfId="73" priority="9" stopIfTrue="1">
      <formula>#REF!="sobra"</formula>
    </cfRule>
    <cfRule type="expression" dxfId="72" priority="10" stopIfTrue="1">
      <formula>#REF!="Falta"</formula>
    </cfRule>
  </conditionalFormatting>
  <conditionalFormatting sqref="AA34">
    <cfRule type="expression" dxfId="71" priority="3" stopIfTrue="1">
      <formula>#REF!="sobra"</formula>
    </cfRule>
    <cfRule type="expression" dxfId="70" priority="4" stopIfTrue="1">
      <formula>#REF!="Falta"</formula>
    </cfRule>
  </conditionalFormatting>
  <conditionalFormatting sqref="AC34">
    <cfRule type="expression" dxfId="69" priority="1" stopIfTrue="1">
      <formula>#REF!="sobra"</formula>
    </cfRule>
    <cfRule type="expression" dxfId="68" priority="2" stopIfTrue="1">
      <formula>#REF!="Falta"</formula>
    </cfRule>
  </conditionalFormatting>
  <conditionalFormatting sqref="AE21:AE22">
    <cfRule type="containsText" dxfId="67" priority="5" stopIfTrue="1" operator="containsText" text="FALTA">
      <formula>NOT(ISERROR(SEARCH("FALTA",AE21)))</formula>
    </cfRule>
    <cfRule type="containsText" dxfId="66" priority="6" stopIfTrue="1" operator="containsText" text="SOBRA">
      <formula>NOT(ISERROR(SEARCH("SOBRA",AE21)))</formula>
    </cfRule>
  </conditionalFormatting>
  <conditionalFormatting sqref="AG21:AG22">
    <cfRule type="expression" dxfId="65" priority="7" stopIfTrue="1">
      <formula>$AF$26="sobra"</formula>
    </cfRule>
    <cfRule type="expression" dxfId="64" priority="8" stopIfTrue="1">
      <formula>$AF$26="Falta"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pageSetUpPr fitToPage="1"/>
  </sheetPr>
  <dimension ref="A1:AH39"/>
  <sheetViews>
    <sheetView showGridLines="0" zoomScale="70" zoomScaleNormal="70" workbookViewId="0">
      <pane xSplit="1" topLeftCell="B1" activePane="topRight" state="frozen"/>
      <selection pane="topRight" activeCell="G25" sqref="G25"/>
    </sheetView>
  </sheetViews>
  <sheetFormatPr defaultColWidth="9.140625" defaultRowHeight="12.75" x14ac:dyDescent="0.2"/>
  <cols>
    <col min="1" max="1" width="64.28515625" style="1" customWidth="1"/>
    <col min="2" max="2" width="23" style="1" bestFit="1" customWidth="1"/>
    <col min="3" max="28" width="10.7109375" style="1" customWidth="1"/>
    <col min="29" max="29" width="5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298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C29</f>
        <v>0</v>
      </c>
      <c r="D2" s="58">
        <f t="shared" ref="D2:I2" si="0">D29</f>
        <v>0</v>
      </c>
      <c r="E2" s="58">
        <f t="shared" si="0"/>
        <v>0</v>
      </c>
      <c r="F2" s="58">
        <f t="shared" si="0"/>
        <v>0</v>
      </c>
      <c r="G2" s="58">
        <f t="shared" si="0"/>
        <v>0</v>
      </c>
      <c r="H2" s="58">
        <f t="shared" si="0"/>
        <v>0</v>
      </c>
      <c r="I2" s="58">
        <f t="shared" si="0"/>
        <v>0</v>
      </c>
      <c r="J2" s="58">
        <f t="shared" ref="J2:AB2" si="1">J29</f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C29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C29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88" t="s">
        <v>21</v>
      </c>
      <c r="B7" s="87" t="s">
        <v>12</v>
      </c>
      <c r="C7" s="89" t="str">
        <f t="shared" ref="C7:AB7" si="5">C1</f>
        <v>Molho</v>
      </c>
      <c r="D7" s="89" t="str">
        <f t="shared" si="5"/>
        <v>Litros Chantilly</v>
      </c>
      <c r="E7" s="89" t="str">
        <f t="shared" si="5"/>
        <v>Mini Chantilly</v>
      </c>
      <c r="F7" s="66" t="str">
        <f t="shared" si="5"/>
        <v>Tetra</v>
      </c>
      <c r="G7" s="66" t="str">
        <f t="shared" si="5"/>
        <v>Tp Cul.</v>
      </c>
      <c r="H7" s="66" t="str">
        <f t="shared" si="5"/>
        <v>Fresco 250g</v>
      </c>
      <c r="I7" s="67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Jundmel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143" t="str">
        <f t="shared" si="5"/>
        <v>Clara</v>
      </c>
      <c r="AC7" s="86" t="s">
        <v>14</v>
      </c>
      <c r="AD7" s="69" t="s">
        <v>15</v>
      </c>
      <c r="AE7" s="70"/>
      <c r="AF7" s="71"/>
      <c r="AG7" s="71"/>
      <c r="AH7" s="71"/>
    </row>
    <row r="8" spans="1:34" ht="64.5" customHeight="1" x14ac:dyDescent="0.35">
      <c r="A8" s="119" t="s">
        <v>383</v>
      </c>
      <c r="B8" s="166"/>
      <c r="C8" s="158"/>
      <c r="D8" s="158"/>
      <c r="E8" s="7"/>
      <c r="F8" s="7"/>
      <c r="G8" s="7"/>
      <c r="H8" s="163"/>
      <c r="I8" s="7"/>
      <c r="J8" s="7"/>
      <c r="K8" s="7"/>
      <c r="L8" s="163"/>
      <c r="M8" s="7"/>
      <c r="N8" s="163"/>
      <c r="O8" s="7"/>
      <c r="P8" s="7"/>
      <c r="Q8" s="7"/>
      <c r="R8" s="163"/>
      <c r="S8" s="7"/>
      <c r="T8" s="163"/>
      <c r="U8" s="7"/>
      <c r="V8" s="7"/>
      <c r="W8" s="6"/>
      <c r="X8" s="7"/>
      <c r="Y8" s="7"/>
      <c r="Z8" s="6"/>
      <c r="AA8" s="7"/>
      <c r="AB8" s="144"/>
      <c r="AC8" s="149"/>
      <c r="AD8" s="43"/>
      <c r="AE8" s="12"/>
      <c r="AF8" s="35"/>
      <c r="AG8" s="35"/>
      <c r="AH8" s="35"/>
    </row>
    <row r="9" spans="1:34" ht="40.5" customHeight="1" x14ac:dyDescent="0.35">
      <c r="A9" s="119" t="s">
        <v>345</v>
      </c>
      <c r="B9" s="166"/>
      <c r="C9" s="158"/>
      <c r="D9" s="158"/>
      <c r="E9" s="7"/>
      <c r="F9" s="7"/>
      <c r="G9" s="7"/>
      <c r="H9" s="163"/>
      <c r="I9" s="7"/>
      <c r="J9" s="7"/>
      <c r="K9" s="7"/>
      <c r="L9" s="163"/>
      <c r="M9" s="7"/>
      <c r="N9" s="163"/>
      <c r="O9" s="7"/>
      <c r="P9" s="7"/>
      <c r="Q9" s="7"/>
      <c r="R9" s="163"/>
      <c r="S9" s="7"/>
      <c r="T9" s="163"/>
      <c r="U9" s="7"/>
      <c r="V9" s="7"/>
      <c r="W9" s="6"/>
      <c r="X9" s="7"/>
      <c r="Y9" s="7"/>
      <c r="Z9" s="6"/>
      <c r="AA9" s="7"/>
      <c r="AB9" s="144"/>
      <c r="AC9" s="149"/>
      <c r="AD9" s="43"/>
      <c r="AE9" s="12"/>
      <c r="AF9" s="35"/>
      <c r="AG9" s="35"/>
      <c r="AH9" s="35"/>
    </row>
    <row r="10" spans="1:34" ht="23.25" hidden="1" x14ac:dyDescent="0.35">
      <c r="A10" s="5" t="s">
        <v>204</v>
      </c>
      <c r="B10" s="161"/>
      <c r="C10" s="158"/>
      <c r="D10" s="158" t="s">
        <v>196</v>
      </c>
      <c r="E10" s="7"/>
      <c r="F10" s="7"/>
      <c r="G10" s="7"/>
      <c r="H10" s="163"/>
      <c r="I10" s="7"/>
      <c r="J10" s="7"/>
      <c r="K10" s="7"/>
      <c r="L10" s="163"/>
      <c r="M10" s="7"/>
      <c r="N10" s="163"/>
      <c r="O10" s="7"/>
      <c r="P10" s="7"/>
      <c r="Q10" s="7"/>
      <c r="R10" s="163"/>
      <c r="S10" s="7"/>
      <c r="T10" s="163"/>
      <c r="U10" s="7"/>
      <c r="V10" s="7"/>
      <c r="W10" s="6"/>
      <c r="X10" s="7"/>
      <c r="Y10" s="7"/>
      <c r="Z10" s="6"/>
      <c r="AA10" s="7"/>
      <c r="AB10" s="144"/>
      <c r="AC10" s="149"/>
      <c r="AD10" s="43"/>
      <c r="AE10" s="12"/>
      <c r="AF10" s="35"/>
      <c r="AG10" s="35"/>
      <c r="AH10" s="35"/>
    </row>
    <row r="11" spans="1:34" ht="29.25" customHeight="1" x14ac:dyDescent="0.35">
      <c r="A11" s="115" t="s">
        <v>362</v>
      </c>
      <c r="B11" s="161"/>
      <c r="C11" s="162"/>
      <c r="D11" s="162"/>
      <c r="E11" s="7"/>
      <c r="F11" s="7"/>
      <c r="G11" s="7"/>
      <c r="H11" s="163"/>
      <c r="I11" s="7"/>
      <c r="J11" s="7"/>
      <c r="K11" s="7"/>
      <c r="L11" s="163"/>
      <c r="M11" s="7"/>
      <c r="N11" s="163"/>
      <c r="O11" s="7"/>
      <c r="P11" s="7"/>
      <c r="Q11" s="7"/>
      <c r="R11" s="163"/>
      <c r="S11" s="7"/>
      <c r="T11" s="163"/>
      <c r="U11" s="7"/>
      <c r="V11" s="7"/>
      <c r="W11" s="6"/>
      <c r="X11" s="7"/>
      <c r="Y11" s="7"/>
      <c r="Z11" s="6"/>
      <c r="AA11" s="7"/>
      <c r="AB11" s="144"/>
      <c r="AC11" s="149"/>
      <c r="AD11" s="43"/>
      <c r="AE11" s="12"/>
      <c r="AF11" s="35"/>
      <c r="AG11" s="35"/>
      <c r="AH11" s="35"/>
    </row>
    <row r="12" spans="1:34" ht="26.25" customHeight="1" x14ac:dyDescent="0.35">
      <c r="A12" s="5" t="s">
        <v>136</v>
      </c>
      <c r="B12" s="161"/>
      <c r="C12" s="162"/>
      <c r="D12" s="162"/>
      <c r="E12" s="7"/>
      <c r="F12" s="7"/>
      <c r="G12" s="7"/>
      <c r="H12" s="163"/>
      <c r="I12" s="7"/>
      <c r="J12" s="7"/>
      <c r="K12" s="7"/>
      <c r="L12" s="163"/>
      <c r="M12" s="7"/>
      <c r="N12" s="163"/>
      <c r="O12" s="7"/>
      <c r="P12" s="7"/>
      <c r="Q12" s="7"/>
      <c r="R12" s="163"/>
      <c r="S12" s="7"/>
      <c r="T12" s="163"/>
      <c r="U12" s="7"/>
      <c r="V12" s="7"/>
      <c r="W12" s="6"/>
      <c r="X12" s="7"/>
      <c r="Y12" s="7"/>
      <c r="Z12" s="6"/>
      <c r="AA12" s="7"/>
      <c r="AB12" s="144"/>
      <c r="AC12" s="149"/>
      <c r="AD12" s="43"/>
      <c r="AE12" s="12"/>
      <c r="AF12" s="35"/>
      <c r="AG12" s="35"/>
      <c r="AH12" s="35"/>
    </row>
    <row r="13" spans="1:34" ht="61.5" x14ac:dyDescent="0.35">
      <c r="A13" s="115" t="s">
        <v>363</v>
      </c>
      <c r="B13" s="161" t="s">
        <v>365</v>
      </c>
      <c r="C13" s="162"/>
      <c r="D13" s="162"/>
      <c r="E13" s="7"/>
      <c r="F13" s="7"/>
      <c r="G13" s="7"/>
      <c r="H13" s="163"/>
      <c r="I13" s="7"/>
      <c r="J13" s="7"/>
      <c r="K13" s="7"/>
      <c r="L13" s="163"/>
      <c r="M13" s="7"/>
      <c r="N13" s="163"/>
      <c r="O13" s="7"/>
      <c r="P13" s="7"/>
      <c r="Q13" s="7"/>
      <c r="R13" s="163"/>
      <c r="S13" s="7"/>
      <c r="T13" s="163"/>
      <c r="U13" s="7"/>
      <c r="V13" s="7"/>
      <c r="W13" s="6"/>
      <c r="X13" s="7"/>
      <c r="Y13" s="7"/>
      <c r="Z13" s="6"/>
      <c r="AA13" s="7"/>
      <c r="AB13" s="144"/>
      <c r="AC13" s="149"/>
      <c r="AD13" s="43"/>
      <c r="AE13" s="12"/>
      <c r="AF13" s="35"/>
      <c r="AG13" s="35"/>
      <c r="AH13" s="35"/>
    </row>
    <row r="14" spans="1:34" ht="61.5" x14ac:dyDescent="0.35">
      <c r="A14" s="115" t="s">
        <v>325</v>
      </c>
      <c r="B14" s="161" t="s">
        <v>196</v>
      </c>
      <c r="C14" s="162"/>
      <c r="D14" s="162"/>
      <c r="E14" s="7"/>
      <c r="F14" s="7"/>
      <c r="G14" s="7"/>
      <c r="H14" s="163"/>
      <c r="I14" s="7"/>
      <c r="J14" s="7"/>
      <c r="K14" s="7"/>
      <c r="L14" s="163"/>
      <c r="M14" s="7"/>
      <c r="N14" s="163"/>
      <c r="O14" s="7"/>
      <c r="P14" s="7"/>
      <c r="Q14" s="7"/>
      <c r="R14" s="163"/>
      <c r="S14" s="7"/>
      <c r="T14" s="163"/>
      <c r="U14" s="7"/>
      <c r="V14" s="7"/>
      <c r="W14" s="6"/>
      <c r="X14" s="7"/>
      <c r="Y14" s="7"/>
      <c r="Z14" s="6"/>
      <c r="AA14" s="7"/>
      <c r="AB14" s="144"/>
      <c r="AC14" s="149"/>
      <c r="AD14" s="43"/>
      <c r="AE14" s="12"/>
      <c r="AF14" s="35"/>
      <c r="AG14" s="35"/>
      <c r="AH14" s="35"/>
    </row>
    <row r="15" spans="1:34" ht="41.25" hidden="1" x14ac:dyDescent="0.35">
      <c r="A15" s="115" t="s">
        <v>279</v>
      </c>
      <c r="B15" s="161"/>
      <c r="C15" s="162"/>
      <c r="D15" s="162"/>
      <c r="E15" s="7"/>
      <c r="F15" s="7"/>
      <c r="G15" s="7"/>
      <c r="H15" s="163"/>
      <c r="I15" s="7"/>
      <c r="J15" s="7"/>
      <c r="K15" s="7"/>
      <c r="L15" s="163"/>
      <c r="M15" s="7"/>
      <c r="N15" s="163"/>
      <c r="O15" s="7"/>
      <c r="P15" s="7"/>
      <c r="Q15" s="7"/>
      <c r="R15" s="163"/>
      <c r="S15" s="7"/>
      <c r="T15" s="163"/>
      <c r="U15" s="7"/>
      <c r="V15" s="7"/>
      <c r="W15" s="6"/>
      <c r="X15" s="7"/>
      <c r="Y15" s="7"/>
      <c r="Z15" s="6"/>
      <c r="AA15" s="7"/>
      <c r="AB15" s="144"/>
      <c r="AC15" s="149"/>
      <c r="AD15" s="43"/>
      <c r="AE15" s="12"/>
      <c r="AF15" s="35"/>
      <c r="AG15" s="35"/>
      <c r="AH15" s="35"/>
    </row>
    <row r="16" spans="1:34" ht="41.25" hidden="1" x14ac:dyDescent="0.35">
      <c r="A16" s="119" t="s">
        <v>239</v>
      </c>
      <c r="B16" s="161"/>
      <c r="C16" s="162"/>
      <c r="D16" s="162"/>
      <c r="E16" s="7"/>
      <c r="F16" s="7"/>
      <c r="G16" s="7"/>
      <c r="H16" s="163"/>
      <c r="I16" s="7"/>
      <c r="J16" s="7"/>
      <c r="K16" s="7"/>
      <c r="L16" s="163"/>
      <c r="M16" s="7"/>
      <c r="N16" s="163"/>
      <c r="O16" s="7"/>
      <c r="P16" s="7"/>
      <c r="Q16" s="7"/>
      <c r="R16" s="163"/>
      <c r="S16" s="7"/>
      <c r="T16" s="163"/>
      <c r="U16" s="7"/>
      <c r="V16" s="7"/>
      <c r="W16" s="6"/>
      <c r="X16" s="7"/>
      <c r="Y16" s="7"/>
      <c r="Z16" s="6"/>
      <c r="AA16" s="7"/>
      <c r="AB16" s="144"/>
      <c r="AC16" s="147"/>
      <c r="AD16" s="43"/>
      <c r="AE16" s="12"/>
      <c r="AF16" s="35"/>
      <c r="AG16" s="35"/>
      <c r="AH16" s="35"/>
    </row>
    <row r="17" spans="1:34" ht="23.25" hidden="1" x14ac:dyDescent="0.35">
      <c r="A17" s="72" t="s">
        <v>214</v>
      </c>
      <c r="B17" s="161"/>
      <c r="C17" s="158"/>
      <c r="D17" s="158"/>
      <c r="E17" s="11"/>
      <c r="F17" s="11"/>
      <c r="G17" s="11"/>
      <c r="H17" s="159"/>
      <c r="I17" s="11"/>
      <c r="J17" s="11"/>
      <c r="K17" s="11"/>
      <c r="L17" s="159"/>
      <c r="M17" s="11"/>
      <c r="N17" s="159"/>
      <c r="O17" s="11"/>
      <c r="P17" s="11"/>
      <c r="Q17" s="11"/>
      <c r="R17" s="159"/>
      <c r="S17" s="11"/>
      <c r="T17" s="159"/>
      <c r="U17" s="11"/>
      <c r="V17" s="11"/>
      <c r="W17" s="10"/>
      <c r="X17" s="11"/>
      <c r="Y17" s="11"/>
      <c r="Z17" s="10"/>
      <c r="AA17" s="11"/>
      <c r="AB17" s="85"/>
      <c r="AC17" s="148"/>
      <c r="AD17" s="43"/>
      <c r="AE17" s="12"/>
      <c r="AF17" s="35"/>
      <c r="AG17" s="35"/>
      <c r="AH17" s="35"/>
    </row>
    <row r="18" spans="1:34" ht="32.25" hidden="1" customHeight="1" x14ac:dyDescent="0.3">
      <c r="A18" s="72" t="s">
        <v>211</v>
      </c>
      <c r="B18" s="161"/>
      <c r="C18" s="158"/>
      <c r="D18" s="158"/>
      <c r="E18" s="11"/>
      <c r="F18" s="11"/>
      <c r="G18" s="11"/>
      <c r="H18" s="159"/>
      <c r="I18" s="11"/>
      <c r="J18" s="11"/>
      <c r="K18" s="11"/>
      <c r="L18" s="159"/>
      <c r="M18" s="11"/>
      <c r="N18" s="159"/>
      <c r="O18" s="11"/>
      <c r="P18" s="11"/>
      <c r="Q18" s="11"/>
      <c r="R18" s="159"/>
      <c r="S18" s="11"/>
      <c r="T18" s="159"/>
      <c r="U18" s="11"/>
      <c r="V18" s="11"/>
      <c r="W18" s="10"/>
      <c r="X18" s="11"/>
      <c r="Y18" s="11"/>
      <c r="Z18" s="10"/>
      <c r="AA18" s="11"/>
      <c r="AB18" s="85"/>
      <c r="AC18" s="148"/>
      <c r="AD18" s="45"/>
    </row>
    <row r="19" spans="1:34" ht="32.25" customHeight="1" x14ac:dyDescent="0.3">
      <c r="A19" s="72"/>
      <c r="B19" s="161"/>
      <c r="C19" s="158"/>
      <c r="D19" s="158"/>
      <c r="E19" s="11"/>
      <c r="F19" s="11"/>
      <c r="G19" s="11"/>
      <c r="H19" s="159"/>
      <c r="I19" s="11"/>
      <c r="J19" s="11"/>
      <c r="K19" s="11"/>
      <c r="L19" s="159"/>
      <c r="M19" s="11"/>
      <c r="N19" s="159"/>
      <c r="O19" s="11"/>
      <c r="P19" s="11"/>
      <c r="Q19" s="11"/>
      <c r="R19" s="159"/>
      <c r="S19" s="11"/>
      <c r="T19" s="159"/>
      <c r="U19" s="11"/>
      <c r="V19" s="11"/>
      <c r="W19" s="10"/>
      <c r="X19" s="11"/>
      <c r="Y19" s="11"/>
      <c r="Z19" s="10"/>
      <c r="AA19" s="11"/>
      <c r="AB19" s="85"/>
      <c r="AC19" s="148"/>
      <c r="AD19" s="45"/>
    </row>
    <row r="20" spans="1:34" ht="60.75" x14ac:dyDescent="0.3">
      <c r="A20" s="119" t="s">
        <v>277</v>
      </c>
      <c r="B20" s="161"/>
      <c r="C20" s="158"/>
      <c r="D20" s="158"/>
      <c r="E20" s="11"/>
      <c r="F20" s="11"/>
      <c r="G20" s="11"/>
      <c r="H20" s="159"/>
      <c r="I20" s="11"/>
      <c r="J20" s="11"/>
      <c r="K20" s="11"/>
      <c r="L20" s="159"/>
      <c r="M20" s="11"/>
      <c r="N20" s="159"/>
      <c r="O20" s="11"/>
      <c r="P20" s="11"/>
      <c r="Q20" s="11"/>
      <c r="R20" s="159"/>
      <c r="S20" s="11"/>
      <c r="T20" s="159"/>
      <c r="U20" s="11"/>
      <c r="V20" s="11"/>
      <c r="W20" s="10"/>
      <c r="X20" s="11"/>
      <c r="Y20" s="11"/>
      <c r="Z20" s="10"/>
      <c r="AA20" s="11"/>
      <c r="AB20" s="85"/>
      <c r="AC20" s="148"/>
      <c r="AD20" s="45"/>
    </row>
    <row r="21" spans="1:34" ht="24.95" hidden="1" customHeight="1" x14ac:dyDescent="0.3">
      <c r="A21" s="173" t="s">
        <v>291</v>
      </c>
      <c r="B21" s="161"/>
      <c r="C21" s="158"/>
      <c r="D21" s="158"/>
      <c r="E21" s="11"/>
      <c r="F21" s="11"/>
      <c r="G21" s="11"/>
      <c r="H21" s="159"/>
      <c r="I21" s="11"/>
      <c r="J21" s="11"/>
      <c r="K21" s="11"/>
      <c r="L21" s="159"/>
      <c r="M21" s="11"/>
      <c r="N21" s="159"/>
      <c r="O21" s="11"/>
      <c r="P21" s="11"/>
      <c r="Q21" s="11"/>
      <c r="R21" s="159"/>
      <c r="S21" s="11"/>
      <c r="T21" s="159"/>
      <c r="U21" s="11"/>
      <c r="V21" s="11"/>
      <c r="W21" s="10"/>
      <c r="X21" s="11"/>
      <c r="Y21" s="11"/>
      <c r="Z21" s="10"/>
      <c r="AA21" s="11"/>
      <c r="AB21" s="85"/>
      <c r="AC21" s="148"/>
      <c r="AD21" s="45"/>
    </row>
    <row r="22" spans="1:34" ht="22.5" customHeight="1" x14ac:dyDescent="0.3">
      <c r="A22" s="119"/>
      <c r="B22" s="161"/>
      <c r="C22" s="158"/>
      <c r="D22" s="158"/>
      <c r="E22" s="11"/>
      <c r="F22" s="11"/>
      <c r="G22" s="11"/>
      <c r="H22" s="159"/>
      <c r="I22" s="11"/>
      <c r="J22" s="11"/>
      <c r="K22" s="11"/>
      <c r="L22" s="159"/>
      <c r="M22" s="11"/>
      <c r="N22" s="159"/>
      <c r="O22" s="11"/>
      <c r="P22" s="11"/>
      <c r="Q22" s="11"/>
      <c r="R22" s="159"/>
      <c r="S22" s="11"/>
      <c r="T22" s="159"/>
      <c r="U22" s="11"/>
      <c r="V22" s="11"/>
      <c r="W22" s="10"/>
      <c r="X22" s="11"/>
      <c r="Y22" s="11"/>
      <c r="Z22" s="10"/>
      <c r="AA22" s="11"/>
      <c r="AB22" s="85"/>
      <c r="AC22" s="148"/>
      <c r="AD22" s="45"/>
    </row>
    <row r="23" spans="1:34" ht="41.25" hidden="1" x14ac:dyDescent="0.35">
      <c r="A23" s="115" t="s">
        <v>180</v>
      </c>
      <c r="B23" s="161" t="s">
        <v>44</v>
      </c>
      <c r="C23" s="158"/>
      <c r="D23" s="158" t="s">
        <v>196</v>
      </c>
      <c r="E23" s="11"/>
      <c r="F23" s="11"/>
      <c r="G23" s="11"/>
      <c r="H23" s="159"/>
      <c r="I23" s="11"/>
      <c r="J23" s="11"/>
      <c r="K23" s="11"/>
      <c r="L23" s="159"/>
      <c r="M23" s="11"/>
      <c r="N23" s="159"/>
      <c r="O23" s="11"/>
      <c r="P23" s="11"/>
      <c r="Q23" s="11"/>
      <c r="R23" s="159"/>
      <c r="S23" s="11"/>
      <c r="T23" s="159"/>
      <c r="U23" s="11"/>
      <c r="V23" s="11"/>
      <c r="W23" s="10"/>
      <c r="X23" s="11"/>
      <c r="Y23" s="11"/>
      <c r="Z23" s="10"/>
      <c r="AA23" s="11"/>
      <c r="AB23" s="85"/>
      <c r="AC23" s="80"/>
      <c r="AD23" s="42"/>
      <c r="AE23" s="14"/>
      <c r="AF23" s="37"/>
      <c r="AG23" s="37"/>
      <c r="AH23" s="37"/>
    </row>
    <row r="24" spans="1:34" ht="34.5" customHeight="1" x14ac:dyDescent="0.35">
      <c r="A24" s="121" t="s">
        <v>326</v>
      </c>
      <c r="B24" s="161"/>
      <c r="C24" s="158"/>
      <c r="D24" s="158"/>
      <c r="E24" s="11"/>
      <c r="F24" s="11"/>
      <c r="G24" s="11"/>
      <c r="H24" s="159"/>
      <c r="I24" s="11"/>
      <c r="J24" s="11"/>
      <c r="K24" s="11"/>
      <c r="L24" s="159"/>
      <c r="M24" s="11"/>
      <c r="N24" s="159"/>
      <c r="O24" s="11"/>
      <c r="P24" s="11"/>
      <c r="Q24" s="11"/>
      <c r="R24" s="159"/>
      <c r="S24" s="11"/>
      <c r="T24" s="159"/>
      <c r="U24" s="11"/>
      <c r="V24" s="11"/>
      <c r="W24" s="10"/>
      <c r="X24" s="11"/>
      <c r="Y24" s="11"/>
      <c r="Z24" s="10"/>
      <c r="AA24" s="11"/>
      <c r="AB24" s="85"/>
      <c r="AC24" s="80"/>
      <c r="AD24" s="42"/>
      <c r="AE24" s="14"/>
      <c r="AF24" s="37"/>
      <c r="AG24" s="37"/>
      <c r="AH24" s="37"/>
    </row>
    <row r="25" spans="1:34" ht="23.25" x14ac:dyDescent="0.35">
      <c r="A25" s="115"/>
      <c r="B25" s="161"/>
      <c r="C25" s="158"/>
      <c r="D25" s="158"/>
      <c r="E25" s="11"/>
      <c r="F25" s="11"/>
      <c r="G25" s="11"/>
      <c r="H25" s="159"/>
      <c r="I25" s="11"/>
      <c r="J25" s="11"/>
      <c r="K25" s="11"/>
      <c r="L25" s="159"/>
      <c r="M25" s="11"/>
      <c r="N25" s="159"/>
      <c r="O25" s="11"/>
      <c r="P25" s="11"/>
      <c r="Q25" s="11"/>
      <c r="R25" s="159"/>
      <c r="S25" s="11"/>
      <c r="T25" s="159"/>
      <c r="U25" s="11"/>
      <c r="V25" s="11"/>
      <c r="W25" s="10"/>
      <c r="X25" s="11"/>
      <c r="Y25" s="11"/>
      <c r="Z25" s="10"/>
      <c r="AA25" s="11"/>
      <c r="AB25" s="85"/>
      <c r="AC25" s="80"/>
      <c r="AD25" s="42"/>
      <c r="AE25" s="14"/>
      <c r="AF25" s="37"/>
      <c r="AG25" s="37"/>
      <c r="AH25" s="37"/>
    </row>
    <row r="26" spans="1:34" ht="24.95" customHeight="1" x14ac:dyDescent="0.35">
      <c r="A26" s="5" t="s">
        <v>101</v>
      </c>
      <c r="B26" s="161"/>
      <c r="C26" s="158"/>
      <c r="D26" s="158"/>
      <c r="E26" s="11"/>
      <c r="F26" s="11"/>
      <c r="G26" s="11"/>
      <c r="H26" s="159"/>
      <c r="I26" s="11"/>
      <c r="J26" s="11"/>
      <c r="K26" s="11"/>
      <c r="L26" s="159"/>
      <c r="M26" s="11"/>
      <c r="N26" s="159"/>
      <c r="O26" s="11"/>
      <c r="P26" s="11"/>
      <c r="Q26" s="11"/>
      <c r="R26" s="159"/>
      <c r="S26" s="11"/>
      <c r="T26" s="159"/>
      <c r="U26" s="11"/>
      <c r="V26" s="11"/>
      <c r="W26" s="10"/>
      <c r="X26" s="11"/>
      <c r="Y26" s="11"/>
      <c r="Z26" s="10"/>
      <c r="AA26" s="11"/>
      <c r="AB26" s="85"/>
      <c r="AC26" s="80"/>
      <c r="AD26" s="42"/>
      <c r="AE26" s="14"/>
      <c r="AF26" s="37"/>
      <c r="AG26" s="37"/>
      <c r="AH26" s="37"/>
    </row>
    <row r="27" spans="1:34" ht="24.95" customHeight="1" x14ac:dyDescent="0.35">
      <c r="A27" s="5" t="s">
        <v>102</v>
      </c>
      <c r="B27" s="161"/>
      <c r="C27" s="158"/>
      <c r="D27" s="158"/>
      <c r="E27" s="11"/>
      <c r="F27" s="11"/>
      <c r="G27" s="11"/>
      <c r="H27" s="159"/>
      <c r="I27" s="11"/>
      <c r="J27" s="11"/>
      <c r="K27" s="11"/>
      <c r="L27" s="159"/>
      <c r="M27" s="11"/>
      <c r="N27" s="159"/>
      <c r="O27" s="11"/>
      <c r="P27" s="11"/>
      <c r="Q27" s="11"/>
      <c r="R27" s="159"/>
      <c r="S27" s="11"/>
      <c r="T27" s="159"/>
      <c r="U27" s="11"/>
      <c r="V27" s="11"/>
      <c r="W27" s="10"/>
      <c r="X27" s="11"/>
      <c r="Y27" s="11"/>
      <c r="Z27" s="10"/>
      <c r="AA27" s="11"/>
      <c r="AB27" s="85"/>
      <c r="AC27" s="80"/>
      <c r="AD27" s="42"/>
      <c r="AE27" s="14"/>
      <c r="AF27" s="37"/>
      <c r="AG27" s="37"/>
      <c r="AH27" s="37"/>
    </row>
    <row r="28" spans="1:34" ht="24.95" customHeight="1" thickBot="1" x14ac:dyDescent="0.4">
      <c r="A28" s="5" t="s">
        <v>103</v>
      </c>
      <c r="B28" s="161"/>
      <c r="C28" s="158"/>
      <c r="D28" s="158"/>
      <c r="E28" s="11"/>
      <c r="F28" s="11"/>
      <c r="G28" s="11"/>
      <c r="H28" s="159"/>
      <c r="I28" s="11"/>
      <c r="J28" s="11"/>
      <c r="K28" s="11"/>
      <c r="L28" s="159"/>
      <c r="M28" s="11"/>
      <c r="N28" s="159"/>
      <c r="O28" s="11"/>
      <c r="P28" s="11"/>
      <c r="Q28" s="11"/>
      <c r="R28" s="159"/>
      <c r="S28" s="11"/>
      <c r="T28" s="159"/>
      <c r="U28" s="11"/>
      <c r="V28" s="11"/>
      <c r="W28" s="10"/>
      <c r="X28" s="11"/>
      <c r="Y28" s="11"/>
      <c r="Z28" s="10"/>
      <c r="AA28" s="11"/>
      <c r="AB28" s="85"/>
      <c r="AC28" s="80"/>
      <c r="AD28" s="42"/>
      <c r="AE28" s="14"/>
      <c r="AF28" s="37"/>
      <c r="AG28" s="37"/>
      <c r="AH28" s="37"/>
    </row>
    <row r="29" spans="1:34" ht="24.95" customHeight="1" thickBot="1" x14ac:dyDescent="0.35">
      <c r="A29" s="182" t="s">
        <v>13</v>
      </c>
      <c r="B29" s="183"/>
      <c r="C29" s="18">
        <f t="shared" ref="C29:AB29" si="6">SUM(C8:C28)</f>
        <v>0</v>
      </c>
      <c r="D29" s="18">
        <f t="shared" si="6"/>
        <v>0</v>
      </c>
      <c r="E29" s="18">
        <f t="shared" si="6"/>
        <v>0</v>
      </c>
      <c r="F29" s="18">
        <f t="shared" si="6"/>
        <v>0</v>
      </c>
      <c r="G29" s="18">
        <f t="shared" si="6"/>
        <v>0</v>
      </c>
      <c r="H29" s="18">
        <f t="shared" si="6"/>
        <v>0</v>
      </c>
      <c r="I29" s="18">
        <f t="shared" si="6"/>
        <v>0</v>
      </c>
      <c r="J29" s="18">
        <f t="shared" si="6"/>
        <v>0</v>
      </c>
      <c r="K29" s="18">
        <f t="shared" si="6"/>
        <v>0</v>
      </c>
      <c r="L29" s="18">
        <f t="shared" si="6"/>
        <v>0</v>
      </c>
      <c r="M29" s="18">
        <f t="shared" si="6"/>
        <v>0</v>
      </c>
      <c r="N29" s="18">
        <f t="shared" si="6"/>
        <v>0</v>
      </c>
      <c r="O29" s="18">
        <f t="shared" si="6"/>
        <v>0</v>
      </c>
      <c r="P29" s="18">
        <f t="shared" si="6"/>
        <v>0</v>
      </c>
      <c r="Q29" s="18">
        <f t="shared" si="6"/>
        <v>0</v>
      </c>
      <c r="R29" s="18">
        <f t="shared" si="6"/>
        <v>0</v>
      </c>
      <c r="S29" s="18">
        <f t="shared" si="6"/>
        <v>0</v>
      </c>
      <c r="T29" s="18">
        <f t="shared" si="6"/>
        <v>0</v>
      </c>
      <c r="U29" s="18">
        <f t="shared" si="6"/>
        <v>0</v>
      </c>
      <c r="V29" s="18">
        <f t="shared" si="6"/>
        <v>0</v>
      </c>
      <c r="W29" s="18">
        <f t="shared" si="6"/>
        <v>0</v>
      </c>
      <c r="X29" s="18">
        <f t="shared" si="6"/>
        <v>0</v>
      </c>
      <c r="Y29" s="18">
        <f t="shared" si="6"/>
        <v>0</v>
      </c>
      <c r="Z29" s="18">
        <f t="shared" si="6"/>
        <v>0</v>
      </c>
      <c r="AA29" s="18">
        <f t="shared" si="6"/>
        <v>0</v>
      </c>
      <c r="AB29" s="18">
        <f t="shared" si="6"/>
        <v>0</v>
      </c>
    </row>
    <row r="30" spans="1:34" s="23" customFormat="1" ht="24.95" customHeight="1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</row>
    <row r="31" spans="1:34" s="23" customFormat="1" ht="24.95" customHeight="1" x14ac:dyDescent="0.25">
      <c r="J31" s="24"/>
      <c r="K31" s="24"/>
      <c r="L31" s="24"/>
      <c r="M31" s="25"/>
      <c r="N31" s="26"/>
      <c r="O31" s="27"/>
      <c r="R31" s="24"/>
      <c r="S31" s="24"/>
      <c r="T31" s="24"/>
      <c r="U31" s="24"/>
      <c r="V31" s="24"/>
      <c r="W31" s="24"/>
      <c r="X31" s="28"/>
      <c r="Y31" s="24"/>
      <c r="Z31" s="24"/>
      <c r="AA31" s="28"/>
      <c r="AB31" s="24"/>
    </row>
    <row r="32" spans="1:34" s="23" customFormat="1" ht="24.95" customHeight="1" x14ac:dyDescent="0.25">
      <c r="J32" s="24"/>
      <c r="M32" s="25"/>
      <c r="N32" s="26"/>
      <c r="O32" s="27"/>
      <c r="R32" s="24"/>
      <c r="U32" s="24"/>
      <c r="X32" s="28"/>
      <c r="AA32" s="28"/>
    </row>
    <row r="33" spans="1:34" s="23" customFormat="1" ht="24.95" customHeight="1" x14ac:dyDescent="0.25">
      <c r="J33" s="24"/>
      <c r="K33" s="24"/>
      <c r="L33" s="24"/>
      <c r="M33" s="29"/>
      <c r="N33" s="30"/>
      <c r="O33" s="29"/>
      <c r="R33" s="24"/>
      <c r="S33" s="24"/>
      <c r="T33" s="24"/>
      <c r="U33" s="24"/>
      <c r="V33" s="24"/>
      <c r="W33" s="24"/>
      <c r="X33" s="16"/>
      <c r="Y33" s="24"/>
      <c r="Z33" s="24"/>
      <c r="AA33" s="16"/>
      <c r="AB33" s="24"/>
    </row>
    <row r="34" spans="1:34" s="23" customFormat="1" ht="23.1" customHeight="1" x14ac:dyDescent="0.25">
      <c r="F34" s="16"/>
      <c r="G34" s="16"/>
      <c r="H34" s="16"/>
      <c r="I34" s="16"/>
      <c r="J34" s="24"/>
      <c r="K34" s="16"/>
      <c r="L34" s="16"/>
      <c r="M34" s="31"/>
      <c r="N34" s="31"/>
      <c r="O34" s="31"/>
      <c r="P34" s="16"/>
      <c r="Q34" s="16"/>
      <c r="R34" s="24"/>
      <c r="S34" s="16"/>
      <c r="T34" s="16"/>
      <c r="U34" s="24"/>
      <c r="V34" s="16"/>
      <c r="W34" s="16"/>
      <c r="X34" s="32"/>
      <c r="Y34" s="16"/>
      <c r="Z34" s="16"/>
      <c r="AA34" s="32"/>
      <c r="AB34" s="16"/>
    </row>
    <row r="35" spans="1:34" ht="23.1" customHeight="1" x14ac:dyDescent="0.2">
      <c r="A35" s="23"/>
      <c r="B35" s="23"/>
      <c r="C35" s="23"/>
      <c r="D35" s="23"/>
      <c r="E35" s="23"/>
      <c r="F35" s="23"/>
      <c r="G35" s="23"/>
      <c r="H35" s="23"/>
      <c r="I35" s="23"/>
      <c r="J35" s="16"/>
      <c r="K35" s="23"/>
      <c r="L35" s="23"/>
      <c r="M35" s="16"/>
      <c r="N35" s="16"/>
      <c r="O35" s="16"/>
      <c r="P35" s="23"/>
      <c r="Q35" s="23"/>
      <c r="R35" s="16"/>
      <c r="S35" s="23"/>
      <c r="T35" s="23"/>
      <c r="U35" s="16"/>
      <c r="V35" s="23"/>
      <c r="W35" s="23"/>
      <c r="X35" s="16"/>
      <c r="Y35" s="23"/>
      <c r="Z35" s="23"/>
      <c r="AA35" s="16"/>
      <c r="AB35" s="23"/>
      <c r="AC35" s="23"/>
      <c r="AD35" s="23"/>
      <c r="AE35" s="23"/>
      <c r="AF35" s="23"/>
      <c r="AG35" s="23"/>
      <c r="AH35" s="23"/>
    </row>
    <row r="36" spans="1:34" ht="23.1" customHeight="1" x14ac:dyDescent="0.2">
      <c r="K36" s="33"/>
      <c r="L36" s="33"/>
      <c r="M36" s="33"/>
      <c r="N36" s="33"/>
      <c r="O36" s="33"/>
      <c r="P36" s="33"/>
      <c r="S36" s="33"/>
      <c r="T36" s="33"/>
      <c r="U36" s="33"/>
      <c r="V36" s="33"/>
      <c r="W36" s="33"/>
      <c r="X36" s="33"/>
      <c r="Y36" s="33"/>
      <c r="Z36" s="33"/>
      <c r="AA36" s="33"/>
      <c r="AB36" s="33"/>
    </row>
    <row r="37" spans="1:34" ht="23.1" customHeight="1" x14ac:dyDescent="0.2">
      <c r="A37" s="33"/>
      <c r="B37" s="33"/>
      <c r="C37" s="33"/>
      <c r="D37" s="33"/>
      <c r="E37" s="33"/>
      <c r="F37" s="33"/>
      <c r="G37" s="33"/>
      <c r="L37" s="33"/>
      <c r="M37" s="33"/>
      <c r="N37" s="33"/>
      <c r="O37" s="33"/>
      <c r="P37" s="33"/>
      <c r="S37" s="33"/>
      <c r="T37" s="33"/>
      <c r="U37" s="33"/>
      <c r="V37" s="33"/>
      <c r="W37" s="33"/>
      <c r="X37" s="33"/>
      <c r="Y37" s="33"/>
      <c r="Z37" s="33"/>
      <c r="AA37" s="33"/>
      <c r="AB37" s="33"/>
    </row>
    <row r="38" spans="1:34" ht="23.1" customHeight="1" x14ac:dyDescent="0.2">
      <c r="T38" s="33"/>
      <c r="U38" s="33"/>
      <c r="V38" s="33"/>
      <c r="W38" s="33"/>
      <c r="X38" s="33"/>
      <c r="Y38" s="33"/>
      <c r="Z38" s="33"/>
      <c r="AA38" s="33"/>
      <c r="AB38" s="33"/>
    </row>
    <row r="39" spans="1:34" ht="23.1" customHeight="1" x14ac:dyDescent="0.2"/>
  </sheetData>
  <mergeCells count="1">
    <mergeCell ref="A29:B29"/>
  </mergeCells>
  <conditionalFormatting sqref="J33">
    <cfRule type="expression" dxfId="63" priority="13" stopIfTrue="1">
      <formula>#REF!="sobra"</formula>
    </cfRule>
    <cfRule type="expression" dxfId="62" priority="14" stopIfTrue="1">
      <formula>#REF!="Falta"</formula>
    </cfRule>
  </conditionalFormatting>
  <conditionalFormatting sqref="L33 R33">
    <cfRule type="expression" dxfId="61" priority="15" stopIfTrue="1">
      <formula>#REF!="sobra"</formula>
    </cfRule>
    <cfRule type="expression" dxfId="60" priority="16" stopIfTrue="1">
      <formula>#REF!="Falta"</formula>
    </cfRule>
  </conditionalFormatting>
  <conditionalFormatting sqref="T33:U33">
    <cfRule type="expression" dxfId="59" priority="11" stopIfTrue="1">
      <formula>#REF!="sobra"</formula>
    </cfRule>
    <cfRule type="expression" dxfId="58" priority="12" stopIfTrue="1">
      <formula>#REF!="Falta"</formula>
    </cfRule>
  </conditionalFormatting>
  <conditionalFormatting sqref="W33">
    <cfRule type="expression" dxfId="57" priority="9" stopIfTrue="1">
      <formula>#REF!="sobra"</formula>
    </cfRule>
    <cfRule type="expression" dxfId="56" priority="10" stopIfTrue="1">
      <formula>#REF!="Falta"</formula>
    </cfRule>
  </conditionalFormatting>
  <conditionalFormatting sqref="Z33">
    <cfRule type="expression" dxfId="55" priority="3" stopIfTrue="1">
      <formula>#REF!="sobra"</formula>
    </cfRule>
    <cfRule type="expression" dxfId="54" priority="4" stopIfTrue="1">
      <formula>#REF!="Falta"</formula>
    </cfRule>
  </conditionalFormatting>
  <conditionalFormatting sqref="AB33">
    <cfRule type="expression" dxfId="53" priority="1" stopIfTrue="1">
      <formula>#REF!="sobra"</formula>
    </cfRule>
    <cfRule type="expression" dxfId="52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pageSetUpPr fitToPage="1"/>
  </sheetPr>
  <dimension ref="A1:AH55"/>
  <sheetViews>
    <sheetView showGridLines="0" zoomScale="60" zoomScaleNormal="60" workbookViewId="0">
      <pane xSplit="1" topLeftCell="B1" activePane="topRight" state="frozen"/>
      <selection pane="topRight" activeCell="A42" sqref="A42"/>
    </sheetView>
  </sheetViews>
  <sheetFormatPr defaultColWidth="9.140625" defaultRowHeight="12.75" x14ac:dyDescent="0.2"/>
  <cols>
    <col min="1" max="1" width="82.28515625" style="1" customWidth="1"/>
    <col min="2" max="2" width="16.85546875" style="1" customWidth="1"/>
    <col min="3" max="28" width="10.7109375" style="1" customWidth="1"/>
    <col min="29" max="29" width="63.4257812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16</v>
      </c>
      <c r="C1" s="53" t="s">
        <v>217</v>
      </c>
      <c r="D1" s="53" t="s">
        <v>194</v>
      </c>
      <c r="E1" s="53" t="s">
        <v>195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3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59" t="s">
        <v>9</v>
      </c>
      <c r="C2" s="78">
        <v>0</v>
      </c>
      <c r="D2" s="78">
        <f t="shared" ref="D2:E2" si="0">D47</f>
        <v>0</v>
      </c>
      <c r="E2" s="78">
        <f t="shared" si="0"/>
        <v>0</v>
      </c>
      <c r="F2" s="78">
        <v>0</v>
      </c>
      <c r="G2" s="78"/>
      <c r="H2" s="78">
        <v>0</v>
      </c>
      <c r="I2" s="78">
        <v>0</v>
      </c>
      <c r="J2" s="78">
        <v>0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8">
        <v>0</v>
      </c>
      <c r="AB2" s="78">
        <v>0</v>
      </c>
    </row>
    <row r="3" spans="1:34" ht="24.95" customHeight="1" x14ac:dyDescent="0.3">
      <c r="A3" s="2"/>
      <c r="B3" s="59" t="s">
        <v>10</v>
      </c>
      <c r="C3" s="60">
        <f t="shared" ref="C3:AB3" si="1">C2-C4</f>
        <v>0</v>
      </c>
      <c r="D3" s="60"/>
      <c r="E3" s="60"/>
      <c r="F3" s="60">
        <f t="shared" si="1"/>
        <v>0</v>
      </c>
      <c r="G3" s="60"/>
      <c r="H3" s="60">
        <f t="shared" si="1"/>
        <v>0</v>
      </c>
      <c r="I3" s="60">
        <f t="shared" si="1"/>
        <v>0</v>
      </c>
      <c r="J3" s="60">
        <f t="shared" si="1"/>
        <v>0</v>
      </c>
      <c r="K3" s="60">
        <f t="shared" si="1"/>
        <v>0</v>
      </c>
      <c r="L3" s="60">
        <f t="shared" si="1"/>
        <v>0</v>
      </c>
      <c r="M3" s="60">
        <f t="shared" si="1"/>
        <v>0</v>
      </c>
      <c r="N3" s="60">
        <f t="shared" si="1"/>
        <v>0</v>
      </c>
      <c r="O3" s="60">
        <f t="shared" si="1"/>
        <v>0</v>
      </c>
      <c r="P3" s="60">
        <f t="shared" si="1"/>
        <v>0</v>
      </c>
      <c r="Q3" s="60">
        <f t="shared" si="1"/>
        <v>0</v>
      </c>
      <c r="R3" s="60">
        <f t="shared" si="1"/>
        <v>0</v>
      </c>
      <c r="S3" s="60">
        <f t="shared" si="1"/>
        <v>0</v>
      </c>
      <c r="T3" s="60">
        <f t="shared" si="1"/>
        <v>0</v>
      </c>
      <c r="U3" s="60">
        <f t="shared" si="1"/>
        <v>0</v>
      </c>
      <c r="V3" s="60">
        <f t="shared" si="1"/>
        <v>0</v>
      </c>
      <c r="W3" s="60">
        <f t="shared" si="1"/>
        <v>0</v>
      </c>
      <c r="X3" s="60">
        <f t="shared" si="1"/>
        <v>0</v>
      </c>
      <c r="Y3" s="60">
        <f t="shared" si="1"/>
        <v>0</v>
      </c>
      <c r="Z3" s="60">
        <f t="shared" si="1"/>
        <v>0</v>
      </c>
      <c r="AA3" s="60">
        <f t="shared" si="1"/>
        <v>0</v>
      </c>
      <c r="AB3" s="60">
        <f t="shared" si="1"/>
        <v>0</v>
      </c>
    </row>
    <row r="4" spans="1:34" ht="24.95" customHeight="1" x14ac:dyDescent="0.3">
      <c r="A4" s="61"/>
      <c r="B4" s="76" t="s">
        <v>22</v>
      </c>
      <c r="C4" s="77">
        <f t="shared" ref="C4:AB4" si="2">C45</f>
        <v>0</v>
      </c>
      <c r="D4" s="77">
        <f t="shared" si="2"/>
        <v>0</v>
      </c>
      <c r="E4" s="77">
        <f t="shared" si="2"/>
        <v>0</v>
      </c>
      <c r="F4" s="77">
        <f t="shared" si="2"/>
        <v>0</v>
      </c>
      <c r="G4" s="77">
        <f t="shared" si="2"/>
        <v>0</v>
      </c>
      <c r="H4" s="77">
        <f t="shared" si="2"/>
        <v>0</v>
      </c>
      <c r="I4" s="77">
        <f t="shared" si="2"/>
        <v>0</v>
      </c>
      <c r="J4" s="77">
        <f t="shared" si="2"/>
        <v>0</v>
      </c>
      <c r="K4" s="77">
        <f t="shared" si="2"/>
        <v>0</v>
      </c>
      <c r="L4" s="77">
        <f t="shared" si="2"/>
        <v>0</v>
      </c>
      <c r="M4" s="77">
        <f t="shared" si="2"/>
        <v>0</v>
      </c>
      <c r="N4" s="77">
        <f t="shared" si="2"/>
        <v>0</v>
      </c>
      <c r="O4" s="77">
        <f t="shared" si="2"/>
        <v>0</v>
      </c>
      <c r="P4" s="77">
        <f t="shared" si="2"/>
        <v>0</v>
      </c>
      <c r="Q4" s="77">
        <f t="shared" si="2"/>
        <v>0</v>
      </c>
      <c r="R4" s="77">
        <f t="shared" si="2"/>
        <v>0</v>
      </c>
      <c r="S4" s="77">
        <f t="shared" si="2"/>
        <v>0</v>
      </c>
      <c r="T4" s="77">
        <f t="shared" si="2"/>
        <v>0</v>
      </c>
      <c r="U4" s="77">
        <f t="shared" si="2"/>
        <v>0</v>
      </c>
      <c r="V4" s="77">
        <f t="shared" si="2"/>
        <v>0</v>
      </c>
      <c r="W4" s="77">
        <f t="shared" si="2"/>
        <v>0</v>
      </c>
      <c r="X4" s="77">
        <f t="shared" si="2"/>
        <v>0</v>
      </c>
      <c r="Y4" s="77">
        <f t="shared" si="2"/>
        <v>0</v>
      </c>
      <c r="Z4" s="77">
        <f t="shared" si="2"/>
        <v>0</v>
      </c>
      <c r="AA4" s="77">
        <f t="shared" si="2"/>
        <v>0</v>
      </c>
      <c r="AB4" s="77">
        <f t="shared" si="2"/>
        <v>0</v>
      </c>
    </row>
    <row r="5" spans="1:34" ht="24.95" customHeight="1" x14ac:dyDescent="0.3">
      <c r="A5" s="61"/>
      <c r="B5" s="59" t="s">
        <v>11</v>
      </c>
      <c r="C5" s="60">
        <f t="shared" ref="C5:AB5" si="3">C45</f>
        <v>0</v>
      </c>
      <c r="D5" s="60"/>
      <c r="E5" s="60"/>
      <c r="F5" s="60">
        <f t="shared" si="3"/>
        <v>0</v>
      </c>
      <c r="G5" s="60"/>
      <c r="H5" s="60">
        <f t="shared" si="3"/>
        <v>0</v>
      </c>
      <c r="I5" s="60">
        <f t="shared" si="3"/>
        <v>0</v>
      </c>
      <c r="J5" s="60">
        <f t="shared" si="3"/>
        <v>0</v>
      </c>
      <c r="K5" s="60">
        <f t="shared" si="3"/>
        <v>0</v>
      </c>
      <c r="L5" s="60">
        <f t="shared" si="3"/>
        <v>0</v>
      </c>
      <c r="M5" s="60">
        <f t="shared" si="3"/>
        <v>0</v>
      </c>
      <c r="N5" s="60">
        <f t="shared" si="3"/>
        <v>0</v>
      </c>
      <c r="O5" s="60">
        <f t="shared" si="3"/>
        <v>0</v>
      </c>
      <c r="P5" s="60">
        <f t="shared" si="3"/>
        <v>0</v>
      </c>
      <c r="Q5" s="60">
        <f t="shared" si="3"/>
        <v>0</v>
      </c>
      <c r="R5" s="60">
        <f t="shared" si="3"/>
        <v>0</v>
      </c>
      <c r="S5" s="60">
        <f t="shared" si="3"/>
        <v>0</v>
      </c>
      <c r="T5" s="60">
        <f t="shared" si="3"/>
        <v>0</v>
      </c>
      <c r="U5" s="60">
        <f t="shared" si="3"/>
        <v>0</v>
      </c>
      <c r="V5" s="60">
        <f t="shared" si="3"/>
        <v>0</v>
      </c>
      <c r="W5" s="60">
        <f t="shared" si="3"/>
        <v>0</v>
      </c>
      <c r="X5" s="60">
        <f t="shared" si="3"/>
        <v>0</v>
      </c>
      <c r="Y5" s="60">
        <f t="shared" si="3"/>
        <v>0</v>
      </c>
      <c r="Z5" s="60">
        <f t="shared" si="3"/>
        <v>0</v>
      </c>
      <c r="AA5" s="60">
        <f t="shared" si="3"/>
        <v>0</v>
      </c>
      <c r="AB5" s="60">
        <f t="shared" si="3"/>
        <v>0</v>
      </c>
    </row>
    <row r="6" spans="1:34" ht="24.95" customHeight="1" thickBot="1" x14ac:dyDescent="0.3">
      <c r="A6" s="3"/>
      <c r="B6" s="3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50"/>
      <c r="Z6" s="50"/>
      <c r="AA6" s="50"/>
      <c r="AB6" s="50"/>
    </row>
    <row r="7" spans="1:34" s="52" customFormat="1" ht="55.5" x14ac:dyDescent="0.35">
      <c r="A7" s="142" t="s">
        <v>21</v>
      </c>
      <c r="B7" s="87" t="s">
        <v>12</v>
      </c>
      <c r="C7" s="89" t="str">
        <f t="shared" ref="C7:AB7" si="4">C1</f>
        <v>Molho</v>
      </c>
      <c r="D7" s="66" t="str">
        <f t="shared" si="4"/>
        <v>Litro chantilly</v>
      </c>
      <c r="E7" s="66" t="str">
        <f t="shared" si="4"/>
        <v>Mini chantilly</v>
      </c>
      <c r="F7" s="66" t="str">
        <f t="shared" si="4"/>
        <v>Tetra</v>
      </c>
      <c r="G7" s="66" t="str">
        <f t="shared" si="4"/>
        <v>Tp Cul.</v>
      </c>
      <c r="H7" s="89" t="str">
        <f t="shared" si="4"/>
        <v>Fresco 250g</v>
      </c>
      <c r="I7" s="67" t="str">
        <f t="shared" si="4"/>
        <v>Fresco 500g</v>
      </c>
      <c r="J7" s="67" t="str">
        <f t="shared" si="4"/>
        <v>Fresco 1kg</v>
      </c>
      <c r="K7" s="67" t="str">
        <f t="shared" si="4"/>
        <v>Seco Fino</v>
      </c>
      <c r="L7" s="67" t="str">
        <f t="shared" si="4"/>
        <v>Seco Flocos</v>
      </c>
      <c r="M7" s="67" t="str">
        <f t="shared" si="4"/>
        <v>Marsh 500g</v>
      </c>
      <c r="N7" s="67" t="str">
        <f t="shared" si="4"/>
        <v>Marsh 1kg</v>
      </c>
      <c r="O7" s="67" t="str">
        <f t="shared" si="4"/>
        <v>Massa 1kg</v>
      </c>
      <c r="P7" s="67" t="str">
        <f t="shared" si="4"/>
        <v>Massa 2.2kg</v>
      </c>
      <c r="Q7" s="67" t="str">
        <f t="shared" si="4"/>
        <v>Semi-Folhada 2kg</v>
      </c>
      <c r="R7" s="67" t="str">
        <f t="shared" si="4"/>
        <v>Brig PT 1kg</v>
      </c>
      <c r="S7" s="67" t="str">
        <f t="shared" si="4"/>
        <v>Beij PT 1kg</v>
      </c>
      <c r="T7" s="67" t="str">
        <f t="shared" si="4"/>
        <v>Brig PT 2kg</v>
      </c>
      <c r="U7" s="67" t="str">
        <f t="shared" si="4"/>
        <v>Beij PT 2kg</v>
      </c>
      <c r="V7" s="67" t="str">
        <f t="shared" si="4"/>
        <v>Brig Cl 1kg</v>
      </c>
      <c r="W7" s="67" t="str">
        <f t="shared" si="4"/>
        <v>Beij Cl 1kg</v>
      </c>
      <c r="X7" s="67" t="str">
        <f t="shared" si="4"/>
        <v>Jundmel</v>
      </c>
      <c r="Y7" s="67" t="str">
        <f t="shared" si="4"/>
        <v>Pão de Queijo</v>
      </c>
      <c r="Z7" s="67" t="str">
        <f t="shared" si="4"/>
        <v>Ovo</v>
      </c>
      <c r="AA7" s="67" t="str">
        <f t="shared" si="4"/>
        <v>Gema</v>
      </c>
      <c r="AB7" s="143" t="str">
        <f t="shared" si="4"/>
        <v>Clara</v>
      </c>
      <c r="AC7" s="140" t="s">
        <v>14</v>
      </c>
      <c r="AD7" s="141" t="s">
        <v>15</v>
      </c>
      <c r="AE7" s="70"/>
      <c r="AF7" s="71"/>
      <c r="AG7" s="71"/>
      <c r="AH7" s="71"/>
    </row>
    <row r="8" spans="1:34" ht="27" hidden="1" customHeight="1" x14ac:dyDescent="0.35">
      <c r="A8" s="97" t="s">
        <v>95</v>
      </c>
      <c r="B8" s="114"/>
      <c r="C8" s="104"/>
      <c r="D8" s="104"/>
      <c r="E8" s="105"/>
      <c r="F8" s="105"/>
      <c r="G8" s="105"/>
      <c r="H8" s="105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  <c r="AA8" s="106"/>
      <c r="AB8" s="107"/>
      <c r="AC8" s="139"/>
      <c r="AD8" s="75"/>
      <c r="AE8" s="14"/>
      <c r="AF8" s="34"/>
      <c r="AG8" s="34"/>
      <c r="AH8" s="34"/>
    </row>
    <row r="9" spans="1:34" ht="27" customHeight="1" thickBot="1" x14ac:dyDescent="0.4">
      <c r="A9" s="90" t="s">
        <v>213</v>
      </c>
      <c r="B9" s="164"/>
      <c r="C9" s="158"/>
      <c r="D9" s="158"/>
      <c r="E9" s="11"/>
      <c r="F9" s="11"/>
      <c r="G9" s="11"/>
      <c r="H9" s="159"/>
      <c r="I9" s="11"/>
      <c r="J9" s="11"/>
      <c r="K9" s="11"/>
      <c r="L9" s="10"/>
      <c r="M9" s="11"/>
      <c r="N9" s="10"/>
      <c r="O9" s="11"/>
      <c r="P9" s="11"/>
      <c r="Q9" s="11"/>
      <c r="R9" s="10"/>
      <c r="S9" s="11"/>
      <c r="T9" s="10"/>
      <c r="U9" s="11"/>
      <c r="V9" s="11"/>
      <c r="W9" s="10"/>
      <c r="X9" s="11"/>
      <c r="Y9" s="11"/>
      <c r="Z9" s="10"/>
      <c r="AA9" s="11"/>
      <c r="AB9" s="85"/>
      <c r="AC9" s="147" t="s">
        <v>212</v>
      </c>
      <c r="AD9" s="75"/>
      <c r="AE9" s="14"/>
      <c r="AF9" s="34"/>
      <c r="AG9" s="34"/>
      <c r="AH9" s="34"/>
    </row>
    <row r="10" spans="1:34" ht="28.5" hidden="1" customHeight="1" thickBot="1" x14ac:dyDescent="0.4">
      <c r="A10" s="5" t="s">
        <v>190</v>
      </c>
      <c r="B10" s="114"/>
      <c r="C10" s="104"/>
      <c r="D10" s="104"/>
      <c r="E10" s="105"/>
      <c r="F10" s="105"/>
      <c r="G10" s="105"/>
      <c r="H10" s="105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  <c r="AA10" s="106"/>
      <c r="AB10" s="107"/>
      <c r="AC10" s="134"/>
      <c r="AD10" s="75"/>
      <c r="AE10" s="14"/>
      <c r="AF10" s="34"/>
      <c r="AG10" s="34"/>
      <c r="AH10" s="34"/>
    </row>
    <row r="11" spans="1:34" ht="28.5" hidden="1" customHeight="1" thickBot="1" x14ac:dyDescent="0.4">
      <c r="A11" s="115" t="s">
        <v>166</v>
      </c>
      <c r="B11" s="114"/>
      <c r="C11" s="104"/>
      <c r="D11" s="104"/>
      <c r="E11" s="105"/>
      <c r="F11" s="105"/>
      <c r="G11" s="105"/>
      <c r="H11" s="105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7"/>
      <c r="AC11" s="160"/>
      <c r="AD11" s="75"/>
      <c r="AE11" s="14"/>
      <c r="AF11" s="34"/>
      <c r="AG11" s="34"/>
      <c r="AH11" s="34"/>
    </row>
    <row r="12" spans="1:34" ht="28.5" customHeight="1" x14ac:dyDescent="0.35">
      <c r="A12" s="8" t="s">
        <v>137</v>
      </c>
      <c r="B12" s="161"/>
      <c r="C12" s="162"/>
      <c r="D12" s="162" t="s">
        <v>196</v>
      </c>
      <c r="E12" s="7"/>
      <c r="F12" s="7"/>
      <c r="G12" s="7"/>
      <c r="H12" s="163"/>
      <c r="I12" s="7"/>
      <c r="J12" s="7"/>
      <c r="K12" s="7"/>
      <c r="L12" s="6"/>
      <c r="M12" s="7"/>
      <c r="N12" s="6"/>
      <c r="O12" s="7"/>
      <c r="P12" s="7"/>
      <c r="Q12" s="7"/>
      <c r="R12" s="6"/>
      <c r="S12" s="7"/>
      <c r="T12" s="6"/>
      <c r="U12" s="7"/>
      <c r="V12" s="7"/>
      <c r="W12" s="6"/>
      <c r="X12" s="7"/>
      <c r="Y12" s="7"/>
      <c r="Z12" s="6"/>
      <c r="AA12" s="7"/>
      <c r="AB12" s="144"/>
      <c r="AC12" s="135"/>
      <c r="AD12" s="75"/>
      <c r="AE12" s="14"/>
      <c r="AF12" s="34"/>
      <c r="AG12" s="34"/>
      <c r="AH12" s="34"/>
    </row>
    <row r="13" spans="1:34" ht="28.5" hidden="1" customHeight="1" x14ac:dyDescent="0.35">
      <c r="A13" s="8" t="s">
        <v>219</v>
      </c>
      <c r="B13" s="164"/>
      <c r="C13" s="162"/>
      <c r="D13" s="162"/>
      <c r="E13" s="7"/>
      <c r="F13" s="7"/>
      <c r="G13" s="7"/>
      <c r="H13" s="163"/>
      <c r="I13" s="7"/>
      <c r="J13" s="7"/>
      <c r="K13" s="7"/>
      <c r="L13" s="6"/>
      <c r="M13" s="7"/>
      <c r="N13" s="6"/>
      <c r="O13" s="7"/>
      <c r="P13" s="7"/>
      <c r="Q13" s="7"/>
      <c r="R13" s="6"/>
      <c r="S13" s="7"/>
      <c r="T13" s="6"/>
      <c r="U13" s="7"/>
      <c r="V13" s="7"/>
      <c r="W13" s="6"/>
      <c r="X13" s="7"/>
      <c r="Y13" s="7"/>
      <c r="Z13" s="6"/>
      <c r="AA13" s="7"/>
      <c r="AB13" s="144"/>
      <c r="AC13" s="125"/>
      <c r="AD13" s="75"/>
      <c r="AE13" s="14"/>
      <c r="AF13" s="34"/>
      <c r="AG13" s="34"/>
      <c r="AH13" s="34"/>
    </row>
    <row r="14" spans="1:34" ht="27" customHeight="1" x14ac:dyDescent="0.35">
      <c r="A14" s="5" t="s">
        <v>138</v>
      </c>
      <c r="B14" s="164"/>
      <c r="C14" s="158"/>
      <c r="D14" s="158" t="s">
        <v>196</v>
      </c>
      <c r="E14" s="11"/>
      <c r="F14" s="11"/>
      <c r="G14" s="11"/>
      <c r="H14" s="159"/>
      <c r="I14" s="11"/>
      <c r="J14" s="11"/>
      <c r="K14" s="11"/>
      <c r="L14" s="10"/>
      <c r="M14" s="11"/>
      <c r="N14" s="10"/>
      <c r="O14" s="11"/>
      <c r="P14" s="11"/>
      <c r="Q14" s="11"/>
      <c r="R14" s="10"/>
      <c r="S14" s="11"/>
      <c r="T14" s="10"/>
      <c r="U14" s="11"/>
      <c r="V14" s="11"/>
      <c r="W14" s="10"/>
      <c r="X14" s="11"/>
      <c r="Y14" s="11"/>
      <c r="Z14" s="10"/>
      <c r="AA14" s="11"/>
      <c r="AB14" s="85"/>
      <c r="AC14" s="125"/>
      <c r="AD14" s="42"/>
      <c r="AE14" s="14"/>
      <c r="AF14" s="34"/>
      <c r="AG14" s="34"/>
      <c r="AH14" s="34"/>
    </row>
    <row r="15" spans="1:34" ht="28.5" hidden="1" customHeight="1" x14ac:dyDescent="0.35">
      <c r="A15" s="8" t="s">
        <v>133</v>
      </c>
      <c r="B15" s="164"/>
      <c r="C15" s="158"/>
      <c r="D15" s="158"/>
      <c r="E15" s="11"/>
      <c r="F15" s="11"/>
      <c r="G15" s="11"/>
      <c r="H15" s="159"/>
      <c r="I15" s="11"/>
      <c r="J15" s="11"/>
      <c r="K15" s="11"/>
      <c r="L15" s="10"/>
      <c r="M15" s="11"/>
      <c r="N15" s="10"/>
      <c r="O15" s="11"/>
      <c r="P15" s="11"/>
      <c r="Q15" s="11"/>
      <c r="R15" s="10"/>
      <c r="S15" s="11"/>
      <c r="T15" s="10"/>
      <c r="U15" s="11"/>
      <c r="V15" s="11"/>
      <c r="W15" s="10"/>
      <c r="X15" s="11"/>
      <c r="Y15" s="11"/>
      <c r="Z15" s="10"/>
      <c r="AA15" s="11"/>
      <c r="AB15" s="85"/>
      <c r="AC15" s="125"/>
      <c r="AD15" s="42"/>
      <c r="AE15" s="14"/>
      <c r="AF15" s="34"/>
      <c r="AG15" s="34"/>
      <c r="AH15" s="34"/>
    </row>
    <row r="16" spans="1:34" ht="28.5" hidden="1" customHeight="1" x14ac:dyDescent="0.35">
      <c r="A16" s="5" t="s">
        <v>74</v>
      </c>
      <c r="B16" s="164"/>
      <c r="C16" s="158"/>
      <c r="D16" s="158" t="s">
        <v>196</v>
      </c>
      <c r="E16" s="11"/>
      <c r="F16" s="11"/>
      <c r="G16" s="11"/>
      <c r="H16" s="159"/>
      <c r="I16" s="11"/>
      <c r="J16" s="11"/>
      <c r="K16" s="11"/>
      <c r="L16" s="10"/>
      <c r="M16" s="11"/>
      <c r="N16" s="10"/>
      <c r="O16" s="11"/>
      <c r="P16" s="11"/>
      <c r="Q16" s="11"/>
      <c r="R16" s="10"/>
      <c r="S16" s="11"/>
      <c r="T16" s="10"/>
      <c r="U16" s="11"/>
      <c r="V16" s="11"/>
      <c r="W16" s="10"/>
      <c r="X16" s="11"/>
      <c r="Y16" s="11"/>
      <c r="Z16" s="10"/>
      <c r="AA16" s="11"/>
      <c r="AB16" s="85"/>
      <c r="AC16" s="125"/>
      <c r="AD16" s="42"/>
      <c r="AE16" s="14"/>
      <c r="AF16" s="34"/>
      <c r="AG16" s="34"/>
      <c r="AH16" s="34"/>
    </row>
    <row r="17" spans="1:34" ht="27" hidden="1" customHeight="1" x14ac:dyDescent="0.35">
      <c r="A17" s="5" t="s">
        <v>75</v>
      </c>
      <c r="B17" s="164"/>
      <c r="C17" s="158"/>
      <c r="D17" s="158" t="s">
        <v>196</v>
      </c>
      <c r="E17" s="11"/>
      <c r="F17" s="11"/>
      <c r="G17" s="11"/>
      <c r="H17" s="159"/>
      <c r="I17" s="11"/>
      <c r="J17" s="11"/>
      <c r="K17" s="11"/>
      <c r="L17" s="10"/>
      <c r="M17" s="11"/>
      <c r="N17" s="10"/>
      <c r="O17" s="11"/>
      <c r="P17" s="11"/>
      <c r="Q17" s="11"/>
      <c r="R17" s="10"/>
      <c r="S17" s="11"/>
      <c r="T17" s="10"/>
      <c r="U17" s="11"/>
      <c r="V17" s="11"/>
      <c r="W17" s="10"/>
      <c r="X17" s="11"/>
      <c r="Y17" s="11"/>
      <c r="Z17" s="10"/>
      <c r="AA17" s="11"/>
      <c r="AB17" s="85"/>
      <c r="AC17" s="125"/>
      <c r="AD17" s="42"/>
      <c r="AE17" s="14"/>
      <c r="AF17" s="34"/>
      <c r="AG17" s="34"/>
      <c r="AH17" s="34"/>
    </row>
    <row r="18" spans="1:34" ht="24.95" hidden="1" customHeight="1" x14ac:dyDescent="0.35">
      <c r="A18" s="115" t="s">
        <v>182</v>
      </c>
      <c r="B18" s="164" t="s">
        <v>44</v>
      </c>
      <c r="C18" s="158"/>
      <c r="D18" s="158"/>
      <c r="E18" s="11"/>
      <c r="F18" s="11"/>
      <c r="G18" s="11"/>
      <c r="H18" s="159"/>
      <c r="I18" s="11"/>
      <c r="J18" s="11"/>
      <c r="K18" s="11"/>
      <c r="L18" s="10"/>
      <c r="M18" s="11"/>
      <c r="N18" s="10"/>
      <c r="O18" s="11"/>
      <c r="P18" s="11"/>
      <c r="Q18" s="11"/>
      <c r="R18" s="10"/>
      <c r="S18" s="11"/>
      <c r="T18" s="10"/>
      <c r="U18" s="11"/>
      <c r="V18" s="11"/>
      <c r="W18" s="10"/>
      <c r="X18" s="11"/>
      <c r="Y18" s="11"/>
      <c r="Z18" s="10"/>
      <c r="AA18" s="11"/>
      <c r="AB18" s="85"/>
      <c r="AC18" s="125"/>
      <c r="AD18" s="42"/>
      <c r="AE18" s="14"/>
      <c r="AF18" s="34"/>
      <c r="AG18" s="34"/>
      <c r="AH18" s="34"/>
    </row>
    <row r="19" spans="1:34" ht="28.5" customHeight="1" x14ac:dyDescent="0.35">
      <c r="A19" s="115" t="s">
        <v>340</v>
      </c>
      <c r="B19" s="164"/>
      <c r="C19" s="158"/>
      <c r="D19" s="158" t="s">
        <v>196</v>
      </c>
      <c r="E19" s="11"/>
      <c r="F19" s="11"/>
      <c r="G19" s="11"/>
      <c r="H19" s="159"/>
      <c r="I19" s="11"/>
      <c r="J19" s="11"/>
      <c r="K19" s="11"/>
      <c r="L19" s="10"/>
      <c r="M19" s="11"/>
      <c r="N19" s="10"/>
      <c r="O19" s="11"/>
      <c r="P19" s="11"/>
      <c r="Q19" s="11"/>
      <c r="R19" s="10"/>
      <c r="S19" s="11"/>
      <c r="T19" s="10"/>
      <c r="U19" s="11"/>
      <c r="V19" s="11"/>
      <c r="W19" s="10"/>
      <c r="X19" s="11"/>
      <c r="Y19" s="11"/>
      <c r="Z19" s="10"/>
      <c r="AA19" s="11"/>
      <c r="AB19" s="85"/>
      <c r="AC19" s="125"/>
      <c r="AD19" s="42"/>
      <c r="AE19" s="14"/>
      <c r="AF19" s="34"/>
      <c r="AG19" s="34"/>
      <c r="AH19" s="34"/>
    </row>
    <row r="20" spans="1:34" ht="27" customHeight="1" x14ac:dyDescent="0.35">
      <c r="A20" s="115" t="s">
        <v>341</v>
      </c>
      <c r="B20" s="164"/>
      <c r="C20" s="158"/>
      <c r="D20" s="158" t="s">
        <v>196</v>
      </c>
      <c r="E20" s="11"/>
      <c r="F20" s="11"/>
      <c r="G20" s="11"/>
      <c r="H20" s="159"/>
      <c r="I20" s="11"/>
      <c r="J20" s="11"/>
      <c r="K20" s="11"/>
      <c r="L20" s="10"/>
      <c r="M20" s="11"/>
      <c r="N20" s="10"/>
      <c r="O20" s="11"/>
      <c r="P20" s="11"/>
      <c r="Q20" s="11"/>
      <c r="R20" s="10"/>
      <c r="S20" s="11"/>
      <c r="T20" s="10"/>
      <c r="U20" s="11"/>
      <c r="V20" s="11"/>
      <c r="W20" s="10"/>
      <c r="X20" s="11"/>
      <c r="Y20" s="11"/>
      <c r="Z20" s="10"/>
      <c r="AA20" s="11"/>
      <c r="AB20" s="85"/>
      <c r="AC20" s="125"/>
      <c r="AD20" s="42"/>
      <c r="AE20" s="14"/>
      <c r="AF20" s="34"/>
      <c r="AG20" s="34"/>
      <c r="AH20" s="34"/>
    </row>
    <row r="21" spans="1:34" ht="24.95" hidden="1" customHeight="1" x14ac:dyDescent="0.35">
      <c r="A21" s="5" t="s">
        <v>170</v>
      </c>
      <c r="B21" s="164"/>
      <c r="C21" s="158"/>
      <c r="D21" s="158"/>
      <c r="E21" s="11"/>
      <c r="F21" s="11"/>
      <c r="G21" s="11"/>
      <c r="H21" s="159"/>
      <c r="I21" s="11"/>
      <c r="J21" s="11"/>
      <c r="K21" s="11"/>
      <c r="L21" s="10"/>
      <c r="M21" s="11"/>
      <c r="N21" s="10"/>
      <c r="O21" s="11"/>
      <c r="P21" s="11"/>
      <c r="Q21" s="11"/>
      <c r="R21" s="10"/>
      <c r="S21" s="11"/>
      <c r="T21" s="10"/>
      <c r="U21" s="11"/>
      <c r="V21" s="11"/>
      <c r="W21" s="10"/>
      <c r="X21" s="11"/>
      <c r="Y21" s="11"/>
      <c r="Z21" s="10"/>
      <c r="AA21" s="11"/>
      <c r="AB21" s="85"/>
      <c r="AC21" s="125"/>
      <c r="AD21" s="42"/>
      <c r="AE21" s="14"/>
      <c r="AF21" s="34"/>
      <c r="AG21" s="34"/>
      <c r="AH21" s="34"/>
    </row>
    <row r="22" spans="1:34" ht="26.25" customHeight="1" x14ac:dyDescent="0.35">
      <c r="A22" s="118" t="s">
        <v>327</v>
      </c>
      <c r="B22" s="164"/>
      <c r="C22" s="158"/>
      <c r="D22" s="158" t="s">
        <v>196</v>
      </c>
      <c r="E22" s="11"/>
      <c r="F22" s="11"/>
      <c r="G22" s="11"/>
      <c r="H22" s="159"/>
      <c r="I22" s="11"/>
      <c r="J22" s="11"/>
      <c r="K22" s="11"/>
      <c r="L22" s="10"/>
      <c r="M22" s="11"/>
      <c r="N22" s="10"/>
      <c r="O22" s="11"/>
      <c r="P22" s="11"/>
      <c r="Q22" s="11"/>
      <c r="R22" s="10"/>
      <c r="S22" s="11"/>
      <c r="T22" s="10"/>
      <c r="U22" s="11"/>
      <c r="V22" s="11"/>
      <c r="W22" s="10"/>
      <c r="X22" s="11"/>
      <c r="Y22" s="11"/>
      <c r="Z22" s="10"/>
      <c r="AA22" s="11"/>
      <c r="AB22" s="85"/>
      <c r="AC22" s="124"/>
      <c r="AD22" s="42"/>
      <c r="AE22" s="14"/>
      <c r="AF22" s="34"/>
      <c r="AG22" s="34"/>
      <c r="AH22" s="34"/>
    </row>
    <row r="23" spans="1:34" ht="26.25" hidden="1" customHeight="1" x14ac:dyDescent="0.35">
      <c r="A23" s="5" t="s">
        <v>226</v>
      </c>
      <c r="B23" s="164"/>
      <c r="C23" s="158" t="s">
        <v>196</v>
      </c>
      <c r="D23" s="158"/>
      <c r="E23" s="11"/>
      <c r="F23" s="11"/>
      <c r="G23" s="11"/>
      <c r="H23" s="159"/>
      <c r="I23" s="11"/>
      <c r="J23" s="11"/>
      <c r="K23" s="11"/>
      <c r="L23" s="10"/>
      <c r="M23" s="11"/>
      <c r="N23" s="10"/>
      <c r="O23" s="11"/>
      <c r="P23" s="11"/>
      <c r="Q23" s="11"/>
      <c r="R23" s="10"/>
      <c r="S23" s="11"/>
      <c r="T23" s="10"/>
      <c r="U23" s="11"/>
      <c r="V23" s="11"/>
      <c r="W23" s="10"/>
      <c r="X23" s="11"/>
      <c r="Y23" s="11"/>
      <c r="Z23" s="10"/>
      <c r="AA23" s="11"/>
      <c r="AB23" s="85"/>
      <c r="AC23" s="124"/>
      <c r="AD23" s="42"/>
      <c r="AE23" s="14"/>
      <c r="AF23" s="34"/>
      <c r="AG23" s="34"/>
      <c r="AH23" s="34"/>
    </row>
    <row r="24" spans="1:34" ht="24.95" hidden="1" customHeight="1" x14ac:dyDescent="0.35">
      <c r="A24" s="72" t="s">
        <v>48</v>
      </c>
      <c r="B24" s="164"/>
      <c r="C24" s="158"/>
      <c r="D24" s="158"/>
      <c r="E24" s="11"/>
      <c r="F24" s="11"/>
      <c r="G24" s="11"/>
      <c r="H24" s="159"/>
      <c r="I24" s="11"/>
      <c r="J24" s="11"/>
      <c r="K24" s="11"/>
      <c r="L24" s="10"/>
      <c r="M24" s="11"/>
      <c r="N24" s="10"/>
      <c r="O24" s="11"/>
      <c r="P24" s="11"/>
      <c r="Q24" s="11"/>
      <c r="R24" s="10"/>
      <c r="S24" s="11"/>
      <c r="T24" s="10"/>
      <c r="U24" s="11"/>
      <c r="V24" s="11"/>
      <c r="W24" s="10"/>
      <c r="X24" s="11"/>
      <c r="Y24" s="11"/>
      <c r="Z24" s="10"/>
      <c r="AA24" s="11"/>
      <c r="AB24" s="85"/>
      <c r="AC24" s="124"/>
      <c r="AD24" s="42"/>
      <c r="AE24" s="14"/>
      <c r="AF24" s="34"/>
      <c r="AG24" s="34"/>
      <c r="AH24" s="34"/>
    </row>
    <row r="25" spans="1:34" ht="24.95" hidden="1" customHeight="1" x14ac:dyDescent="0.35">
      <c r="A25" s="190" t="s">
        <v>76</v>
      </c>
      <c r="B25" s="164"/>
      <c r="C25" s="158"/>
      <c r="D25" s="158"/>
      <c r="E25" s="11"/>
      <c r="F25" s="11"/>
      <c r="G25" s="11"/>
      <c r="H25" s="159"/>
      <c r="I25" s="11"/>
      <c r="J25" s="11"/>
      <c r="K25" s="11"/>
      <c r="L25" s="10"/>
      <c r="M25" s="11"/>
      <c r="N25" s="10"/>
      <c r="O25" s="11"/>
      <c r="P25" s="11"/>
      <c r="Q25" s="11"/>
      <c r="R25" s="10"/>
      <c r="S25" s="11"/>
      <c r="T25" s="10"/>
      <c r="U25" s="11"/>
      <c r="V25" s="11"/>
      <c r="W25" s="10"/>
      <c r="X25" s="11"/>
      <c r="Y25" s="11"/>
      <c r="Z25" s="10"/>
      <c r="AA25" s="11"/>
      <c r="AB25" s="85"/>
      <c r="AC25" s="124"/>
      <c r="AD25" s="42"/>
      <c r="AE25" s="14"/>
      <c r="AF25" s="34"/>
      <c r="AG25" s="34"/>
      <c r="AH25" s="34"/>
    </row>
    <row r="26" spans="1:34" ht="2.25" hidden="1" customHeight="1" x14ac:dyDescent="0.35">
      <c r="A26" s="191"/>
      <c r="B26" s="164"/>
      <c r="C26" s="158"/>
      <c r="D26" s="158"/>
      <c r="E26" s="11"/>
      <c r="F26" s="11"/>
      <c r="G26" s="11"/>
      <c r="H26" s="159"/>
      <c r="I26" s="11"/>
      <c r="J26" s="11"/>
      <c r="K26" s="11"/>
      <c r="L26" s="10"/>
      <c r="M26" s="11"/>
      <c r="N26" s="10"/>
      <c r="O26" s="11"/>
      <c r="P26" s="11"/>
      <c r="Q26" s="11"/>
      <c r="R26" s="10"/>
      <c r="S26" s="11"/>
      <c r="T26" s="10"/>
      <c r="U26" s="11"/>
      <c r="V26" s="11"/>
      <c r="W26" s="10"/>
      <c r="X26" s="11"/>
      <c r="Y26" s="11"/>
      <c r="Z26" s="10"/>
      <c r="AA26" s="11"/>
      <c r="AB26" s="85"/>
      <c r="AC26" s="124"/>
      <c r="AD26" s="42"/>
      <c r="AE26" s="14"/>
      <c r="AF26" s="34"/>
      <c r="AG26" s="34"/>
      <c r="AH26" s="34"/>
    </row>
    <row r="27" spans="1:34" ht="30" hidden="1" customHeight="1" x14ac:dyDescent="0.35">
      <c r="A27" s="90" t="s">
        <v>176</v>
      </c>
      <c r="B27" s="164"/>
      <c r="C27" s="158" t="s">
        <v>196</v>
      </c>
      <c r="D27" s="158"/>
      <c r="E27" s="11"/>
      <c r="F27" s="11"/>
      <c r="G27" s="11"/>
      <c r="H27" s="159"/>
      <c r="I27" s="11"/>
      <c r="J27" s="11"/>
      <c r="K27" s="11"/>
      <c r="L27" s="10"/>
      <c r="M27" s="11"/>
      <c r="N27" s="10"/>
      <c r="O27" s="11"/>
      <c r="P27" s="11"/>
      <c r="Q27" s="11"/>
      <c r="R27" s="10"/>
      <c r="S27" s="11"/>
      <c r="T27" s="10"/>
      <c r="U27" s="11"/>
      <c r="V27" s="11"/>
      <c r="W27" s="10"/>
      <c r="X27" s="11"/>
      <c r="Y27" s="11"/>
      <c r="Z27" s="10"/>
      <c r="AA27" s="11"/>
      <c r="AB27" s="85"/>
      <c r="AC27" s="124"/>
      <c r="AD27" s="42"/>
      <c r="AE27" s="14"/>
      <c r="AF27" s="34"/>
      <c r="AG27" s="34"/>
      <c r="AH27" s="34"/>
    </row>
    <row r="28" spans="1:34" ht="28.5" customHeight="1" x14ac:dyDescent="0.35">
      <c r="A28" s="90" t="s">
        <v>342</v>
      </c>
      <c r="B28" s="164" t="s">
        <v>323</v>
      </c>
      <c r="C28" s="158" t="s">
        <v>196</v>
      </c>
      <c r="D28" s="158"/>
      <c r="E28" s="11"/>
      <c r="F28" s="11"/>
      <c r="G28" s="11"/>
      <c r="H28" s="159"/>
      <c r="I28" s="11"/>
      <c r="J28" s="11"/>
      <c r="K28" s="11"/>
      <c r="L28" s="10"/>
      <c r="M28" s="11"/>
      <c r="N28" s="10"/>
      <c r="O28" s="11"/>
      <c r="P28" s="11"/>
      <c r="Q28" s="11"/>
      <c r="R28" s="10"/>
      <c r="S28" s="11"/>
      <c r="T28" s="10"/>
      <c r="U28" s="11"/>
      <c r="V28" s="11"/>
      <c r="W28" s="10"/>
      <c r="X28" s="11"/>
      <c r="Y28" s="11"/>
      <c r="Z28" s="10"/>
      <c r="AA28" s="11"/>
      <c r="AB28" s="85"/>
      <c r="AC28" s="124"/>
      <c r="AD28" s="42"/>
      <c r="AE28" s="14"/>
      <c r="AF28" s="34"/>
      <c r="AG28" s="34"/>
      <c r="AH28" s="34"/>
    </row>
    <row r="29" spans="1:34" ht="24.95" hidden="1" customHeight="1" x14ac:dyDescent="0.3">
      <c r="A29" s="90" t="s">
        <v>78</v>
      </c>
      <c r="B29" s="161"/>
      <c r="C29" s="158"/>
      <c r="D29" s="158"/>
      <c r="E29" s="11"/>
      <c r="F29" s="11"/>
      <c r="G29" s="11"/>
      <c r="H29" s="159"/>
      <c r="I29" s="11"/>
      <c r="J29" s="11"/>
      <c r="K29" s="11"/>
      <c r="L29" s="10"/>
      <c r="M29" s="11"/>
      <c r="N29" s="10"/>
      <c r="O29" s="11"/>
      <c r="P29" s="11"/>
      <c r="Q29" s="11"/>
      <c r="R29" s="10"/>
      <c r="S29" s="11"/>
      <c r="T29" s="10"/>
      <c r="U29" s="11"/>
      <c r="V29" s="11"/>
      <c r="W29" s="10"/>
      <c r="X29" s="11"/>
      <c r="Y29" s="11"/>
      <c r="Z29" s="10"/>
      <c r="AA29" s="11"/>
      <c r="AB29" s="85"/>
      <c r="AC29" s="124"/>
      <c r="AD29" s="45"/>
    </row>
    <row r="30" spans="1:34" ht="24.95" hidden="1" customHeight="1" x14ac:dyDescent="0.3">
      <c r="A30" s="90" t="s">
        <v>79</v>
      </c>
      <c r="B30" s="161"/>
      <c r="C30" s="158"/>
      <c r="D30" s="158"/>
      <c r="E30" s="11"/>
      <c r="F30" s="11"/>
      <c r="G30" s="11"/>
      <c r="H30" s="159"/>
      <c r="I30" s="11"/>
      <c r="J30" s="11"/>
      <c r="K30" s="11"/>
      <c r="L30" s="10"/>
      <c r="M30" s="11"/>
      <c r="N30" s="10"/>
      <c r="O30" s="11"/>
      <c r="P30" s="11"/>
      <c r="Q30" s="11"/>
      <c r="R30" s="10"/>
      <c r="S30" s="11"/>
      <c r="T30" s="10"/>
      <c r="U30" s="11"/>
      <c r="V30" s="11"/>
      <c r="W30" s="10"/>
      <c r="X30" s="11"/>
      <c r="Y30" s="11"/>
      <c r="Z30" s="10"/>
      <c r="AA30" s="11"/>
      <c r="AB30" s="85"/>
      <c r="AC30" s="124"/>
      <c r="AD30" s="45"/>
    </row>
    <row r="31" spans="1:34" ht="20.25" hidden="1" customHeight="1" x14ac:dyDescent="0.3">
      <c r="A31" s="90"/>
      <c r="B31" s="161"/>
      <c r="C31" s="158"/>
      <c r="D31" s="158"/>
      <c r="E31" s="11"/>
      <c r="F31" s="11"/>
      <c r="G31" s="11"/>
      <c r="H31" s="159"/>
      <c r="I31" s="11"/>
      <c r="J31" s="11"/>
      <c r="K31" s="11"/>
      <c r="L31" s="10"/>
      <c r="M31" s="11"/>
      <c r="N31" s="10"/>
      <c r="O31" s="11"/>
      <c r="P31" s="11"/>
      <c r="Q31" s="11"/>
      <c r="R31" s="10"/>
      <c r="S31" s="11"/>
      <c r="T31" s="10"/>
      <c r="U31" s="11"/>
      <c r="V31" s="11"/>
      <c r="W31" s="10"/>
      <c r="X31" s="11"/>
      <c r="Y31" s="11"/>
      <c r="Z31" s="10"/>
      <c r="AA31" s="11"/>
      <c r="AB31" s="85"/>
      <c r="AC31" s="124"/>
      <c r="AD31" s="45"/>
    </row>
    <row r="32" spans="1:34" ht="24.95" hidden="1" customHeight="1" x14ac:dyDescent="0.3">
      <c r="A32" s="90"/>
      <c r="B32" s="161"/>
      <c r="C32" s="158"/>
      <c r="D32" s="158"/>
      <c r="E32" s="11"/>
      <c r="F32" s="11"/>
      <c r="G32" s="11"/>
      <c r="H32" s="159"/>
      <c r="I32" s="11"/>
      <c r="J32" s="11"/>
      <c r="K32" s="11"/>
      <c r="L32" s="10"/>
      <c r="M32" s="11"/>
      <c r="N32" s="10"/>
      <c r="O32" s="11"/>
      <c r="P32" s="11"/>
      <c r="Q32" s="11"/>
      <c r="R32" s="10"/>
      <c r="S32" s="11"/>
      <c r="T32" s="10"/>
      <c r="U32" s="11"/>
      <c r="V32" s="11"/>
      <c r="W32" s="10"/>
      <c r="X32" s="11"/>
      <c r="Y32" s="11"/>
      <c r="Z32" s="10"/>
      <c r="AA32" s="11"/>
      <c r="AB32" s="85"/>
      <c r="AC32" s="124"/>
      <c r="AD32" s="45"/>
    </row>
    <row r="33" spans="1:34" ht="24.95" hidden="1" customHeight="1" x14ac:dyDescent="0.3">
      <c r="A33" s="90" t="s">
        <v>17</v>
      </c>
      <c r="B33" s="161"/>
      <c r="C33" s="158"/>
      <c r="D33" s="158"/>
      <c r="E33" s="11"/>
      <c r="F33" s="11"/>
      <c r="G33" s="11"/>
      <c r="H33" s="159"/>
      <c r="I33" s="11"/>
      <c r="J33" s="11"/>
      <c r="K33" s="11"/>
      <c r="L33" s="10"/>
      <c r="M33" s="11"/>
      <c r="N33" s="10"/>
      <c r="O33" s="11"/>
      <c r="P33" s="11"/>
      <c r="Q33" s="11"/>
      <c r="R33" s="10"/>
      <c r="S33" s="11"/>
      <c r="T33" s="10"/>
      <c r="U33" s="11"/>
      <c r="V33" s="11"/>
      <c r="W33" s="10"/>
      <c r="X33" s="11"/>
      <c r="Y33" s="11"/>
      <c r="Z33" s="10"/>
      <c r="AA33" s="11"/>
      <c r="AB33" s="85"/>
      <c r="AC33" s="124"/>
      <c r="AD33" s="45"/>
    </row>
    <row r="34" spans="1:34" ht="24.95" hidden="1" customHeight="1" x14ac:dyDescent="0.3">
      <c r="A34" s="72" t="s">
        <v>18</v>
      </c>
      <c r="B34" s="161"/>
      <c r="C34" s="158"/>
      <c r="D34" s="158"/>
      <c r="E34" s="11"/>
      <c r="F34" s="11"/>
      <c r="G34" s="11"/>
      <c r="H34" s="159"/>
      <c r="I34" s="11"/>
      <c r="J34" s="11"/>
      <c r="K34" s="11"/>
      <c r="L34" s="10"/>
      <c r="M34" s="11"/>
      <c r="N34" s="10"/>
      <c r="O34" s="11"/>
      <c r="P34" s="11"/>
      <c r="Q34" s="11"/>
      <c r="R34" s="10"/>
      <c r="S34" s="11"/>
      <c r="T34" s="10"/>
      <c r="U34" s="11"/>
      <c r="V34" s="11"/>
      <c r="W34" s="10"/>
      <c r="X34" s="11"/>
      <c r="Y34" s="11"/>
      <c r="Z34" s="10"/>
      <c r="AA34" s="11"/>
      <c r="AB34" s="85"/>
      <c r="AC34" s="124"/>
      <c r="AD34" s="45"/>
    </row>
    <row r="35" spans="1:34" ht="30" customHeight="1" x14ac:dyDescent="0.3">
      <c r="A35" s="72" t="s">
        <v>128</v>
      </c>
      <c r="B35" s="165"/>
      <c r="C35" s="158" t="s">
        <v>196</v>
      </c>
      <c r="D35" s="158"/>
      <c r="E35" s="11"/>
      <c r="F35" s="11"/>
      <c r="G35" s="11"/>
      <c r="H35" s="159"/>
      <c r="I35" s="11"/>
      <c r="J35" s="11"/>
      <c r="K35" s="11"/>
      <c r="L35" s="10"/>
      <c r="M35" s="11"/>
      <c r="N35" s="10"/>
      <c r="O35" s="11"/>
      <c r="P35" s="11"/>
      <c r="Q35" s="11"/>
      <c r="R35" s="10"/>
      <c r="S35" s="11"/>
      <c r="T35" s="10"/>
      <c r="U35" s="11"/>
      <c r="V35" s="11"/>
      <c r="W35" s="10"/>
      <c r="X35" s="11"/>
      <c r="Y35" s="11"/>
      <c r="Z35" s="10"/>
      <c r="AA35" s="11"/>
      <c r="AB35" s="85"/>
      <c r="AC35" s="124"/>
      <c r="AD35" s="45"/>
    </row>
    <row r="36" spans="1:34" ht="30" customHeight="1" x14ac:dyDescent="0.3">
      <c r="A36" s="72" t="s">
        <v>343</v>
      </c>
      <c r="B36" s="174"/>
      <c r="C36" s="158" t="s">
        <v>196</v>
      </c>
      <c r="D36" s="158"/>
      <c r="E36" s="11"/>
      <c r="F36" s="11"/>
      <c r="G36" s="11"/>
      <c r="H36" s="159"/>
      <c r="I36" s="11"/>
      <c r="J36" s="11"/>
      <c r="K36" s="11"/>
      <c r="L36" s="10"/>
      <c r="M36" s="11"/>
      <c r="N36" s="10"/>
      <c r="O36" s="11"/>
      <c r="P36" s="11"/>
      <c r="Q36" s="11"/>
      <c r="R36" s="10"/>
      <c r="S36" s="11"/>
      <c r="T36" s="10"/>
      <c r="U36" s="11"/>
      <c r="V36" s="11"/>
      <c r="W36" s="10"/>
      <c r="X36" s="11"/>
      <c r="Y36" s="11"/>
      <c r="Z36" s="10"/>
      <c r="AA36" s="11"/>
      <c r="AB36" s="85"/>
      <c r="AC36" s="124"/>
      <c r="AD36" s="45"/>
    </row>
    <row r="37" spans="1:34" ht="27" hidden="1" customHeight="1" x14ac:dyDescent="0.3">
      <c r="A37" s="72" t="s">
        <v>20</v>
      </c>
      <c r="B37" s="165" t="s">
        <v>68</v>
      </c>
      <c r="C37" s="158"/>
      <c r="D37" s="158" t="s">
        <v>196</v>
      </c>
      <c r="E37" s="11"/>
      <c r="F37" s="11"/>
      <c r="G37" s="11"/>
      <c r="H37" s="159"/>
      <c r="I37" s="11"/>
      <c r="J37" s="11"/>
      <c r="K37" s="11"/>
      <c r="L37" s="10"/>
      <c r="M37" s="11"/>
      <c r="N37" s="10"/>
      <c r="O37" s="11"/>
      <c r="P37" s="11"/>
      <c r="Q37" s="11"/>
      <c r="R37" s="10"/>
      <c r="S37" s="11"/>
      <c r="T37" s="10"/>
      <c r="U37" s="11"/>
      <c r="V37" s="11"/>
      <c r="W37" s="10"/>
      <c r="X37" s="11"/>
      <c r="Y37" s="11"/>
      <c r="Z37" s="10"/>
      <c r="AA37" s="11"/>
      <c r="AB37" s="85"/>
      <c r="AC37" s="124"/>
      <c r="AD37" s="45"/>
    </row>
    <row r="38" spans="1:34" ht="30" hidden="1" customHeight="1" x14ac:dyDescent="0.3">
      <c r="A38" s="72" t="s">
        <v>177</v>
      </c>
      <c r="B38" s="165" t="s">
        <v>44</v>
      </c>
      <c r="C38" s="158"/>
      <c r="D38" s="158" t="s">
        <v>196</v>
      </c>
      <c r="E38" s="11"/>
      <c r="F38" s="11"/>
      <c r="G38" s="11"/>
      <c r="H38" s="159"/>
      <c r="I38" s="11"/>
      <c r="J38" s="11"/>
      <c r="K38" s="11"/>
      <c r="L38" s="10"/>
      <c r="M38" s="11"/>
      <c r="N38" s="10"/>
      <c r="O38" s="11"/>
      <c r="P38" s="11"/>
      <c r="Q38" s="11"/>
      <c r="R38" s="10"/>
      <c r="S38" s="11"/>
      <c r="T38" s="10"/>
      <c r="U38" s="11"/>
      <c r="V38" s="11"/>
      <c r="W38" s="10"/>
      <c r="X38" s="11"/>
      <c r="Y38" s="11"/>
      <c r="Z38" s="10"/>
      <c r="AA38" s="11"/>
      <c r="AB38" s="85"/>
      <c r="AC38" s="124"/>
      <c r="AD38" s="45"/>
    </row>
    <row r="39" spans="1:34" ht="28.5" hidden="1" customHeight="1" x14ac:dyDescent="0.3">
      <c r="A39" s="72" t="s">
        <v>88</v>
      </c>
      <c r="B39" s="165"/>
      <c r="C39" s="158" t="s">
        <v>196</v>
      </c>
      <c r="D39" s="158"/>
      <c r="E39" s="11"/>
      <c r="F39" s="11"/>
      <c r="G39" s="11"/>
      <c r="H39" s="159"/>
      <c r="I39" s="11"/>
      <c r="J39" s="11"/>
      <c r="K39" s="11"/>
      <c r="L39" s="10"/>
      <c r="M39" s="11"/>
      <c r="N39" s="10"/>
      <c r="O39" s="11"/>
      <c r="P39" s="11"/>
      <c r="Q39" s="11"/>
      <c r="R39" s="10"/>
      <c r="S39" s="11"/>
      <c r="T39" s="10"/>
      <c r="U39" s="11"/>
      <c r="V39" s="11"/>
      <c r="W39" s="10"/>
      <c r="X39" s="11"/>
      <c r="Y39" s="11"/>
      <c r="Z39" s="10"/>
      <c r="AA39" s="11"/>
      <c r="AB39" s="85"/>
      <c r="AC39" s="124"/>
      <c r="AD39" s="45"/>
    </row>
    <row r="40" spans="1:34" ht="30" hidden="1" customHeight="1" x14ac:dyDescent="0.3">
      <c r="A40" s="5" t="s">
        <v>275</v>
      </c>
      <c r="B40" s="165"/>
      <c r="C40" s="158"/>
      <c r="D40" s="158"/>
      <c r="E40" s="11"/>
      <c r="F40" s="11"/>
      <c r="G40" s="11"/>
      <c r="H40" s="159"/>
      <c r="I40" s="11"/>
      <c r="J40" s="11"/>
      <c r="K40" s="11"/>
      <c r="L40" s="10"/>
      <c r="M40" s="11"/>
      <c r="N40" s="10"/>
      <c r="O40" s="11"/>
      <c r="P40" s="11"/>
      <c r="Q40" s="11"/>
      <c r="R40" s="10"/>
      <c r="S40" s="11"/>
      <c r="T40" s="10"/>
      <c r="U40" s="11"/>
      <c r="V40" s="11"/>
      <c r="W40" s="10"/>
      <c r="X40" s="11"/>
      <c r="Y40" s="11"/>
      <c r="Z40" s="10"/>
      <c r="AA40" s="11"/>
      <c r="AB40" s="85"/>
      <c r="AC40" s="124"/>
      <c r="AD40" s="45"/>
    </row>
    <row r="41" spans="1:34" ht="30" customHeight="1" x14ac:dyDescent="0.3">
      <c r="A41" s="5" t="s">
        <v>344</v>
      </c>
      <c r="B41" s="165"/>
      <c r="C41" s="158"/>
      <c r="D41" s="158" t="s">
        <v>196</v>
      </c>
      <c r="E41" s="11"/>
      <c r="F41" s="11" t="s">
        <v>196</v>
      </c>
      <c r="G41" s="11"/>
      <c r="H41" s="159"/>
      <c r="I41" s="11"/>
      <c r="J41" s="11"/>
      <c r="K41" s="11"/>
      <c r="L41" s="10"/>
      <c r="M41" s="11"/>
      <c r="N41" s="10"/>
      <c r="O41" s="11"/>
      <c r="P41" s="11"/>
      <c r="Q41" s="11"/>
      <c r="R41" s="10"/>
      <c r="S41" s="11"/>
      <c r="T41" s="10"/>
      <c r="U41" s="11"/>
      <c r="V41" s="11"/>
      <c r="W41" s="10"/>
      <c r="X41" s="11"/>
      <c r="Y41" s="11"/>
      <c r="Z41" s="10"/>
      <c r="AA41" s="11"/>
      <c r="AB41" s="85"/>
      <c r="AC41" s="124"/>
      <c r="AD41" s="45"/>
    </row>
    <row r="42" spans="1:34" ht="30" customHeight="1" x14ac:dyDescent="0.3">
      <c r="A42" s="119" t="s">
        <v>311</v>
      </c>
      <c r="B42" s="165"/>
      <c r="C42" s="158"/>
      <c r="D42" s="158"/>
      <c r="E42" s="11"/>
      <c r="F42" s="11"/>
      <c r="G42" s="11"/>
      <c r="H42" s="159"/>
      <c r="I42" s="11"/>
      <c r="J42" s="11"/>
      <c r="K42" s="11"/>
      <c r="L42" s="10"/>
      <c r="M42" s="11"/>
      <c r="N42" s="10"/>
      <c r="O42" s="11"/>
      <c r="P42" s="11"/>
      <c r="Q42" s="11"/>
      <c r="R42" s="10"/>
      <c r="S42" s="11"/>
      <c r="T42" s="10"/>
      <c r="U42" s="11"/>
      <c r="V42" s="11"/>
      <c r="W42" s="10"/>
      <c r="X42" s="11"/>
      <c r="Y42" s="11"/>
      <c r="Z42" s="10"/>
      <c r="AA42" s="11"/>
      <c r="AB42" s="85"/>
      <c r="AC42" s="124"/>
      <c r="AD42" s="45"/>
    </row>
    <row r="43" spans="1:34" ht="24.95" customHeight="1" x14ac:dyDescent="0.3">
      <c r="A43" s="150" t="s">
        <v>220</v>
      </c>
      <c r="B43" s="165"/>
      <c r="C43" s="158"/>
      <c r="D43" s="158"/>
      <c r="E43" s="11"/>
      <c r="F43" s="11"/>
      <c r="G43" s="11"/>
      <c r="H43" s="159"/>
      <c r="I43" s="11"/>
      <c r="J43" s="11"/>
      <c r="K43" s="11"/>
      <c r="L43" s="10"/>
      <c r="M43" s="11"/>
      <c r="N43" s="10"/>
      <c r="O43" s="11"/>
      <c r="P43" s="11"/>
      <c r="Q43" s="11"/>
      <c r="R43" s="10"/>
      <c r="S43" s="11"/>
      <c r="T43" s="10"/>
      <c r="U43" s="11"/>
      <c r="V43" s="11"/>
      <c r="W43" s="10"/>
      <c r="X43" s="11"/>
      <c r="Y43" s="11"/>
      <c r="Z43" s="10"/>
      <c r="AA43" s="11"/>
      <c r="AB43" s="85"/>
      <c r="AC43" s="124"/>
      <c r="AD43" s="45"/>
    </row>
    <row r="44" spans="1:34" ht="24.95" customHeight="1" thickBot="1" x14ac:dyDescent="0.35">
      <c r="A44" s="84"/>
      <c r="B44" s="170"/>
      <c r="C44" s="171"/>
      <c r="D44" s="171"/>
      <c r="E44" s="83"/>
      <c r="F44" s="83"/>
      <c r="G44" s="83"/>
      <c r="H44" s="172"/>
      <c r="I44" s="83"/>
      <c r="J44" s="83"/>
      <c r="K44" s="83"/>
      <c r="L44" s="82"/>
      <c r="M44" s="83"/>
      <c r="N44" s="82"/>
      <c r="O44" s="83"/>
      <c r="P44" s="83"/>
      <c r="Q44" s="83"/>
      <c r="R44" s="82"/>
      <c r="S44" s="83"/>
      <c r="T44" s="82"/>
      <c r="U44" s="83"/>
      <c r="V44" s="83"/>
      <c r="W44" s="82"/>
      <c r="X44" s="83"/>
      <c r="Y44" s="83"/>
      <c r="Z44" s="82"/>
      <c r="AA44" s="83"/>
      <c r="AB44" s="81"/>
      <c r="AC44" s="124"/>
      <c r="AD44" s="46"/>
      <c r="AE44" s="13"/>
      <c r="AF44" s="36"/>
      <c r="AG44" s="36"/>
      <c r="AH44" s="36"/>
    </row>
    <row r="45" spans="1:34" ht="24.95" customHeight="1" thickBot="1" x14ac:dyDescent="0.35">
      <c r="A45" s="182" t="s">
        <v>13</v>
      </c>
      <c r="B45" s="183"/>
      <c r="C45" s="18">
        <f t="shared" ref="C45:AB45" si="5">SUM(C8:C44)</f>
        <v>0</v>
      </c>
      <c r="D45" s="18">
        <f t="shared" si="5"/>
        <v>0</v>
      </c>
      <c r="E45" s="18">
        <f t="shared" si="5"/>
        <v>0</v>
      </c>
      <c r="F45" s="19">
        <f t="shared" si="5"/>
        <v>0</v>
      </c>
      <c r="G45" s="19">
        <f t="shared" si="5"/>
        <v>0</v>
      </c>
      <c r="H45" s="19">
        <f t="shared" si="5"/>
        <v>0</v>
      </c>
      <c r="I45" s="19">
        <f t="shared" si="5"/>
        <v>0</v>
      </c>
      <c r="J45" s="19">
        <f t="shared" si="5"/>
        <v>0</v>
      </c>
      <c r="K45" s="19">
        <f t="shared" si="5"/>
        <v>0</v>
      </c>
      <c r="L45" s="19">
        <f t="shared" si="5"/>
        <v>0</v>
      </c>
      <c r="M45" s="19">
        <f t="shared" si="5"/>
        <v>0</v>
      </c>
      <c r="N45" s="19">
        <f t="shared" si="5"/>
        <v>0</v>
      </c>
      <c r="O45" s="19">
        <f t="shared" si="5"/>
        <v>0</v>
      </c>
      <c r="P45" s="19">
        <f t="shared" si="5"/>
        <v>0</v>
      </c>
      <c r="Q45" s="19">
        <f t="shared" si="5"/>
        <v>0</v>
      </c>
      <c r="R45" s="19">
        <f t="shared" si="5"/>
        <v>0</v>
      </c>
      <c r="S45" s="19">
        <f t="shared" si="5"/>
        <v>0</v>
      </c>
      <c r="T45" s="19">
        <f t="shared" si="5"/>
        <v>0</v>
      </c>
      <c r="U45" s="19">
        <f t="shared" si="5"/>
        <v>0</v>
      </c>
      <c r="V45" s="19">
        <f t="shared" si="5"/>
        <v>0</v>
      </c>
      <c r="W45" s="19">
        <f t="shared" si="5"/>
        <v>0</v>
      </c>
      <c r="X45" s="19">
        <f t="shared" si="5"/>
        <v>0</v>
      </c>
      <c r="Y45" s="19">
        <f t="shared" si="5"/>
        <v>0</v>
      </c>
      <c r="Z45" s="19">
        <f t="shared" si="5"/>
        <v>0</v>
      </c>
      <c r="AA45" s="20">
        <f t="shared" si="5"/>
        <v>0</v>
      </c>
      <c r="AB45" s="20">
        <f t="shared" si="5"/>
        <v>0</v>
      </c>
    </row>
    <row r="46" spans="1:34" s="23" customFormat="1" ht="24.95" customHeight="1" x14ac:dyDescent="0.25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 spans="1:34" s="23" customFormat="1" ht="24.95" customHeight="1" x14ac:dyDescent="0.25">
      <c r="J47" s="24"/>
      <c r="K47" s="24"/>
      <c r="L47" s="24"/>
      <c r="M47" s="25"/>
      <c r="N47" s="26"/>
      <c r="O47" s="27"/>
      <c r="R47" s="24"/>
      <c r="S47" s="24"/>
      <c r="T47" s="24"/>
      <c r="U47" s="24"/>
      <c r="V47" s="24"/>
      <c r="W47" s="24"/>
      <c r="X47" s="28"/>
      <c r="Y47" s="24"/>
      <c r="Z47" s="24"/>
      <c r="AA47" s="28"/>
      <c r="AB47" s="24"/>
    </row>
    <row r="48" spans="1:34" s="23" customFormat="1" ht="24.95" customHeight="1" x14ac:dyDescent="0.25">
      <c r="J48" s="24"/>
      <c r="M48" s="25"/>
      <c r="N48" s="26"/>
      <c r="O48" s="27"/>
      <c r="R48" s="24"/>
      <c r="U48" s="24"/>
      <c r="X48" s="28"/>
      <c r="AA48" s="28"/>
    </row>
    <row r="49" spans="1:34" s="23" customFormat="1" ht="24.95" customHeight="1" x14ac:dyDescent="0.25">
      <c r="J49" s="24"/>
      <c r="K49" s="24"/>
      <c r="L49" s="24"/>
      <c r="M49" s="29"/>
      <c r="N49" s="30"/>
      <c r="O49" s="29"/>
      <c r="R49" s="24"/>
      <c r="S49" s="24"/>
      <c r="T49" s="24"/>
      <c r="U49" s="24"/>
      <c r="V49" s="24"/>
      <c r="W49" s="24"/>
      <c r="X49" s="16"/>
      <c r="Y49" s="24"/>
      <c r="Z49" s="24"/>
      <c r="AA49" s="16"/>
      <c r="AB49" s="24"/>
    </row>
    <row r="50" spans="1:34" s="23" customFormat="1" ht="23.1" customHeight="1" x14ac:dyDescent="0.25">
      <c r="F50" s="16"/>
      <c r="G50" s="16"/>
      <c r="H50" s="16"/>
      <c r="I50" s="16"/>
      <c r="J50" s="24"/>
      <c r="K50" s="16"/>
      <c r="L50" s="16"/>
      <c r="M50" s="31"/>
      <c r="N50" s="31"/>
      <c r="O50" s="31"/>
      <c r="P50" s="16"/>
      <c r="Q50" s="16"/>
      <c r="R50" s="24"/>
      <c r="S50" s="16"/>
      <c r="T50" s="16"/>
      <c r="U50" s="24"/>
      <c r="V50" s="16"/>
      <c r="W50" s="16"/>
      <c r="X50" s="32"/>
      <c r="Y50" s="16"/>
      <c r="Z50" s="16"/>
      <c r="AA50" s="32"/>
      <c r="AB50" s="16"/>
    </row>
    <row r="51" spans="1:34" ht="23.1" customHeight="1" x14ac:dyDescent="0.2">
      <c r="A51" s="23"/>
      <c r="B51" s="23"/>
      <c r="C51" s="23"/>
      <c r="D51" s="23"/>
      <c r="E51" s="23"/>
      <c r="F51" s="23"/>
      <c r="G51" s="23"/>
      <c r="H51" s="23"/>
      <c r="I51" s="23"/>
      <c r="J51" s="16"/>
      <c r="K51" s="23"/>
      <c r="L51" s="23"/>
      <c r="M51" s="16"/>
      <c r="N51" s="16"/>
      <c r="O51" s="16"/>
      <c r="P51" s="23"/>
      <c r="Q51" s="23"/>
      <c r="R51" s="16"/>
      <c r="S51" s="23"/>
      <c r="T51" s="23"/>
      <c r="U51" s="16"/>
      <c r="V51" s="23"/>
      <c r="W51" s="23"/>
      <c r="X51" s="16"/>
      <c r="Y51" s="23"/>
      <c r="Z51" s="23"/>
      <c r="AA51" s="16"/>
      <c r="AB51" s="23"/>
      <c r="AC51" s="23"/>
      <c r="AD51" s="23"/>
      <c r="AE51" s="23"/>
      <c r="AF51" s="23"/>
      <c r="AG51" s="23"/>
      <c r="AH51" s="23"/>
    </row>
    <row r="52" spans="1:34" ht="23.1" customHeight="1" x14ac:dyDescent="0.2">
      <c r="K52" s="33"/>
      <c r="L52" s="33"/>
      <c r="M52" s="33"/>
      <c r="N52" s="33"/>
      <c r="O52" s="33"/>
      <c r="P52" s="33"/>
      <c r="S52" s="33"/>
      <c r="T52" s="33"/>
      <c r="U52" s="33"/>
      <c r="V52" s="33"/>
      <c r="W52" s="33"/>
      <c r="X52" s="33"/>
      <c r="Y52" s="33"/>
      <c r="Z52" s="33"/>
      <c r="AA52" s="33"/>
      <c r="AB52" s="33"/>
    </row>
    <row r="53" spans="1:34" ht="23.1" customHeight="1" x14ac:dyDescent="0.2">
      <c r="A53" s="33"/>
      <c r="B53" s="33"/>
      <c r="C53" s="33"/>
      <c r="D53" s="33"/>
      <c r="E53" s="33"/>
      <c r="F53" s="33"/>
      <c r="G53" s="33"/>
      <c r="L53" s="33"/>
      <c r="M53" s="33"/>
      <c r="N53" s="33"/>
      <c r="O53" s="33"/>
      <c r="P53" s="33"/>
      <c r="S53" s="33"/>
      <c r="T53" s="33"/>
      <c r="U53" s="33"/>
      <c r="V53" s="33"/>
      <c r="W53" s="33"/>
      <c r="X53" s="33"/>
      <c r="Y53" s="33"/>
      <c r="Z53" s="33"/>
      <c r="AA53" s="33"/>
      <c r="AB53" s="33"/>
    </row>
    <row r="54" spans="1:34" ht="23.1" customHeight="1" x14ac:dyDescent="0.2">
      <c r="T54" s="33"/>
      <c r="U54" s="33"/>
      <c r="V54" s="33"/>
      <c r="W54" s="33"/>
      <c r="X54" s="33"/>
      <c r="Y54" s="33"/>
      <c r="Z54" s="33"/>
      <c r="AA54" s="33"/>
      <c r="AB54" s="33"/>
    </row>
    <row r="55" spans="1:34" ht="23.1" customHeight="1" x14ac:dyDescent="0.2"/>
  </sheetData>
  <mergeCells count="2">
    <mergeCell ref="A45:B45"/>
    <mergeCell ref="A25:A26"/>
  </mergeCells>
  <conditionalFormatting sqref="J49">
    <cfRule type="expression" dxfId="51" priority="11" stopIfTrue="1">
      <formula>#REF!="sobra"</formula>
    </cfRule>
    <cfRule type="expression" dxfId="50" priority="12" stopIfTrue="1">
      <formula>#REF!="Falta"</formula>
    </cfRule>
  </conditionalFormatting>
  <conditionalFormatting sqref="L49 R49">
    <cfRule type="expression" dxfId="49" priority="13" stopIfTrue="1">
      <formula>#REF!="sobra"</formula>
    </cfRule>
    <cfRule type="expression" dxfId="48" priority="14" stopIfTrue="1">
      <formula>#REF!="Falta"</formula>
    </cfRule>
  </conditionalFormatting>
  <conditionalFormatting sqref="T49:U49">
    <cfRule type="expression" dxfId="47" priority="9" stopIfTrue="1">
      <formula>#REF!="sobra"</formula>
    </cfRule>
    <cfRule type="expression" dxfId="46" priority="10" stopIfTrue="1">
      <formula>#REF!="Falta"</formula>
    </cfRule>
  </conditionalFormatting>
  <conditionalFormatting sqref="W49">
    <cfRule type="expression" dxfId="45" priority="7" stopIfTrue="1">
      <formula>#REF!="sobra"</formula>
    </cfRule>
    <cfRule type="expression" dxfId="44" priority="8" stopIfTrue="1">
      <formula>#REF!="Falta"</formula>
    </cfRule>
  </conditionalFormatting>
  <conditionalFormatting sqref="Z49">
    <cfRule type="expression" dxfId="43" priority="3" stopIfTrue="1">
      <formula>#REF!="sobra"</formula>
    </cfRule>
    <cfRule type="expression" dxfId="42" priority="4" stopIfTrue="1">
      <formula>#REF!="Falta"</formula>
    </cfRule>
  </conditionalFormatting>
  <conditionalFormatting sqref="AB49">
    <cfRule type="expression" dxfId="41" priority="1" stopIfTrue="1">
      <formula>#REF!="sobra"</formula>
    </cfRule>
    <cfRule type="expression" dxfId="40" priority="2" stopIfTrue="1">
      <formula>#REF!="Falta"</formula>
    </cfRule>
  </conditionalFormatting>
  <conditionalFormatting sqref="AD44">
    <cfRule type="containsText" dxfId="39" priority="5" stopIfTrue="1" operator="containsText" text="FALTA">
      <formula>NOT(ISERROR(SEARCH("FALTA",AD44)))</formula>
    </cfRule>
    <cfRule type="containsText" dxfId="38" priority="6" stopIfTrue="1" operator="containsText" text="SOBRA">
      <formula>NOT(ISERROR(SEARCH("SOBRA",AD44)))</formula>
    </cfRule>
  </conditionalFormatting>
  <conditionalFormatting sqref="AF44">
    <cfRule type="expression" dxfId="37" priority="15" stopIfTrue="1">
      <formula>#REF!="sobra"</formula>
    </cfRule>
    <cfRule type="expression" dxfId="36" priority="16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  <pageSetUpPr fitToPage="1"/>
  </sheetPr>
  <dimension ref="A1:AH43"/>
  <sheetViews>
    <sheetView showGridLines="0" zoomScale="60" zoomScaleNormal="60" workbookViewId="0">
      <pane xSplit="1" topLeftCell="B1" activePane="topRight" state="frozen"/>
      <selection pane="topRight" activeCell="J28" sqref="J28"/>
    </sheetView>
  </sheetViews>
  <sheetFormatPr defaultColWidth="9.140625" defaultRowHeight="12.75" x14ac:dyDescent="0.2"/>
  <cols>
    <col min="1" max="1" width="64.140625" style="1" customWidth="1"/>
    <col min="2" max="2" width="16.85546875" style="1" customWidth="1"/>
    <col min="3" max="3" width="10.7109375" style="1" customWidth="1"/>
    <col min="4" max="4" width="11.42578125" style="1" customWidth="1"/>
    <col min="5" max="5" width="11.85546875" style="1" customWidth="1"/>
    <col min="6" max="28" width="10.7109375" style="1" customWidth="1"/>
    <col min="29" max="29" width="67.5703125" style="1" customWidth="1"/>
    <col min="30" max="30" width="19.42578125" style="1" bestFit="1" customWidth="1"/>
    <col min="31" max="31" width="15.7109375" style="1" customWidth="1"/>
    <col min="32" max="32" width="15.85546875" style="1" bestFit="1" customWidth="1"/>
    <col min="33" max="16384" width="9.140625" style="1"/>
  </cols>
  <sheetData>
    <row r="1" spans="1:34" s="52" customFormat="1" ht="55.5" x14ac:dyDescent="0.35">
      <c r="A1" s="51" t="s">
        <v>298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26</v>
      </c>
      <c r="L1" s="53" t="s">
        <v>27</v>
      </c>
      <c r="M1" s="53" t="s">
        <v>28</v>
      </c>
      <c r="N1" s="53" t="s">
        <v>29</v>
      </c>
      <c r="O1" s="53" t="s">
        <v>30</v>
      </c>
      <c r="P1" s="53" t="s">
        <v>31</v>
      </c>
      <c r="Q1" s="53" t="s">
        <v>32</v>
      </c>
      <c r="R1" s="53" t="s">
        <v>33</v>
      </c>
      <c r="S1" s="53" t="s">
        <v>34</v>
      </c>
      <c r="T1" s="53" t="s">
        <v>35</v>
      </c>
      <c r="U1" s="53" t="s">
        <v>36</v>
      </c>
      <c r="V1" s="53" t="s">
        <v>37</v>
      </c>
      <c r="W1" s="54" t="s">
        <v>38</v>
      </c>
      <c r="X1" s="53" t="s">
        <v>71</v>
      </c>
      <c r="Y1" s="53" t="s">
        <v>4</v>
      </c>
      <c r="Z1" s="54" t="s">
        <v>5</v>
      </c>
      <c r="AA1" s="53" t="s">
        <v>6</v>
      </c>
      <c r="AB1" s="54" t="s">
        <v>7</v>
      </c>
      <c r="AE1" s="55"/>
      <c r="AF1" s="55"/>
      <c r="AG1" s="56"/>
      <c r="AH1" s="56"/>
    </row>
    <row r="2" spans="1:34" ht="24.95" customHeight="1" x14ac:dyDescent="0.35">
      <c r="A2" s="57" t="s">
        <v>8</v>
      </c>
      <c r="B2" s="32" t="s">
        <v>9</v>
      </c>
      <c r="C2" s="58">
        <f>C33</f>
        <v>0</v>
      </c>
      <c r="D2" s="58">
        <f t="shared" ref="D2:E2" si="0">D33</f>
        <v>0</v>
      </c>
      <c r="E2" s="58">
        <f t="shared" si="0"/>
        <v>0</v>
      </c>
      <c r="F2" s="58">
        <f t="shared" ref="F2:AB2" si="1">F33</f>
        <v>0</v>
      </c>
      <c r="G2" s="58">
        <f t="shared" si="1"/>
        <v>0</v>
      </c>
      <c r="H2" s="58">
        <f t="shared" si="1"/>
        <v>0</v>
      </c>
      <c r="I2" s="58">
        <f t="shared" si="1"/>
        <v>0</v>
      </c>
      <c r="J2" s="58">
        <f t="shared" si="1"/>
        <v>0</v>
      </c>
      <c r="K2" s="58">
        <f t="shared" si="1"/>
        <v>0</v>
      </c>
      <c r="L2" s="58">
        <f t="shared" si="1"/>
        <v>0</v>
      </c>
      <c r="M2" s="58">
        <f t="shared" si="1"/>
        <v>0</v>
      </c>
      <c r="N2" s="58">
        <f t="shared" si="1"/>
        <v>0</v>
      </c>
      <c r="O2" s="58">
        <f t="shared" si="1"/>
        <v>0</v>
      </c>
      <c r="P2" s="58">
        <f t="shared" si="1"/>
        <v>0</v>
      </c>
      <c r="Q2" s="58">
        <f t="shared" si="1"/>
        <v>0</v>
      </c>
      <c r="R2" s="58">
        <f t="shared" si="1"/>
        <v>0</v>
      </c>
      <c r="S2" s="58">
        <f t="shared" si="1"/>
        <v>0</v>
      </c>
      <c r="T2" s="58">
        <f t="shared" si="1"/>
        <v>0</v>
      </c>
      <c r="U2" s="58">
        <f t="shared" si="1"/>
        <v>0</v>
      </c>
      <c r="V2" s="58">
        <f t="shared" si="1"/>
        <v>0</v>
      </c>
      <c r="W2" s="58">
        <f t="shared" si="1"/>
        <v>0</v>
      </c>
      <c r="X2" s="58">
        <f t="shared" si="1"/>
        <v>0</v>
      </c>
      <c r="Y2" s="58">
        <f t="shared" si="1"/>
        <v>0</v>
      </c>
      <c r="Z2" s="58">
        <f t="shared" si="1"/>
        <v>0</v>
      </c>
      <c r="AA2" s="58">
        <f t="shared" si="1"/>
        <v>0</v>
      </c>
      <c r="AB2" s="58">
        <f t="shared" si="1"/>
        <v>0</v>
      </c>
    </row>
    <row r="3" spans="1:34" ht="24.95" customHeight="1" x14ac:dyDescent="0.3">
      <c r="A3" s="2" t="s">
        <v>41</v>
      </c>
      <c r="B3" s="59" t="s">
        <v>10</v>
      </c>
      <c r="C3" s="60">
        <f t="shared" ref="C3:AB3" si="2">C2-C4</f>
        <v>0</v>
      </c>
      <c r="D3" s="60"/>
      <c r="E3" s="60"/>
      <c r="F3" s="60">
        <f t="shared" si="2"/>
        <v>0</v>
      </c>
      <c r="G3" s="60"/>
      <c r="H3" s="60">
        <f t="shared" si="2"/>
        <v>0</v>
      </c>
      <c r="I3" s="60">
        <f t="shared" si="2"/>
        <v>0</v>
      </c>
      <c r="J3" s="60">
        <f t="shared" si="2"/>
        <v>0</v>
      </c>
      <c r="K3" s="60">
        <f t="shared" si="2"/>
        <v>0</v>
      </c>
      <c r="L3" s="60">
        <f t="shared" si="2"/>
        <v>0</v>
      </c>
      <c r="M3" s="60">
        <f t="shared" si="2"/>
        <v>0</v>
      </c>
      <c r="N3" s="60">
        <f t="shared" si="2"/>
        <v>0</v>
      </c>
      <c r="O3" s="60">
        <f t="shared" si="2"/>
        <v>0</v>
      </c>
      <c r="P3" s="60">
        <f t="shared" si="2"/>
        <v>0</v>
      </c>
      <c r="Q3" s="60">
        <f t="shared" si="2"/>
        <v>0</v>
      </c>
      <c r="R3" s="60">
        <f t="shared" si="2"/>
        <v>0</v>
      </c>
      <c r="S3" s="60">
        <f t="shared" si="2"/>
        <v>0</v>
      </c>
      <c r="T3" s="60">
        <f t="shared" si="2"/>
        <v>0</v>
      </c>
      <c r="U3" s="60">
        <f t="shared" si="2"/>
        <v>0</v>
      </c>
      <c r="V3" s="60">
        <f t="shared" si="2"/>
        <v>0</v>
      </c>
      <c r="W3" s="60">
        <f t="shared" si="2"/>
        <v>0</v>
      </c>
      <c r="X3" s="60">
        <f t="shared" si="2"/>
        <v>0</v>
      </c>
      <c r="Y3" s="60">
        <f t="shared" si="2"/>
        <v>0</v>
      </c>
      <c r="Z3" s="60">
        <f t="shared" si="2"/>
        <v>0</v>
      </c>
      <c r="AA3" s="60">
        <f t="shared" si="2"/>
        <v>0</v>
      </c>
      <c r="AB3" s="60">
        <f t="shared" si="2"/>
        <v>0</v>
      </c>
    </row>
    <row r="4" spans="1:34" ht="24.95" customHeight="1" x14ac:dyDescent="0.3">
      <c r="A4" s="61" t="s">
        <v>39</v>
      </c>
      <c r="B4" s="59" t="s">
        <v>22</v>
      </c>
      <c r="C4" s="60">
        <f t="shared" ref="C4:AB4" si="3">C33</f>
        <v>0</v>
      </c>
      <c r="D4" s="60"/>
      <c r="E4" s="60"/>
      <c r="F4" s="60">
        <f t="shared" si="3"/>
        <v>0</v>
      </c>
      <c r="G4" s="60"/>
      <c r="H4" s="60">
        <f t="shared" si="3"/>
        <v>0</v>
      </c>
      <c r="I4" s="60">
        <f t="shared" si="3"/>
        <v>0</v>
      </c>
      <c r="J4" s="60">
        <f t="shared" si="3"/>
        <v>0</v>
      </c>
      <c r="K4" s="60">
        <f t="shared" si="3"/>
        <v>0</v>
      </c>
      <c r="L4" s="60">
        <f t="shared" si="3"/>
        <v>0</v>
      </c>
      <c r="M4" s="60">
        <f t="shared" si="3"/>
        <v>0</v>
      </c>
      <c r="N4" s="60">
        <f t="shared" si="3"/>
        <v>0</v>
      </c>
      <c r="O4" s="60">
        <f t="shared" si="3"/>
        <v>0</v>
      </c>
      <c r="P4" s="60">
        <f t="shared" si="3"/>
        <v>0</v>
      </c>
      <c r="Q4" s="60">
        <f t="shared" si="3"/>
        <v>0</v>
      </c>
      <c r="R4" s="60">
        <f t="shared" si="3"/>
        <v>0</v>
      </c>
      <c r="S4" s="60">
        <f t="shared" si="3"/>
        <v>0</v>
      </c>
      <c r="T4" s="60">
        <f t="shared" si="3"/>
        <v>0</v>
      </c>
      <c r="U4" s="60">
        <f t="shared" si="3"/>
        <v>0</v>
      </c>
      <c r="V4" s="60">
        <f t="shared" si="3"/>
        <v>0</v>
      </c>
      <c r="W4" s="60">
        <f t="shared" si="3"/>
        <v>0</v>
      </c>
      <c r="X4" s="60">
        <f t="shared" si="3"/>
        <v>0</v>
      </c>
      <c r="Y4" s="60">
        <f t="shared" si="3"/>
        <v>0</v>
      </c>
      <c r="Z4" s="60">
        <f t="shared" si="3"/>
        <v>0</v>
      </c>
      <c r="AA4" s="60">
        <f t="shared" si="3"/>
        <v>0</v>
      </c>
      <c r="AB4" s="60">
        <f t="shared" si="3"/>
        <v>0</v>
      </c>
    </row>
    <row r="5" spans="1:34" ht="24.95" customHeight="1" x14ac:dyDescent="0.3">
      <c r="A5" s="61" t="s">
        <v>40</v>
      </c>
      <c r="B5" s="59" t="s">
        <v>11</v>
      </c>
      <c r="C5" s="60">
        <f t="shared" ref="C5:AB5" si="4">C33</f>
        <v>0</v>
      </c>
      <c r="D5" s="60"/>
      <c r="E5" s="60"/>
      <c r="F5" s="60">
        <f t="shared" si="4"/>
        <v>0</v>
      </c>
      <c r="G5" s="60"/>
      <c r="H5" s="60">
        <f t="shared" si="4"/>
        <v>0</v>
      </c>
      <c r="I5" s="60">
        <f t="shared" si="4"/>
        <v>0</v>
      </c>
      <c r="J5" s="60">
        <f t="shared" si="4"/>
        <v>0</v>
      </c>
      <c r="K5" s="60">
        <f t="shared" si="4"/>
        <v>0</v>
      </c>
      <c r="L5" s="60">
        <f t="shared" si="4"/>
        <v>0</v>
      </c>
      <c r="M5" s="60">
        <f t="shared" si="4"/>
        <v>0</v>
      </c>
      <c r="N5" s="60">
        <f t="shared" si="4"/>
        <v>0</v>
      </c>
      <c r="O5" s="60">
        <f t="shared" si="4"/>
        <v>0</v>
      </c>
      <c r="P5" s="60">
        <f t="shared" si="4"/>
        <v>0</v>
      </c>
      <c r="Q5" s="60">
        <f t="shared" si="4"/>
        <v>0</v>
      </c>
      <c r="R5" s="60">
        <f t="shared" si="4"/>
        <v>0</v>
      </c>
      <c r="S5" s="60">
        <f t="shared" si="4"/>
        <v>0</v>
      </c>
      <c r="T5" s="60">
        <f t="shared" si="4"/>
        <v>0</v>
      </c>
      <c r="U5" s="60">
        <f t="shared" si="4"/>
        <v>0</v>
      </c>
      <c r="V5" s="60">
        <f t="shared" si="4"/>
        <v>0</v>
      </c>
      <c r="W5" s="60">
        <f t="shared" si="4"/>
        <v>0</v>
      </c>
      <c r="X5" s="60">
        <f t="shared" si="4"/>
        <v>0</v>
      </c>
      <c r="Y5" s="60">
        <f t="shared" si="4"/>
        <v>0</v>
      </c>
      <c r="Z5" s="60">
        <f t="shared" si="4"/>
        <v>0</v>
      </c>
      <c r="AA5" s="60">
        <f t="shared" si="4"/>
        <v>0</v>
      </c>
      <c r="AB5" s="60">
        <f t="shared" si="4"/>
        <v>0</v>
      </c>
    </row>
    <row r="6" spans="1:34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50"/>
      <c r="Z6" s="50"/>
      <c r="AA6" s="50"/>
      <c r="AB6" s="50"/>
    </row>
    <row r="7" spans="1:34" s="52" customFormat="1" ht="55.5" x14ac:dyDescent="0.35">
      <c r="A7" s="88" t="s">
        <v>21</v>
      </c>
      <c r="B7" s="92" t="s">
        <v>12</v>
      </c>
      <c r="C7" s="89" t="str">
        <f t="shared" ref="C7:AB7" si="5">C1</f>
        <v>Molho</v>
      </c>
      <c r="D7" s="89" t="str">
        <f t="shared" si="5"/>
        <v>Litros Chantilly</v>
      </c>
      <c r="E7" s="89" t="str">
        <f t="shared" si="5"/>
        <v>Mini Chantilly</v>
      </c>
      <c r="F7" s="66" t="str">
        <f t="shared" si="5"/>
        <v>Tetra</v>
      </c>
      <c r="G7" s="66" t="str">
        <f t="shared" si="5"/>
        <v>Tp Cul.</v>
      </c>
      <c r="H7" s="66" t="str">
        <f t="shared" si="5"/>
        <v>Fresco 250g</v>
      </c>
      <c r="I7" s="66" t="str">
        <f t="shared" si="5"/>
        <v>Fresco 500g</v>
      </c>
      <c r="J7" s="67" t="str">
        <f t="shared" si="5"/>
        <v>Fresco 1kg</v>
      </c>
      <c r="K7" s="67" t="str">
        <f t="shared" si="5"/>
        <v>Seco Fino</v>
      </c>
      <c r="L7" s="67" t="str">
        <f t="shared" si="5"/>
        <v>Seco Flocos</v>
      </c>
      <c r="M7" s="67" t="str">
        <f t="shared" si="5"/>
        <v>Marsh 500g</v>
      </c>
      <c r="N7" s="67" t="str">
        <f t="shared" si="5"/>
        <v>Marsh 1kg</v>
      </c>
      <c r="O7" s="67" t="str">
        <f t="shared" si="5"/>
        <v>Massa 1kg</v>
      </c>
      <c r="P7" s="67" t="str">
        <f t="shared" si="5"/>
        <v>Massa 2.2kg</v>
      </c>
      <c r="Q7" s="67" t="str">
        <f t="shared" si="5"/>
        <v>Semi-Folhada 2kg</v>
      </c>
      <c r="R7" s="67" t="str">
        <f t="shared" si="5"/>
        <v>Brig PT 1kg</v>
      </c>
      <c r="S7" s="67" t="str">
        <f t="shared" si="5"/>
        <v>Beij PT 1kg</v>
      </c>
      <c r="T7" s="67" t="str">
        <f t="shared" si="5"/>
        <v>Brig PT 2kg</v>
      </c>
      <c r="U7" s="67" t="str">
        <f t="shared" si="5"/>
        <v>Beij PT 2kg</v>
      </c>
      <c r="V7" s="67" t="str">
        <f t="shared" si="5"/>
        <v>Brig Cl 1kg</v>
      </c>
      <c r="W7" s="67" t="str">
        <f t="shared" si="5"/>
        <v>Beij Cl 1kg</v>
      </c>
      <c r="X7" s="67" t="str">
        <f t="shared" si="5"/>
        <v>Mel 500</v>
      </c>
      <c r="Y7" s="67" t="str">
        <f t="shared" si="5"/>
        <v>Pão de Queijo</v>
      </c>
      <c r="Z7" s="67" t="str">
        <f t="shared" si="5"/>
        <v>Ovo</v>
      </c>
      <c r="AA7" s="67" t="str">
        <f t="shared" si="5"/>
        <v>Gema</v>
      </c>
      <c r="AB7" s="67" t="str">
        <f t="shared" si="5"/>
        <v>Clara</v>
      </c>
      <c r="AC7" s="102" t="s">
        <v>14</v>
      </c>
      <c r="AD7" s="69" t="s">
        <v>15</v>
      </c>
      <c r="AE7" s="70"/>
      <c r="AF7" s="71"/>
      <c r="AG7" s="71"/>
      <c r="AH7" s="71"/>
    </row>
    <row r="8" spans="1:34" ht="24.95" hidden="1" customHeight="1" x14ac:dyDescent="0.35">
      <c r="A8" s="5" t="s">
        <v>60</v>
      </c>
      <c r="B8" s="93"/>
      <c r="C8" s="91"/>
      <c r="D8" s="91" t="s">
        <v>196</v>
      </c>
      <c r="E8" s="11"/>
      <c r="F8" s="11"/>
      <c r="G8" s="11"/>
      <c r="H8" s="10"/>
      <c r="I8" s="11"/>
      <c r="J8" s="11"/>
      <c r="K8" s="11"/>
      <c r="L8" s="10"/>
      <c r="M8" s="11"/>
      <c r="N8" s="10"/>
      <c r="O8" s="11"/>
      <c r="P8" s="11"/>
      <c r="Q8" s="11"/>
      <c r="R8" s="10"/>
      <c r="S8" s="11"/>
      <c r="T8" s="10"/>
      <c r="U8" s="11"/>
      <c r="V8" s="11"/>
      <c r="W8" s="10"/>
      <c r="X8" s="11"/>
      <c r="Y8" s="11"/>
      <c r="Z8" s="10"/>
      <c r="AA8" s="11"/>
      <c r="AB8" s="10"/>
      <c r="AC8" s="132"/>
      <c r="AD8" s="42"/>
      <c r="AE8" s="14"/>
      <c r="AF8" s="37"/>
      <c r="AG8" s="37"/>
      <c r="AH8" s="37"/>
    </row>
    <row r="9" spans="1:34" ht="24.95" hidden="1" customHeight="1" x14ac:dyDescent="0.35">
      <c r="A9" s="5" t="s">
        <v>210</v>
      </c>
      <c r="B9" s="93"/>
      <c r="C9" s="91"/>
      <c r="D9" s="91"/>
      <c r="E9" s="11"/>
      <c r="F9" s="11"/>
      <c r="G9" s="11"/>
      <c r="H9" s="10"/>
      <c r="I9" s="11"/>
      <c r="J9" s="11"/>
      <c r="K9" s="11"/>
      <c r="L9" s="10"/>
      <c r="M9" s="11"/>
      <c r="N9" s="10"/>
      <c r="O9" s="11"/>
      <c r="P9" s="11"/>
      <c r="Q9" s="11"/>
      <c r="R9" s="10"/>
      <c r="S9" s="11"/>
      <c r="T9" s="10"/>
      <c r="U9" s="11"/>
      <c r="V9" s="11"/>
      <c r="W9" s="10"/>
      <c r="X9" s="11"/>
      <c r="Y9" s="11"/>
      <c r="Z9" s="10"/>
      <c r="AA9" s="11"/>
      <c r="AB9" s="10"/>
      <c r="AC9" s="100"/>
      <c r="AD9" s="42"/>
      <c r="AE9" s="14"/>
      <c r="AF9" s="37"/>
      <c r="AG9" s="37"/>
      <c r="AH9" s="37"/>
    </row>
    <row r="10" spans="1:34" ht="23.25" hidden="1" x14ac:dyDescent="0.35">
      <c r="A10" s="118" t="s">
        <v>253</v>
      </c>
      <c r="B10" s="93"/>
      <c r="C10" s="158"/>
      <c r="D10" s="158"/>
      <c r="E10" s="11"/>
      <c r="F10" s="11"/>
      <c r="G10" s="11"/>
      <c r="H10" s="159"/>
      <c r="I10" s="11"/>
      <c r="J10" s="11"/>
      <c r="K10" s="11"/>
      <c r="L10" s="159"/>
      <c r="M10" s="11"/>
      <c r="N10" s="159"/>
      <c r="O10" s="11"/>
      <c r="P10" s="11"/>
      <c r="Q10" s="11"/>
      <c r="R10" s="159"/>
      <c r="S10" s="11"/>
      <c r="T10" s="10"/>
      <c r="U10" s="11"/>
      <c r="V10" s="11"/>
      <c r="W10" s="10"/>
      <c r="X10" s="11"/>
      <c r="Y10" s="11"/>
      <c r="Z10" s="10"/>
      <c r="AA10" s="11"/>
      <c r="AB10" s="10"/>
      <c r="AC10" s="100"/>
      <c r="AD10" s="42"/>
      <c r="AE10" s="14"/>
      <c r="AF10" s="37"/>
      <c r="AG10" s="37"/>
      <c r="AH10" s="37"/>
    </row>
    <row r="11" spans="1:34" ht="24.95" customHeight="1" x14ac:dyDescent="0.35">
      <c r="A11" s="8" t="s">
        <v>338</v>
      </c>
      <c r="B11" s="93"/>
      <c r="C11" s="158"/>
      <c r="D11" s="158" t="s">
        <v>196</v>
      </c>
      <c r="E11" s="11"/>
      <c r="F11" s="11"/>
      <c r="G11" s="11"/>
      <c r="H11" s="159"/>
      <c r="I11" s="11"/>
      <c r="J11" s="11"/>
      <c r="K11" s="11"/>
      <c r="L11" s="159"/>
      <c r="M11" s="11"/>
      <c r="N11" s="159"/>
      <c r="O11" s="11"/>
      <c r="P11" s="11"/>
      <c r="Q11" s="11"/>
      <c r="R11" s="159"/>
      <c r="S11" s="11"/>
      <c r="T11" s="10"/>
      <c r="U11" s="11"/>
      <c r="V11" s="11"/>
      <c r="W11" s="10"/>
      <c r="X11" s="11"/>
      <c r="Y11" s="11"/>
      <c r="Z11" s="10"/>
      <c r="AA11" s="11"/>
      <c r="AB11" s="10"/>
      <c r="AC11" s="100"/>
      <c r="AD11" s="42"/>
      <c r="AE11" s="14"/>
      <c r="AF11" s="37"/>
      <c r="AG11" s="37"/>
      <c r="AH11" s="37"/>
    </row>
    <row r="12" spans="1:34" ht="24.95" hidden="1" customHeight="1" x14ac:dyDescent="0.35">
      <c r="A12" s="5" t="s">
        <v>127</v>
      </c>
      <c r="B12" s="93"/>
      <c r="C12" s="158"/>
      <c r="D12" s="158"/>
      <c r="E12" s="11"/>
      <c r="F12" s="11"/>
      <c r="G12" s="11"/>
      <c r="H12" s="159"/>
      <c r="I12" s="11"/>
      <c r="J12" s="11"/>
      <c r="K12" s="11"/>
      <c r="L12" s="159"/>
      <c r="M12" s="11"/>
      <c r="N12" s="159"/>
      <c r="O12" s="11"/>
      <c r="P12" s="11"/>
      <c r="Q12" s="11"/>
      <c r="R12" s="159"/>
      <c r="S12" s="11"/>
      <c r="T12" s="10"/>
      <c r="U12" s="11"/>
      <c r="V12" s="11"/>
      <c r="W12" s="10"/>
      <c r="X12" s="11"/>
      <c r="Y12" s="11"/>
      <c r="Z12" s="10"/>
      <c r="AA12" s="11"/>
      <c r="AB12" s="10"/>
      <c r="AC12" s="100"/>
      <c r="AD12" s="42"/>
      <c r="AE12" s="14"/>
      <c r="AF12" s="37"/>
      <c r="AG12" s="37"/>
      <c r="AH12" s="37"/>
    </row>
    <row r="13" spans="1:34" ht="24.95" hidden="1" customHeight="1" x14ac:dyDescent="0.35">
      <c r="A13" s="5" t="s">
        <v>57</v>
      </c>
      <c r="B13" s="93"/>
      <c r="C13" s="158"/>
      <c r="D13" s="158"/>
      <c r="E13" s="11"/>
      <c r="F13" s="11"/>
      <c r="G13" s="11"/>
      <c r="H13" s="159"/>
      <c r="I13" s="11"/>
      <c r="J13" s="11"/>
      <c r="K13" s="11"/>
      <c r="L13" s="159"/>
      <c r="M13" s="11"/>
      <c r="N13" s="159"/>
      <c r="O13" s="11"/>
      <c r="P13" s="11"/>
      <c r="Q13" s="11"/>
      <c r="R13" s="159"/>
      <c r="S13" s="11"/>
      <c r="T13" s="10"/>
      <c r="U13" s="11"/>
      <c r="V13" s="11"/>
      <c r="W13" s="10"/>
      <c r="X13" s="11"/>
      <c r="Y13" s="11"/>
      <c r="Z13" s="10"/>
      <c r="AA13" s="11"/>
      <c r="AB13" s="10"/>
      <c r="AC13" s="100" t="s">
        <v>99</v>
      </c>
      <c r="AD13" s="42"/>
      <c r="AE13" s="14"/>
      <c r="AF13" s="37"/>
      <c r="AG13" s="37"/>
      <c r="AH13" s="37"/>
    </row>
    <row r="14" spans="1:34" ht="24.95" hidden="1" customHeight="1" x14ac:dyDescent="0.35">
      <c r="A14" s="5" t="s">
        <v>56</v>
      </c>
      <c r="B14" s="93"/>
      <c r="C14" s="158"/>
      <c r="D14" s="158"/>
      <c r="E14" s="11"/>
      <c r="F14" s="11"/>
      <c r="G14" s="11"/>
      <c r="H14" s="159"/>
      <c r="I14" s="11"/>
      <c r="J14" s="11"/>
      <c r="K14" s="11"/>
      <c r="L14" s="159"/>
      <c r="M14" s="11"/>
      <c r="N14" s="159"/>
      <c r="O14" s="11"/>
      <c r="P14" s="11"/>
      <c r="Q14" s="11"/>
      <c r="R14" s="159"/>
      <c r="S14" s="11"/>
      <c r="T14" s="10"/>
      <c r="U14" s="11"/>
      <c r="V14" s="11"/>
      <c r="W14" s="10"/>
      <c r="X14" s="11"/>
      <c r="Y14" s="11"/>
      <c r="Z14" s="10"/>
      <c r="AA14" s="11"/>
      <c r="AB14" s="10"/>
      <c r="AC14" s="100" t="s">
        <v>100</v>
      </c>
      <c r="AD14" s="42"/>
      <c r="AE14" s="14"/>
      <c r="AF14" s="37"/>
      <c r="AG14" s="37"/>
      <c r="AH14" s="37"/>
    </row>
    <row r="15" spans="1:34" ht="24.95" hidden="1" customHeight="1" x14ac:dyDescent="0.35">
      <c r="A15" s="5" t="s">
        <v>69</v>
      </c>
      <c r="B15" s="93"/>
      <c r="C15" s="158"/>
      <c r="D15" s="158"/>
      <c r="E15" s="11"/>
      <c r="F15" s="11"/>
      <c r="G15" s="11"/>
      <c r="H15" s="159"/>
      <c r="I15" s="11"/>
      <c r="J15" s="11"/>
      <c r="K15" s="11"/>
      <c r="L15" s="159"/>
      <c r="M15" s="11"/>
      <c r="N15" s="159"/>
      <c r="O15" s="11"/>
      <c r="P15" s="11"/>
      <c r="Q15" s="11"/>
      <c r="R15" s="159"/>
      <c r="S15" s="11"/>
      <c r="T15" s="10"/>
      <c r="U15" s="11"/>
      <c r="V15" s="11"/>
      <c r="W15" s="10"/>
      <c r="X15" s="11"/>
      <c r="Y15" s="11"/>
      <c r="Z15" s="10"/>
      <c r="AA15" s="11"/>
      <c r="AB15" s="10"/>
      <c r="AC15" s="100"/>
      <c r="AD15" s="42"/>
      <c r="AE15" s="14"/>
      <c r="AF15" s="37"/>
      <c r="AG15" s="37"/>
      <c r="AH15" s="37"/>
    </row>
    <row r="16" spans="1:34" ht="24.95" hidden="1" customHeight="1" x14ac:dyDescent="0.35">
      <c r="A16" s="5" t="s">
        <v>70</v>
      </c>
      <c r="B16" s="93"/>
      <c r="C16" s="158"/>
      <c r="D16" s="158"/>
      <c r="E16" s="11"/>
      <c r="F16" s="11"/>
      <c r="G16" s="11"/>
      <c r="H16" s="159"/>
      <c r="I16" s="11"/>
      <c r="J16" s="11"/>
      <c r="K16" s="11"/>
      <c r="L16" s="159"/>
      <c r="M16" s="11"/>
      <c r="N16" s="159"/>
      <c r="O16" s="11"/>
      <c r="P16" s="11"/>
      <c r="Q16" s="11"/>
      <c r="R16" s="159"/>
      <c r="S16" s="11"/>
      <c r="T16" s="10"/>
      <c r="U16" s="11"/>
      <c r="V16" s="11"/>
      <c r="W16" s="10"/>
      <c r="X16" s="11"/>
      <c r="Y16" s="11"/>
      <c r="Z16" s="10"/>
      <c r="AA16" s="11"/>
      <c r="AB16" s="10"/>
      <c r="AC16" s="100"/>
      <c r="AD16" s="42"/>
      <c r="AE16" s="14"/>
      <c r="AF16" s="37"/>
      <c r="AG16" s="37"/>
      <c r="AH16" s="37"/>
    </row>
    <row r="17" spans="1:34" ht="24.95" hidden="1" customHeight="1" x14ac:dyDescent="0.35">
      <c r="A17" s="5" t="s">
        <v>178</v>
      </c>
      <c r="B17" s="93" t="s">
        <v>44</v>
      </c>
      <c r="C17" s="158"/>
      <c r="D17" s="158"/>
      <c r="E17" s="11"/>
      <c r="F17" s="11"/>
      <c r="G17" s="11"/>
      <c r="H17" s="159"/>
      <c r="I17" s="11"/>
      <c r="J17" s="11"/>
      <c r="K17" s="11"/>
      <c r="L17" s="159"/>
      <c r="M17" s="11"/>
      <c r="N17" s="159"/>
      <c r="O17" s="11"/>
      <c r="P17" s="11"/>
      <c r="Q17" s="11"/>
      <c r="R17" s="159"/>
      <c r="S17" s="11"/>
      <c r="T17" s="10"/>
      <c r="U17" s="11"/>
      <c r="V17" s="11"/>
      <c r="W17" s="10"/>
      <c r="X17" s="11"/>
      <c r="Y17" s="11"/>
      <c r="Z17" s="10"/>
      <c r="AA17" s="11"/>
      <c r="AB17" s="10"/>
      <c r="AC17" s="100"/>
      <c r="AD17" s="42"/>
      <c r="AE17" s="14"/>
      <c r="AF17" s="37"/>
      <c r="AG17" s="37"/>
      <c r="AH17" s="37"/>
    </row>
    <row r="18" spans="1:34" ht="24.95" customHeight="1" x14ac:dyDescent="0.35">
      <c r="A18" s="5" t="s">
        <v>58</v>
      </c>
      <c r="B18" s="93"/>
      <c r="C18" s="158"/>
      <c r="D18" s="158"/>
      <c r="E18" s="11"/>
      <c r="F18" s="11"/>
      <c r="G18" s="11"/>
      <c r="H18" s="159"/>
      <c r="I18" s="11"/>
      <c r="J18" s="11"/>
      <c r="K18" s="11"/>
      <c r="L18" s="159"/>
      <c r="M18" s="11"/>
      <c r="N18" s="159"/>
      <c r="O18" s="11"/>
      <c r="P18" s="11"/>
      <c r="Q18" s="11"/>
      <c r="R18" s="159"/>
      <c r="S18" s="11"/>
      <c r="T18" s="10"/>
      <c r="U18" s="11"/>
      <c r="V18" s="11"/>
      <c r="W18" s="10"/>
      <c r="X18" s="11"/>
      <c r="Y18" s="11"/>
      <c r="Z18" s="10"/>
      <c r="AA18" s="11"/>
      <c r="AB18" s="10"/>
      <c r="AC18" s="101" t="s">
        <v>93</v>
      </c>
      <c r="AD18" s="42"/>
      <c r="AE18" s="14"/>
      <c r="AF18" s="37"/>
      <c r="AG18" s="37"/>
      <c r="AH18" s="37"/>
    </row>
    <row r="19" spans="1:34" ht="41.25" hidden="1" x14ac:dyDescent="0.35">
      <c r="A19" s="115" t="s">
        <v>181</v>
      </c>
      <c r="B19" s="93"/>
      <c r="C19" s="158"/>
      <c r="D19" s="158"/>
      <c r="E19" s="11"/>
      <c r="F19" s="11"/>
      <c r="G19" s="11"/>
      <c r="H19" s="159"/>
      <c r="I19" s="11"/>
      <c r="J19" s="11"/>
      <c r="K19" s="11"/>
      <c r="L19" s="159"/>
      <c r="M19" s="11"/>
      <c r="N19" s="159"/>
      <c r="O19" s="11"/>
      <c r="P19" s="11"/>
      <c r="Q19" s="11"/>
      <c r="R19" s="159"/>
      <c r="S19" s="11"/>
      <c r="T19" s="10"/>
      <c r="U19" s="11"/>
      <c r="V19" s="11"/>
      <c r="W19" s="10"/>
      <c r="X19" s="11"/>
      <c r="Y19" s="11"/>
      <c r="Z19" s="10"/>
      <c r="AA19" s="11"/>
      <c r="AB19" s="10"/>
      <c r="AC19" s="100" t="s">
        <v>186</v>
      </c>
      <c r="AD19" s="42"/>
      <c r="AE19" s="14"/>
      <c r="AF19" s="37"/>
      <c r="AG19" s="37"/>
      <c r="AH19" s="37"/>
    </row>
    <row r="20" spans="1:34" ht="24.95" hidden="1" customHeight="1" x14ac:dyDescent="0.35">
      <c r="A20" s="5" t="s">
        <v>173</v>
      </c>
      <c r="B20" s="93"/>
      <c r="C20" s="158"/>
      <c r="D20" s="158"/>
      <c r="E20" s="11"/>
      <c r="F20" s="11"/>
      <c r="G20" s="11"/>
      <c r="H20" s="159"/>
      <c r="I20" s="11"/>
      <c r="J20" s="11"/>
      <c r="K20" s="11"/>
      <c r="L20" s="159"/>
      <c r="M20" s="11"/>
      <c r="N20" s="159"/>
      <c r="O20" s="11"/>
      <c r="P20" s="11"/>
      <c r="Q20" s="11"/>
      <c r="R20" s="159"/>
      <c r="S20" s="11"/>
      <c r="T20" s="10"/>
      <c r="U20" s="11"/>
      <c r="V20" s="11"/>
      <c r="W20" s="10"/>
      <c r="X20" s="11"/>
      <c r="Y20" s="11"/>
      <c r="Z20" s="10"/>
      <c r="AA20" s="11"/>
      <c r="AB20" s="10"/>
      <c r="AC20" s="100" t="s">
        <v>186</v>
      </c>
      <c r="AD20" s="42"/>
      <c r="AE20" s="14"/>
      <c r="AF20" s="37"/>
      <c r="AG20" s="37"/>
      <c r="AH20" s="37"/>
    </row>
    <row r="21" spans="1:34" ht="24.95" customHeight="1" x14ac:dyDescent="0.35">
      <c r="A21" s="5" t="s">
        <v>339</v>
      </c>
      <c r="B21" s="93"/>
      <c r="C21" s="158"/>
      <c r="D21" s="158"/>
      <c r="E21" s="11"/>
      <c r="F21" s="11"/>
      <c r="G21" s="11"/>
      <c r="H21" s="167"/>
      <c r="I21" s="11"/>
      <c r="J21" s="11"/>
      <c r="K21" s="11"/>
      <c r="L21" s="159"/>
      <c r="M21" s="11"/>
      <c r="N21" s="159"/>
      <c r="O21" s="11"/>
      <c r="P21" s="11"/>
      <c r="Q21" s="11"/>
      <c r="R21" s="159"/>
      <c r="S21" s="11"/>
      <c r="T21" s="10"/>
      <c r="U21" s="11"/>
      <c r="V21" s="11"/>
      <c r="W21" s="10"/>
      <c r="X21" s="11"/>
      <c r="Y21" s="11"/>
      <c r="Z21" s="10"/>
      <c r="AA21" s="11"/>
      <c r="AB21" s="10"/>
      <c r="AC21" s="100"/>
      <c r="AD21" s="42"/>
      <c r="AE21" s="14"/>
      <c r="AF21" s="37"/>
      <c r="AG21" s="37"/>
      <c r="AH21" s="37"/>
    </row>
    <row r="22" spans="1:34" ht="24.95" customHeight="1" x14ac:dyDescent="0.35">
      <c r="A22" s="5" t="s">
        <v>59</v>
      </c>
      <c r="B22" s="93"/>
      <c r="C22" s="158"/>
      <c r="D22" s="158"/>
      <c r="E22" s="11"/>
      <c r="F22" s="11"/>
      <c r="G22" s="11"/>
      <c r="H22" s="159"/>
      <c r="I22" s="11"/>
      <c r="J22" s="11"/>
      <c r="K22" s="11"/>
      <c r="L22" s="159"/>
      <c r="M22" s="11"/>
      <c r="N22" s="159"/>
      <c r="O22" s="11"/>
      <c r="P22" s="11"/>
      <c r="Q22" s="11"/>
      <c r="R22" s="159"/>
      <c r="S22" s="11"/>
      <c r="T22" s="10"/>
      <c r="U22" s="11"/>
      <c r="V22" s="11"/>
      <c r="W22" s="10"/>
      <c r="X22" s="11"/>
      <c r="Y22" s="11"/>
      <c r="Z22" s="10"/>
      <c r="AA22" s="11"/>
      <c r="AB22" s="10"/>
      <c r="AC22" s="100"/>
      <c r="AD22" s="42"/>
      <c r="AE22" s="14"/>
      <c r="AF22" s="37"/>
      <c r="AG22" s="37"/>
      <c r="AH22" s="37"/>
    </row>
    <row r="23" spans="1:34" ht="24.95" hidden="1" customHeight="1" x14ac:dyDescent="0.35">
      <c r="A23" s="5" t="s">
        <v>55</v>
      </c>
      <c r="B23" s="93"/>
      <c r="C23" s="158"/>
      <c r="D23" s="158"/>
      <c r="E23" s="11"/>
      <c r="F23" s="11"/>
      <c r="G23" s="11"/>
      <c r="H23" s="159"/>
      <c r="I23" s="11"/>
      <c r="J23" s="11"/>
      <c r="K23" s="11"/>
      <c r="L23" s="159"/>
      <c r="M23" s="11"/>
      <c r="N23" s="159"/>
      <c r="O23" s="11"/>
      <c r="P23" s="11"/>
      <c r="Q23" s="11"/>
      <c r="R23" s="159"/>
      <c r="S23" s="11"/>
      <c r="T23" s="10"/>
      <c r="U23" s="11"/>
      <c r="V23" s="11"/>
      <c r="W23" s="10"/>
      <c r="X23" s="11"/>
      <c r="Y23" s="11"/>
      <c r="Z23" s="10"/>
      <c r="AA23" s="11"/>
      <c r="AB23" s="10"/>
      <c r="AC23" s="100" t="s">
        <v>129</v>
      </c>
      <c r="AD23" s="42"/>
      <c r="AE23" s="14"/>
      <c r="AF23" s="37"/>
      <c r="AG23" s="37"/>
      <c r="AH23" s="37"/>
    </row>
    <row r="24" spans="1:34" ht="61.5" hidden="1" x14ac:dyDescent="0.35">
      <c r="A24" s="115" t="s">
        <v>254</v>
      </c>
      <c r="B24" s="93"/>
      <c r="C24" s="158"/>
      <c r="D24" s="158"/>
      <c r="E24" s="11"/>
      <c r="F24" s="11"/>
      <c r="G24" s="11"/>
      <c r="H24" s="159"/>
      <c r="I24" s="11"/>
      <c r="J24" s="11"/>
      <c r="K24" s="11"/>
      <c r="L24" s="159"/>
      <c r="M24" s="11"/>
      <c r="N24" s="159"/>
      <c r="O24" s="11"/>
      <c r="P24" s="11"/>
      <c r="Q24" s="11"/>
      <c r="R24" s="159"/>
      <c r="S24" s="11"/>
      <c r="T24" s="10"/>
      <c r="U24" s="11"/>
      <c r="V24" s="11"/>
      <c r="W24" s="10"/>
      <c r="X24" s="11"/>
      <c r="Y24" s="11"/>
      <c r="Z24" s="10"/>
      <c r="AA24" s="11"/>
      <c r="AB24" s="10"/>
      <c r="AC24" s="100"/>
      <c r="AD24" s="42"/>
      <c r="AE24" s="14"/>
      <c r="AF24" s="37"/>
      <c r="AG24" s="37"/>
      <c r="AH24" s="37"/>
    </row>
    <row r="25" spans="1:34" ht="23.25" hidden="1" x14ac:dyDescent="0.35">
      <c r="A25" s="118" t="s">
        <v>292</v>
      </c>
      <c r="B25" s="93"/>
      <c r="C25" s="158"/>
      <c r="D25" s="158"/>
      <c r="E25" s="11"/>
      <c r="F25" s="11"/>
      <c r="G25" s="11"/>
      <c r="H25" s="159"/>
      <c r="I25" s="11"/>
      <c r="J25" s="11"/>
      <c r="K25" s="11"/>
      <c r="L25" s="159"/>
      <c r="M25" s="11"/>
      <c r="N25" s="159"/>
      <c r="O25" s="11"/>
      <c r="P25" s="11"/>
      <c r="Q25" s="11"/>
      <c r="R25" s="159"/>
      <c r="S25" s="11"/>
      <c r="T25" s="10"/>
      <c r="U25" s="11"/>
      <c r="V25" s="11"/>
      <c r="W25" s="10"/>
      <c r="X25" s="11"/>
      <c r="Y25" s="11"/>
      <c r="Z25" s="10"/>
      <c r="AA25" s="11"/>
      <c r="AB25" s="10"/>
      <c r="AC25" s="100"/>
      <c r="AD25" s="42"/>
      <c r="AE25" s="14"/>
      <c r="AF25" s="37"/>
      <c r="AG25" s="37"/>
      <c r="AH25" s="37"/>
    </row>
    <row r="26" spans="1:34" ht="23.25" hidden="1" x14ac:dyDescent="0.35">
      <c r="A26" s="8" t="s">
        <v>126</v>
      </c>
      <c r="B26" s="93"/>
      <c r="C26" s="158"/>
      <c r="D26" s="158"/>
      <c r="E26" s="11"/>
      <c r="F26" s="11"/>
      <c r="G26" s="11"/>
      <c r="H26" s="159"/>
      <c r="I26" s="11"/>
      <c r="J26" s="11"/>
      <c r="K26" s="11"/>
      <c r="L26" s="159"/>
      <c r="M26" s="11"/>
      <c r="N26" s="159"/>
      <c r="O26" s="11"/>
      <c r="P26" s="11"/>
      <c r="Q26" s="11"/>
      <c r="R26" s="159"/>
      <c r="S26" s="11"/>
      <c r="T26" s="10"/>
      <c r="U26" s="11"/>
      <c r="V26" s="11"/>
      <c r="W26" s="10"/>
      <c r="X26" s="11"/>
      <c r="Y26" s="11"/>
      <c r="Z26" s="10"/>
      <c r="AA26" s="11"/>
      <c r="AB26" s="10"/>
      <c r="AC26" s="100"/>
      <c r="AD26" s="42"/>
      <c r="AE26" s="14"/>
      <c r="AF26" s="37"/>
      <c r="AG26" s="37"/>
      <c r="AH26" s="37"/>
    </row>
    <row r="27" spans="1:34" ht="61.5" x14ac:dyDescent="0.35">
      <c r="A27" s="118" t="s">
        <v>385</v>
      </c>
      <c r="B27" s="93"/>
      <c r="C27" s="158"/>
      <c r="D27" s="158" t="s">
        <v>196</v>
      </c>
      <c r="E27" s="11"/>
      <c r="F27" s="11"/>
      <c r="G27" s="11"/>
      <c r="H27" s="159"/>
      <c r="I27" s="11"/>
      <c r="J27" s="11"/>
      <c r="K27" s="11"/>
      <c r="L27" s="159"/>
      <c r="M27" s="11"/>
      <c r="N27" s="159"/>
      <c r="O27" s="11"/>
      <c r="P27" s="11"/>
      <c r="Q27" s="11"/>
      <c r="R27" s="159"/>
      <c r="S27" s="11"/>
      <c r="T27" s="10"/>
      <c r="U27" s="11"/>
      <c r="V27" s="11"/>
      <c r="W27" s="10"/>
      <c r="X27" s="11"/>
      <c r="Y27" s="11"/>
      <c r="Z27" s="10"/>
      <c r="AA27" s="11"/>
      <c r="AB27" s="10"/>
      <c r="AC27" s="100"/>
      <c r="AD27" s="42"/>
      <c r="AE27" s="14"/>
      <c r="AF27" s="37"/>
      <c r="AG27" s="37"/>
      <c r="AH27" s="37"/>
    </row>
    <row r="28" spans="1:34" ht="24.95" customHeight="1" x14ac:dyDescent="0.35">
      <c r="A28" s="5"/>
      <c r="B28" s="93"/>
      <c r="C28" s="158"/>
      <c r="D28" s="158"/>
      <c r="E28" s="11"/>
      <c r="F28" s="11"/>
      <c r="G28" s="11"/>
      <c r="H28" s="159"/>
      <c r="I28" s="11"/>
      <c r="J28" s="11"/>
      <c r="K28" s="11"/>
      <c r="L28" s="159"/>
      <c r="M28" s="11"/>
      <c r="N28" s="159"/>
      <c r="O28" s="11"/>
      <c r="P28" s="11"/>
      <c r="Q28" s="11"/>
      <c r="R28" s="159"/>
      <c r="S28" s="11"/>
      <c r="T28" s="10"/>
      <c r="U28" s="11"/>
      <c r="V28" s="11"/>
      <c r="W28" s="10"/>
      <c r="X28" s="11"/>
      <c r="Y28" s="11"/>
      <c r="Z28" s="10"/>
      <c r="AA28" s="11"/>
      <c r="AB28" s="10"/>
      <c r="AC28" s="100"/>
      <c r="AD28" s="47"/>
      <c r="AE28" s="4"/>
      <c r="AF28" s="37"/>
      <c r="AG28" s="37"/>
      <c r="AH28" s="37"/>
    </row>
    <row r="29" spans="1:34" ht="24.95" customHeight="1" x14ac:dyDescent="0.35">
      <c r="A29" s="5" t="s">
        <v>101</v>
      </c>
      <c r="B29" s="93"/>
      <c r="C29" s="158"/>
      <c r="D29" s="158"/>
      <c r="E29" s="11"/>
      <c r="F29" s="11"/>
      <c r="G29" s="11"/>
      <c r="H29" s="159"/>
      <c r="I29" s="11"/>
      <c r="J29" s="11"/>
      <c r="K29" s="11"/>
      <c r="L29" s="159"/>
      <c r="M29" s="11"/>
      <c r="N29" s="159"/>
      <c r="O29" s="11"/>
      <c r="P29" s="11"/>
      <c r="Q29" s="11"/>
      <c r="R29" s="159"/>
      <c r="S29" s="11"/>
      <c r="T29" s="10"/>
      <c r="U29" s="11"/>
      <c r="V29" s="11"/>
      <c r="W29" s="10"/>
      <c r="X29" s="11"/>
      <c r="Y29" s="11"/>
      <c r="Z29" s="10"/>
      <c r="AA29" s="11"/>
      <c r="AB29" s="10"/>
      <c r="AC29" s="100"/>
      <c r="AD29" s="47"/>
      <c r="AE29" s="4"/>
      <c r="AF29" s="37"/>
      <c r="AG29" s="37"/>
      <c r="AH29" s="37"/>
    </row>
    <row r="30" spans="1:34" ht="24.95" customHeight="1" x14ac:dyDescent="0.35">
      <c r="A30" s="5" t="s">
        <v>102</v>
      </c>
      <c r="B30" s="93"/>
      <c r="C30" s="158"/>
      <c r="D30" s="158"/>
      <c r="E30" s="11"/>
      <c r="F30" s="11"/>
      <c r="G30" s="11"/>
      <c r="H30" s="159"/>
      <c r="I30" s="11"/>
      <c r="J30" s="11"/>
      <c r="K30" s="11"/>
      <c r="L30" s="159"/>
      <c r="M30" s="11"/>
      <c r="N30" s="159"/>
      <c r="O30" s="11"/>
      <c r="P30" s="11"/>
      <c r="Q30" s="11"/>
      <c r="R30" s="159"/>
      <c r="S30" s="11"/>
      <c r="T30" s="10"/>
      <c r="U30" s="11"/>
      <c r="V30" s="11"/>
      <c r="W30" s="10"/>
      <c r="X30" s="11"/>
      <c r="Y30" s="11"/>
      <c r="Z30" s="10"/>
      <c r="AA30" s="11"/>
      <c r="AB30" s="10"/>
      <c r="AC30" s="100"/>
      <c r="AD30" s="47"/>
      <c r="AE30" s="4"/>
      <c r="AF30" s="37"/>
      <c r="AG30" s="37"/>
      <c r="AH30" s="37"/>
    </row>
    <row r="31" spans="1:34" ht="24.95" customHeight="1" x14ac:dyDescent="0.35">
      <c r="A31" s="5" t="s">
        <v>103</v>
      </c>
      <c r="B31" s="93"/>
      <c r="C31" s="158"/>
      <c r="D31" s="158"/>
      <c r="E31" s="11"/>
      <c r="F31" s="11"/>
      <c r="G31" s="11"/>
      <c r="H31" s="159"/>
      <c r="I31" s="11"/>
      <c r="J31" s="11"/>
      <c r="K31" s="11"/>
      <c r="L31" s="159"/>
      <c r="M31" s="11"/>
      <c r="N31" s="159"/>
      <c r="O31" s="11"/>
      <c r="P31" s="11"/>
      <c r="Q31" s="11"/>
      <c r="R31" s="159"/>
      <c r="S31" s="11"/>
      <c r="T31" s="10"/>
      <c r="U31" s="11"/>
      <c r="V31" s="11"/>
      <c r="W31" s="10"/>
      <c r="X31" s="11"/>
      <c r="Y31" s="11"/>
      <c r="Z31" s="10"/>
      <c r="AA31" s="11"/>
      <c r="AB31" s="10"/>
      <c r="AC31" s="100"/>
      <c r="AD31" s="42"/>
      <c r="AE31" s="15"/>
      <c r="AF31" s="34"/>
      <c r="AG31" s="34"/>
      <c r="AH31" s="34"/>
    </row>
    <row r="32" spans="1:34" ht="24.95" customHeight="1" thickBot="1" x14ac:dyDescent="0.35">
      <c r="A32" s="5"/>
      <c r="B32" s="95"/>
      <c r="C32" s="91"/>
      <c r="D32" s="91"/>
      <c r="E32" s="11"/>
      <c r="F32" s="11"/>
      <c r="G32" s="11"/>
      <c r="H32" s="10"/>
      <c r="I32" s="11"/>
      <c r="J32" s="11"/>
      <c r="K32" s="11"/>
      <c r="L32" s="10"/>
      <c r="M32" s="11"/>
      <c r="N32" s="10"/>
      <c r="O32" s="11"/>
      <c r="P32" s="11"/>
      <c r="Q32" s="11"/>
      <c r="R32" s="10"/>
      <c r="S32" s="11"/>
      <c r="T32" s="10"/>
      <c r="U32" s="11"/>
      <c r="V32" s="11"/>
      <c r="W32" s="10"/>
      <c r="X32" s="11"/>
      <c r="Y32" s="11"/>
      <c r="Z32" s="10"/>
      <c r="AA32" s="11"/>
      <c r="AB32" s="10"/>
      <c r="AC32" s="100"/>
      <c r="AD32" s="48"/>
      <c r="AE32" s="38"/>
      <c r="AF32" s="38"/>
      <c r="AG32" s="38"/>
      <c r="AH32" s="38"/>
    </row>
    <row r="33" spans="1:34" ht="24.95" customHeight="1" thickBot="1" x14ac:dyDescent="0.35">
      <c r="A33" s="182" t="s">
        <v>13</v>
      </c>
      <c r="B33" s="183"/>
      <c r="C33" s="18">
        <f t="shared" ref="C33:AB33" si="6">SUM(C8:C32)</f>
        <v>0</v>
      </c>
      <c r="D33" s="18">
        <f t="shared" si="6"/>
        <v>0</v>
      </c>
      <c r="E33" s="18">
        <f t="shared" si="6"/>
        <v>0</v>
      </c>
      <c r="F33" s="19">
        <f t="shared" si="6"/>
        <v>0</v>
      </c>
      <c r="G33" s="19">
        <f t="shared" si="6"/>
        <v>0</v>
      </c>
      <c r="H33" s="19">
        <f t="shared" si="6"/>
        <v>0</v>
      </c>
      <c r="I33" s="19">
        <f t="shared" si="6"/>
        <v>0</v>
      </c>
      <c r="J33" s="19">
        <f t="shared" si="6"/>
        <v>0</v>
      </c>
      <c r="K33" s="19">
        <f t="shared" si="6"/>
        <v>0</v>
      </c>
      <c r="L33" s="19">
        <f t="shared" si="6"/>
        <v>0</v>
      </c>
      <c r="M33" s="19">
        <f t="shared" si="6"/>
        <v>0</v>
      </c>
      <c r="N33" s="19">
        <f t="shared" si="6"/>
        <v>0</v>
      </c>
      <c r="O33" s="19">
        <f t="shared" si="6"/>
        <v>0</v>
      </c>
      <c r="P33" s="19">
        <f t="shared" si="6"/>
        <v>0</v>
      </c>
      <c r="Q33" s="19">
        <f t="shared" si="6"/>
        <v>0</v>
      </c>
      <c r="R33" s="19">
        <f t="shared" si="6"/>
        <v>0</v>
      </c>
      <c r="S33" s="19">
        <f t="shared" si="6"/>
        <v>0</v>
      </c>
      <c r="T33" s="19">
        <f t="shared" si="6"/>
        <v>0</v>
      </c>
      <c r="U33" s="19">
        <f t="shared" si="6"/>
        <v>0</v>
      </c>
      <c r="V33" s="19">
        <f t="shared" si="6"/>
        <v>0</v>
      </c>
      <c r="W33" s="19">
        <f t="shared" si="6"/>
        <v>0</v>
      </c>
      <c r="X33" s="19">
        <f t="shared" si="6"/>
        <v>0</v>
      </c>
      <c r="Y33" s="19">
        <f t="shared" si="6"/>
        <v>0</v>
      </c>
      <c r="Z33" s="19">
        <f t="shared" si="6"/>
        <v>0</v>
      </c>
      <c r="AA33" s="20">
        <f t="shared" si="6"/>
        <v>0</v>
      </c>
      <c r="AB33" s="20">
        <f t="shared" si="6"/>
        <v>0</v>
      </c>
    </row>
    <row r="34" spans="1:34" s="23" customFormat="1" ht="24.95" customHeight="1" x14ac:dyDescent="0.25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 spans="1:34" s="23" customFormat="1" ht="24.95" customHeight="1" x14ac:dyDescent="0.25">
      <c r="J35" s="24"/>
      <c r="K35" s="24"/>
      <c r="L35" s="24"/>
      <c r="M35" s="25"/>
      <c r="N35" s="26"/>
      <c r="O35" s="27"/>
      <c r="R35" s="24"/>
      <c r="S35" s="24"/>
      <c r="T35" s="24"/>
      <c r="U35" s="24"/>
      <c r="V35" s="24"/>
      <c r="W35" s="24"/>
      <c r="X35" s="28"/>
      <c r="Y35" s="24"/>
      <c r="Z35" s="24"/>
      <c r="AA35" s="28"/>
      <c r="AB35" s="24"/>
    </row>
    <row r="36" spans="1:34" s="23" customFormat="1" ht="24.95" customHeight="1" x14ac:dyDescent="0.25">
      <c r="J36" s="24"/>
      <c r="M36" s="25"/>
      <c r="N36" s="26"/>
      <c r="O36" s="27"/>
      <c r="R36" s="24"/>
      <c r="U36" s="24"/>
      <c r="X36" s="28"/>
      <c r="AA36" s="28"/>
    </row>
    <row r="37" spans="1:34" s="23" customFormat="1" ht="24.95" customHeight="1" x14ac:dyDescent="0.25">
      <c r="J37" s="24"/>
      <c r="K37" s="24"/>
      <c r="L37" s="24"/>
      <c r="M37" s="29"/>
      <c r="N37" s="30"/>
      <c r="O37" s="29"/>
      <c r="R37" s="24"/>
      <c r="S37" s="24"/>
      <c r="T37" s="24"/>
      <c r="U37" s="24"/>
      <c r="V37" s="24"/>
      <c r="W37" s="24"/>
      <c r="X37" s="16"/>
      <c r="Y37" s="24"/>
      <c r="Z37" s="24"/>
      <c r="AA37" s="16"/>
      <c r="AB37" s="24"/>
    </row>
    <row r="38" spans="1:34" s="23" customFormat="1" ht="23.1" customHeight="1" x14ac:dyDescent="0.25">
      <c r="F38" s="16"/>
      <c r="G38" s="16"/>
      <c r="H38" s="16"/>
      <c r="I38" s="16"/>
      <c r="J38" s="24"/>
      <c r="K38" s="16"/>
      <c r="L38" s="16"/>
      <c r="M38" s="31"/>
      <c r="N38" s="31"/>
      <c r="O38" s="31"/>
      <c r="P38" s="16"/>
      <c r="Q38" s="16"/>
      <c r="R38" s="24"/>
      <c r="S38" s="16"/>
      <c r="T38" s="16"/>
      <c r="U38" s="24"/>
      <c r="V38" s="16"/>
      <c r="W38" s="16"/>
      <c r="X38" s="32"/>
      <c r="Y38" s="16"/>
      <c r="Z38" s="16"/>
      <c r="AA38" s="32"/>
      <c r="AB38" s="16"/>
    </row>
    <row r="39" spans="1:34" ht="23.1" customHeight="1" x14ac:dyDescent="0.2">
      <c r="A39" s="23"/>
      <c r="B39" s="23"/>
      <c r="C39" s="23"/>
      <c r="D39" s="23"/>
      <c r="E39" s="23"/>
      <c r="F39" s="23"/>
      <c r="G39" s="23"/>
      <c r="H39" s="23"/>
      <c r="I39" s="23"/>
      <c r="J39" s="16"/>
      <c r="K39" s="23"/>
      <c r="L39" s="23"/>
      <c r="M39" s="16"/>
      <c r="N39" s="16"/>
      <c r="O39" s="16"/>
      <c r="P39" s="23"/>
      <c r="Q39" s="23"/>
      <c r="R39" s="16"/>
      <c r="S39" s="23"/>
      <c r="T39" s="23"/>
      <c r="U39" s="16"/>
      <c r="V39" s="23"/>
      <c r="W39" s="23"/>
      <c r="X39" s="16"/>
      <c r="Y39" s="23"/>
      <c r="Z39" s="23"/>
      <c r="AA39" s="16"/>
      <c r="AB39" s="23"/>
      <c r="AC39" s="23"/>
      <c r="AD39" s="23"/>
      <c r="AE39" s="23"/>
      <c r="AF39" s="23"/>
      <c r="AG39" s="23"/>
      <c r="AH39" s="23"/>
    </row>
    <row r="40" spans="1:34" ht="23.1" customHeight="1" x14ac:dyDescent="0.2">
      <c r="K40" s="33"/>
      <c r="L40" s="33"/>
      <c r="M40" s="33"/>
      <c r="N40" s="33"/>
      <c r="O40" s="33"/>
      <c r="P40" s="33"/>
      <c r="S40" s="33"/>
      <c r="T40" s="33"/>
      <c r="U40" s="33"/>
      <c r="V40" s="33"/>
      <c r="W40" s="33"/>
      <c r="X40" s="33"/>
      <c r="Y40" s="33"/>
      <c r="Z40" s="33"/>
      <c r="AA40" s="33"/>
      <c r="AB40" s="33"/>
    </row>
    <row r="41" spans="1:34" ht="23.1" customHeight="1" x14ac:dyDescent="0.2">
      <c r="A41" s="33"/>
      <c r="B41" s="33"/>
      <c r="C41" s="33"/>
      <c r="D41" s="33"/>
      <c r="E41" s="33"/>
      <c r="F41" s="33"/>
      <c r="G41" s="33"/>
      <c r="L41" s="33"/>
      <c r="M41" s="33"/>
      <c r="N41" s="33"/>
      <c r="O41" s="33"/>
      <c r="P41" s="33"/>
      <c r="S41" s="33"/>
      <c r="T41" s="33"/>
      <c r="U41" s="33"/>
      <c r="V41" s="33"/>
      <c r="W41" s="33"/>
      <c r="X41" s="33"/>
      <c r="Y41" s="33"/>
      <c r="Z41" s="33"/>
      <c r="AA41" s="33"/>
      <c r="AB41" s="33"/>
    </row>
    <row r="42" spans="1:34" ht="23.1" customHeight="1" x14ac:dyDescent="0.2">
      <c r="T42" s="33"/>
      <c r="U42" s="33"/>
      <c r="V42" s="33"/>
      <c r="W42" s="33"/>
      <c r="X42" s="33"/>
      <c r="Y42" s="33"/>
      <c r="Z42" s="33"/>
      <c r="AA42" s="33"/>
      <c r="AB42" s="33"/>
    </row>
    <row r="43" spans="1:34" ht="23.1" customHeight="1" x14ac:dyDescent="0.2"/>
  </sheetData>
  <mergeCells count="1">
    <mergeCell ref="A33:B33"/>
  </mergeCells>
  <conditionalFormatting sqref="J37">
    <cfRule type="expression" dxfId="35" priority="13" stopIfTrue="1">
      <formula>#REF!="sobra"</formula>
    </cfRule>
    <cfRule type="expression" dxfId="34" priority="14" stopIfTrue="1">
      <formula>#REF!="Falta"</formula>
    </cfRule>
  </conditionalFormatting>
  <conditionalFormatting sqref="L37 R37">
    <cfRule type="expression" dxfId="33" priority="15" stopIfTrue="1">
      <formula>#REF!="sobra"</formula>
    </cfRule>
    <cfRule type="expression" dxfId="32" priority="16" stopIfTrue="1">
      <formula>#REF!="Falta"</formula>
    </cfRule>
  </conditionalFormatting>
  <conditionalFormatting sqref="T37:U37">
    <cfRule type="expression" dxfId="31" priority="11" stopIfTrue="1">
      <formula>#REF!="sobra"</formula>
    </cfRule>
    <cfRule type="expression" dxfId="30" priority="12" stopIfTrue="1">
      <formula>#REF!="Falta"</formula>
    </cfRule>
  </conditionalFormatting>
  <conditionalFormatting sqref="W37">
    <cfRule type="expression" dxfId="29" priority="9" stopIfTrue="1">
      <formula>#REF!="sobra"</formula>
    </cfRule>
    <cfRule type="expression" dxfId="28" priority="10" stopIfTrue="1">
      <formula>#REF!="Falta"</formula>
    </cfRule>
  </conditionalFormatting>
  <conditionalFormatting sqref="Z37">
    <cfRule type="expression" dxfId="27" priority="3" stopIfTrue="1">
      <formula>#REF!="sobra"</formula>
    </cfRule>
    <cfRule type="expression" dxfId="26" priority="4" stopIfTrue="1">
      <formula>#REF!="Falta"</formula>
    </cfRule>
  </conditionalFormatting>
  <conditionalFormatting sqref="AB37">
    <cfRule type="expression" dxfId="25" priority="1" stopIfTrue="1">
      <formula>#REF!="sobra"</formula>
    </cfRule>
    <cfRule type="expression" dxfId="24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  <pageSetUpPr fitToPage="1"/>
  </sheetPr>
  <dimension ref="A1:AI62"/>
  <sheetViews>
    <sheetView showGridLines="0" tabSelected="1" zoomScale="60" zoomScaleNormal="60" workbookViewId="0">
      <pane xSplit="1" topLeftCell="B1" activePane="topRight" state="frozen"/>
      <selection pane="topRight" activeCell="G35" sqref="G35"/>
    </sheetView>
  </sheetViews>
  <sheetFormatPr defaultColWidth="9.140625" defaultRowHeight="12.75" x14ac:dyDescent="0.2"/>
  <cols>
    <col min="1" max="1" width="68.140625" style="1" customWidth="1"/>
    <col min="2" max="2" width="16.85546875" style="1" customWidth="1"/>
    <col min="3" max="3" width="10.7109375" style="1" customWidth="1"/>
    <col min="4" max="4" width="11.42578125" style="1" customWidth="1"/>
    <col min="5" max="5" width="11.85546875" style="1" customWidth="1"/>
    <col min="6" max="29" width="10.7109375" style="1" customWidth="1"/>
    <col min="30" max="30" width="105.42578125" style="1" bestFit="1" customWidth="1"/>
    <col min="31" max="31" width="19.42578125" style="1" bestFit="1" customWidth="1"/>
    <col min="32" max="32" width="15.7109375" style="1" customWidth="1"/>
    <col min="33" max="33" width="15.85546875" style="1" bestFit="1" customWidth="1"/>
    <col min="34" max="16384" width="9.140625" style="1"/>
  </cols>
  <sheetData>
    <row r="1" spans="1:35" s="52" customFormat="1" ht="55.5" x14ac:dyDescent="0.35">
      <c r="A1" s="51" t="s">
        <v>298</v>
      </c>
      <c r="C1" s="53" t="s">
        <v>217</v>
      </c>
      <c r="D1" s="53" t="s">
        <v>192</v>
      </c>
      <c r="E1" s="53" t="s">
        <v>193</v>
      </c>
      <c r="F1" s="53" t="s">
        <v>2</v>
      </c>
      <c r="G1" s="53" t="s">
        <v>207</v>
      </c>
      <c r="H1" s="53" t="s">
        <v>23</v>
      </c>
      <c r="I1" s="53" t="s">
        <v>24</v>
      </c>
      <c r="J1" s="53" t="s">
        <v>25</v>
      </c>
      <c r="K1" s="53" t="s">
        <v>330</v>
      </c>
      <c r="L1" s="53" t="s">
        <v>26</v>
      </c>
      <c r="M1" s="53" t="s">
        <v>27</v>
      </c>
      <c r="N1" s="53" t="s">
        <v>28</v>
      </c>
      <c r="O1" s="53" t="s">
        <v>29</v>
      </c>
      <c r="P1" s="53" t="s">
        <v>30</v>
      </c>
      <c r="Q1" s="53" t="s">
        <v>31</v>
      </c>
      <c r="R1" s="53" t="s">
        <v>32</v>
      </c>
      <c r="S1" s="53" t="s">
        <v>33</v>
      </c>
      <c r="T1" s="53" t="s">
        <v>34</v>
      </c>
      <c r="U1" s="53" t="s">
        <v>35</v>
      </c>
      <c r="V1" s="53" t="s">
        <v>36</v>
      </c>
      <c r="W1" s="53" t="s">
        <v>37</v>
      </c>
      <c r="X1" s="54" t="s">
        <v>38</v>
      </c>
      <c r="Y1" s="53" t="s">
        <v>3</v>
      </c>
      <c r="Z1" s="53" t="s">
        <v>4</v>
      </c>
      <c r="AA1" s="54" t="s">
        <v>5</v>
      </c>
      <c r="AB1" s="53" t="s">
        <v>6</v>
      </c>
      <c r="AC1" s="54" t="s">
        <v>7</v>
      </c>
      <c r="AF1" s="55"/>
      <c r="AG1" s="55"/>
      <c r="AH1" s="56"/>
      <c r="AI1" s="56"/>
    </row>
    <row r="2" spans="1:35" ht="24.95" customHeight="1" x14ac:dyDescent="0.35">
      <c r="A2" s="57" t="s">
        <v>8</v>
      </c>
      <c r="B2" s="32" t="s">
        <v>9</v>
      </c>
      <c r="C2" s="58">
        <f t="shared" ref="C2:AC2" si="0">C52</f>
        <v>0</v>
      </c>
      <c r="D2" s="58">
        <f t="shared" si="0"/>
        <v>0</v>
      </c>
      <c r="E2" s="58">
        <f t="shared" si="0"/>
        <v>0</v>
      </c>
      <c r="F2" s="58">
        <f t="shared" si="0"/>
        <v>0</v>
      </c>
      <c r="G2" s="58">
        <f t="shared" si="0"/>
        <v>0</v>
      </c>
      <c r="H2" s="58">
        <f t="shared" si="0"/>
        <v>0</v>
      </c>
      <c r="I2" s="58">
        <f t="shared" si="0"/>
        <v>0</v>
      </c>
      <c r="J2" s="58">
        <f t="shared" si="0"/>
        <v>0</v>
      </c>
      <c r="K2" s="58">
        <f t="shared" si="0"/>
        <v>0</v>
      </c>
      <c r="L2" s="58">
        <f t="shared" si="0"/>
        <v>0</v>
      </c>
      <c r="M2" s="58">
        <f t="shared" si="0"/>
        <v>0</v>
      </c>
      <c r="N2" s="58">
        <f t="shared" si="0"/>
        <v>0</v>
      </c>
      <c r="O2" s="58">
        <f t="shared" si="0"/>
        <v>0</v>
      </c>
      <c r="P2" s="58">
        <f t="shared" si="0"/>
        <v>0</v>
      </c>
      <c r="Q2" s="58">
        <f t="shared" si="0"/>
        <v>0</v>
      </c>
      <c r="R2" s="58">
        <f t="shared" si="0"/>
        <v>0</v>
      </c>
      <c r="S2" s="58">
        <f t="shared" si="0"/>
        <v>0</v>
      </c>
      <c r="T2" s="58">
        <f t="shared" si="0"/>
        <v>0</v>
      </c>
      <c r="U2" s="58">
        <f t="shared" si="0"/>
        <v>0</v>
      </c>
      <c r="V2" s="58">
        <f t="shared" si="0"/>
        <v>0</v>
      </c>
      <c r="W2" s="58">
        <f t="shared" si="0"/>
        <v>0</v>
      </c>
      <c r="X2" s="58">
        <f t="shared" si="0"/>
        <v>0</v>
      </c>
      <c r="Y2" s="58">
        <f t="shared" si="0"/>
        <v>0</v>
      </c>
      <c r="Z2" s="58">
        <f t="shared" si="0"/>
        <v>0</v>
      </c>
      <c r="AA2" s="58">
        <f t="shared" si="0"/>
        <v>0</v>
      </c>
      <c r="AB2" s="58">
        <f t="shared" si="0"/>
        <v>0</v>
      </c>
      <c r="AC2" s="58">
        <f t="shared" si="0"/>
        <v>0</v>
      </c>
    </row>
    <row r="3" spans="1:35" ht="24.95" customHeight="1" x14ac:dyDescent="0.3">
      <c r="A3" s="2" t="s">
        <v>41</v>
      </c>
      <c r="B3" s="59" t="s">
        <v>10</v>
      </c>
      <c r="C3" s="60">
        <f>C2-C4</f>
        <v>0</v>
      </c>
      <c r="D3" s="60"/>
      <c r="E3" s="60"/>
      <c r="F3" s="60">
        <f>F2-F4</f>
        <v>0</v>
      </c>
      <c r="G3" s="60"/>
      <c r="H3" s="60">
        <f t="shared" ref="H3:AC3" si="1">H2-H4</f>
        <v>0</v>
      </c>
      <c r="I3" s="60">
        <f t="shared" si="1"/>
        <v>0</v>
      </c>
      <c r="J3" s="60">
        <f t="shared" si="1"/>
        <v>0</v>
      </c>
      <c r="K3" s="60"/>
      <c r="L3" s="60">
        <f t="shared" si="1"/>
        <v>0</v>
      </c>
      <c r="M3" s="60">
        <f t="shared" si="1"/>
        <v>0</v>
      </c>
      <c r="N3" s="60">
        <f t="shared" si="1"/>
        <v>0</v>
      </c>
      <c r="O3" s="60">
        <f t="shared" si="1"/>
        <v>0</v>
      </c>
      <c r="P3" s="60">
        <f t="shared" si="1"/>
        <v>0</v>
      </c>
      <c r="Q3" s="60">
        <f t="shared" si="1"/>
        <v>0</v>
      </c>
      <c r="R3" s="60">
        <f t="shared" si="1"/>
        <v>0</v>
      </c>
      <c r="S3" s="60">
        <f t="shared" si="1"/>
        <v>0</v>
      </c>
      <c r="T3" s="60">
        <f t="shared" si="1"/>
        <v>0</v>
      </c>
      <c r="U3" s="60">
        <f t="shared" si="1"/>
        <v>0</v>
      </c>
      <c r="V3" s="60">
        <f t="shared" si="1"/>
        <v>0</v>
      </c>
      <c r="W3" s="60">
        <f t="shared" si="1"/>
        <v>0</v>
      </c>
      <c r="X3" s="60">
        <f t="shared" si="1"/>
        <v>0</v>
      </c>
      <c r="Y3" s="60">
        <f t="shared" si="1"/>
        <v>0</v>
      </c>
      <c r="Z3" s="60">
        <f t="shared" si="1"/>
        <v>0</v>
      </c>
      <c r="AA3" s="60">
        <f t="shared" si="1"/>
        <v>0</v>
      </c>
      <c r="AB3" s="60">
        <f t="shared" si="1"/>
        <v>0</v>
      </c>
      <c r="AC3" s="60">
        <f t="shared" si="1"/>
        <v>0</v>
      </c>
    </row>
    <row r="4" spans="1:35" ht="24.95" customHeight="1" x14ac:dyDescent="0.3">
      <c r="A4" s="61" t="s">
        <v>39</v>
      </c>
      <c r="B4" s="59" t="s">
        <v>22</v>
      </c>
      <c r="C4" s="60">
        <f>C52</f>
        <v>0</v>
      </c>
      <c r="D4" s="60"/>
      <c r="E4" s="60"/>
      <c r="F4" s="60">
        <f>F52</f>
        <v>0</v>
      </c>
      <c r="G4" s="60"/>
      <c r="H4" s="60">
        <f t="shared" ref="H4:AC4" si="2">H52</f>
        <v>0</v>
      </c>
      <c r="I4" s="60">
        <f t="shared" si="2"/>
        <v>0</v>
      </c>
      <c r="J4" s="60">
        <f t="shared" si="2"/>
        <v>0</v>
      </c>
      <c r="K4" s="60"/>
      <c r="L4" s="60">
        <f t="shared" si="2"/>
        <v>0</v>
      </c>
      <c r="M4" s="60">
        <f t="shared" si="2"/>
        <v>0</v>
      </c>
      <c r="N4" s="60">
        <f t="shared" si="2"/>
        <v>0</v>
      </c>
      <c r="O4" s="60">
        <f t="shared" si="2"/>
        <v>0</v>
      </c>
      <c r="P4" s="60">
        <f t="shared" si="2"/>
        <v>0</v>
      </c>
      <c r="Q4" s="60">
        <f t="shared" si="2"/>
        <v>0</v>
      </c>
      <c r="R4" s="60">
        <f t="shared" si="2"/>
        <v>0</v>
      </c>
      <c r="S4" s="60">
        <f t="shared" si="2"/>
        <v>0</v>
      </c>
      <c r="T4" s="60">
        <f t="shared" si="2"/>
        <v>0</v>
      </c>
      <c r="U4" s="60">
        <f t="shared" si="2"/>
        <v>0</v>
      </c>
      <c r="V4" s="60">
        <f t="shared" si="2"/>
        <v>0</v>
      </c>
      <c r="W4" s="60">
        <f t="shared" si="2"/>
        <v>0</v>
      </c>
      <c r="X4" s="60">
        <f t="shared" si="2"/>
        <v>0</v>
      </c>
      <c r="Y4" s="60">
        <f t="shared" si="2"/>
        <v>0</v>
      </c>
      <c r="Z4" s="60">
        <f t="shared" si="2"/>
        <v>0</v>
      </c>
      <c r="AA4" s="60">
        <f t="shared" si="2"/>
        <v>0</v>
      </c>
      <c r="AB4" s="60">
        <f t="shared" si="2"/>
        <v>0</v>
      </c>
      <c r="AC4" s="60">
        <f t="shared" si="2"/>
        <v>0</v>
      </c>
    </row>
    <row r="5" spans="1:35" ht="24.95" customHeight="1" x14ac:dyDescent="0.3">
      <c r="A5" s="61" t="s">
        <v>40</v>
      </c>
      <c r="B5" s="59" t="s">
        <v>11</v>
      </c>
      <c r="C5" s="60">
        <f>C52</f>
        <v>0</v>
      </c>
      <c r="D5" s="60"/>
      <c r="E5" s="60"/>
      <c r="F5" s="60">
        <f>F52</f>
        <v>0</v>
      </c>
      <c r="G5" s="60"/>
      <c r="H5" s="60">
        <f t="shared" ref="H5:AC5" si="3">H52</f>
        <v>0</v>
      </c>
      <c r="I5" s="60">
        <f t="shared" si="3"/>
        <v>0</v>
      </c>
      <c r="J5" s="60">
        <f t="shared" si="3"/>
        <v>0</v>
      </c>
      <c r="K5" s="60"/>
      <c r="L5" s="60">
        <f t="shared" si="3"/>
        <v>0</v>
      </c>
      <c r="M5" s="60">
        <f t="shared" si="3"/>
        <v>0</v>
      </c>
      <c r="N5" s="60">
        <f t="shared" si="3"/>
        <v>0</v>
      </c>
      <c r="O5" s="60">
        <f t="shared" si="3"/>
        <v>0</v>
      </c>
      <c r="P5" s="60">
        <f t="shared" si="3"/>
        <v>0</v>
      </c>
      <c r="Q5" s="60">
        <f t="shared" si="3"/>
        <v>0</v>
      </c>
      <c r="R5" s="60">
        <f t="shared" si="3"/>
        <v>0</v>
      </c>
      <c r="S5" s="60">
        <f t="shared" si="3"/>
        <v>0</v>
      </c>
      <c r="T5" s="60">
        <f t="shared" si="3"/>
        <v>0</v>
      </c>
      <c r="U5" s="60">
        <f t="shared" si="3"/>
        <v>0</v>
      </c>
      <c r="V5" s="60">
        <f t="shared" si="3"/>
        <v>0</v>
      </c>
      <c r="W5" s="60">
        <f t="shared" si="3"/>
        <v>0</v>
      </c>
      <c r="X5" s="60">
        <f t="shared" si="3"/>
        <v>0</v>
      </c>
      <c r="Y5" s="60">
        <f t="shared" si="3"/>
        <v>0</v>
      </c>
      <c r="Z5" s="60">
        <f t="shared" si="3"/>
        <v>0</v>
      </c>
      <c r="AA5" s="60">
        <f t="shared" si="3"/>
        <v>0</v>
      </c>
      <c r="AB5" s="60">
        <f t="shared" si="3"/>
        <v>0</v>
      </c>
      <c r="AC5" s="60">
        <f t="shared" si="3"/>
        <v>0</v>
      </c>
    </row>
    <row r="6" spans="1:35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50"/>
      <c r="AA6" s="50"/>
      <c r="AB6" s="50"/>
      <c r="AC6" s="50"/>
    </row>
    <row r="7" spans="1:35" s="52" customFormat="1" ht="55.5" x14ac:dyDescent="0.35">
      <c r="A7" s="63" t="s">
        <v>21</v>
      </c>
      <c r="B7" s="64" t="s">
        <v>12</v>
      </c>
      <c r="C7" s="65" t="str">
        <f t="shared" ref="C7:AC7" si="4">C1</f>
        <v>Molho</v>
      </c>
      <c r="D7" s="66" t="str">
        <f t="shared" si="4"/>
        <v>Litros Chantilly</v>
      </c>
      <c r="E7" s="66" t="str">
        <f t="shared" si="4"/>
        <v>Mini Chantilly</v>
      </c>
      <c r="F7" s="89" t="str">
        <f t="shared" si="4"/>
        <v>Tetra</v>
      </c>
      <c r="G7" s="89" t="str">
        <f t="shared" si="4"/>
        <v>Tp Cul.</v>
      </c>
      <c r="H7" s="89" t="str">
        <f t="shared" si="4"/>
        <v>Fresco 250g</v>
      </c>
      <c r="I7" s="67" t="str">
        <f t="shared" si="4"/>
        <v>Fresco 500g</v>
      </c>
      <c r="J7" s="67" t="str">
        <f t="shared" si="4"/>
        <v>Fresco 1kg</v>
      </c>
      <c r="K7" s="67" t="str">
        <f t="shared" si="4"/>
        <v>Fresco 1kg Puro</v>
      </c>
      <c r="L7" s="67" t="str">
        <f t="shared" si="4"/>
        <v>Seco Fino</v>
      </c>
      <c r="M7" s="67" t="str">
        <f t="shared" si="4"/>
        <v>Seco Flocos</v>
      </c>
      <c r="N7" s="67" t="str">
        <f t="shared" si="4"/>
        <v>Marsh 500g</v>
      </c>
      <c r="O7" s="67" t="str">
        <f t="shared" si="4"/>
        <v>Marsh 1kg</v>
      </c>
      <c r="P7" s="67" t="str">
        <f t="shared" si="4"/>
        <v>Massa 1kg</v>
      </c>
      <c r="Q7" s="67" t="str">
        <f t="shared" si="4"/>
        <v>Massa 2.2kg</v>
      </c>
      <c r="R7" s="67" t="str">
        <f t="shared" si="4"/>
        <v>Semi-Folhada 2kg</v>
      </c>
      <c r="S7" s="67" t="str">
        <f t="shared" si="4"/>
        <v>Brig PT 1kg</v>
      </c>
      <c r="T7" s="67" t="str">
        <f t="shared" si="4"/>
        <v>Beij PT 1kg</v>
      </c>
      <c r="U7" s="67" t="str">
        <f t="shared" si="4"/>
        <v>Brig PT 2kg</v>
      </c>
      <c r="V7" s="67" t="str">
        <f t="shared" si="4"/>
        <v>Beij PT 2kg</v>
      </c>
      <c r="W7" s="67" t="str">
        <f t="shared" si="4"/>
        <v>Brig Cl 1kg</v>
      </c>
      <c r="X7" s="67" t="str">
        <f t="shared" si="4"/>
        <v>Beij Cl 1kg</v>
      </c>
      <c r="Y7" s="67" t="str">
        <f t="shared" si="4"/>
        <v>Jundmel</v>
      </c>
      <c r="Z7" s="67" t="str">
        <f t="shared" si="4"/>
        <v>Pão de Queijo</v>
      </c>
      <c r="AA7" s="67" t="str">
        <f t="shared" si="4"/>
        <v>Ovo</v>
      </c>
      <c r="AB7" s="67" t="str">
        <f t="shared" si="4"/>
        <v>Gema</v>
      </c>
      <c r="AC7" s="67" t="str">
        <f t="shared" si="4"/>
        <v>Clara</v>
      </c>
      <c r="AD7" s="68" t="s">
        <v>14</v>
      </c>
      <c r="AE7" s="69" t="s">
        <v>15</v>
      </c>
      <c r="AF7" s="70"/>
      <c r="AG7" s="71"/>
      <c r="AH7" s="71"/>
      <c r="AI7" s="71"/>
    </row>
    <row r="8" spans="1:35" ht="24.95" hidden="1" customHeight="1" x14ac:dyDescent="0.3">
      <c r="A8" s="5" t="s">
        <v>331</v>
      </c>
      <c r="B8" s="168"/>
      <c r="C8" s="169" t="s">
        <v>196</v>
      </c>
      <c r="D8" s="158"/>
      <c r="E8" s="11"/>
      <c r="F8" s="11"/>
      <c r="G8" s="11"/>
      <c r="H8" s="159"/>
      <c r="I8" s="11"/>
      <c r="J8" s="11"/>
      <c r="K8" s="11"/>
      <c r="L8" s="11"/>
      <c r="M8" s="159"/>
      <c r="N8" s="11"/>
      <c r="O8" s="159"/>
      <c r="P8" s="11"/>
      <c r="Q8" s="11"/>
      <c r="R8" s="11"/>
      <c r="S8" s="10"/>
      <c r="T8" s="11"/>
      <c r="U8" s="10"/>
      <c r="V8" s="11"/>
      <c r="W8" s="11"/>
      <c r="X8" s="10"/>
      <c r="Y8" s="11"/>
      <c r="Z8" s="11"/>
      <c r="AA8" s="10"/>
      <c r="AB8" s="11"/>
      <c r="AC8" s="10"/>
      <c r="AD8" s="99"/>
      <c r="AE8" s="48"/>
      <c r="AF8" s="38"/>
      <c r="AG8" s="38"/>
      <c r="AH8" s="38"/>
      <c r="AI8" s="38"/>
    </row>
    <row r="9" spans="1:35" ht="24.95" hidden="1" customHeight="1" x14ac:dyDescent="0.3">
      <c r="A9" s="138" t="s">
        <v>228</v>
      </c>
      <c r="B9" s="168"/>
      <c r="C9" s="169"/>
      <c r="D9" s="158"/>
      <c r="E9" s="11"/>
      <c r="F9" s="11"/>
      <c r="G9" s="11"/>
      <c r="H9" s="159"/>
      <c r="I9" s="11"/>
      <c r="J9" s="11"/>
      <c r="K9" s="11"/>
      <c r="L9" s="11"/>
      <c r="M9" s="159"/>
      <c r="N9" s="11"/>
      <c r="O9" s="159"/>
      <c r="P9" s="11"/>
      <c r="Q9" s="11"/>
      <c r="R9" s="11"/>
      <c r="S9" s="10"/>
      <c r="T9" s="11"/>
      <c r="U9" s="10"/>
      <c r="V9" s="11"/>
      <c r="W9" s="11"/>
      <c r="X9" s="10"/>
      <c r="Y9" s="11"/>
      <c r="Z9" s="11"/>
      <c r="AA9" s="10"/>
      <c r="AB9" s="11"/>
      <c r="AC9" s="10"/>
      <c r="AD9" s="99"/>
      <c r="AE9" s="48"/>
      <c r="AF9" s="38"/>
      <c r="AG9" s="38"/>
      <c r="AH9" s="38"/>
      <c r="AI9" s="38"/>
    </row>
    <row r="10" spans="1:35" ht="40.5" x14ac:dyDescent="0.3">
      <c r="A10" s="115" t="s">
        <v>332</v>
      </c>
      <c r="B10" s="168"/>
      <c r="C10" s="169" t="s">
        <v>196</v>
      </c>
      <c r="D10" s="158"/>
      <c r="E10" s="11"/>
      <c r="F10" s="11"/>
      <c r="G10" s="11"/>
      <c r="H10" s="159"/>
      <c r="I10" s="11"/>
      <c r="J10" s="11"/>
      <c r="K10" s="11"/>
      <c r="L10" s="11"/>
      <c r="M10" s="159"/>
      <c r="N10" s="11"/>
      <c r="O10" s="159"/>
      <c r="P10" s="11"/>
      <c r="Q10" s="11"/>
      <c r="R10" s="11"/>
      <c r="S10" s="10"/>
      <c r="T10" s="11"/>
      <c r="U10" s="10"/>
      <c r="V10" s="11"/>
      <c r="W10" s="11"/>
      <c r="X10" s="10"/>
      <c r="Y10" s="11"/>
      <c r="Z10" s="11"/>
      <c r="AA10" s="10"/>
      <c r="AB10" s="11"/>
      <c r="AC10" s="10"/>
      <c r="AD10" s="124"/>
      <c r="AE10" s="48"/>
      <c r="AF10" s="38"/>
      <c r="AG10" s="38"/>
      <c r="AH10" s="38"/>
      <c r="AI10" s="38"/>
    </row>
    <row r="11" spans="1:35" ht="41.25" hidden="1" x14ac:dyDescent="0.35">
      <c r="A11" s="115" t="s">
        <v>272</v>
      </c>
      <c r="B11" s="168"/>
      <c r="C11" s="169"/>
      <c r="D11" s="158" t="s">
        <v>196</v>
      </c>
      <c r="E11" s="11" t="s">
        <v>196</v>
      </c>
      <c r="F11" s="11"/>
      <c r="G11" s="11"/>
      <c r="H11" s="159"/>
      <c r="I11" s="11"/>
      <c r="J11" s="11"/>
      <c r="K11" s="11"/>
      <c r="L11" s="11"/>
      <c r="M11" s="159"/>
      <c r="N11" s="11"/>
      <c r="O11" s="159"/>
      <c r="P11" s="11"/>
      <c r="Q11" s="11"/>
      <c r="R11" s="11"/>
      <c r="S11" s="10"/>
      <c r="T11" s="11"/>
      <c r="U11" s="10"/>
      <c r="V11" s="11"/>
      <c r="W11" s="11"/>
      <c r="X11" s="10"/>
      <c r="Y11" s="11"/>
      <c r="Z11" s="11"/>
      <c r="AA11" s="10"/>
      <c r="AB11" s="11"/>
      <c r="AC11" s="10"/>
      <c r="AD11" s="124"/>
      <c r="AE11" s="43"/>
      <c r="AF11" s="12"/>
      <c r="AG11" s="35"/>
      <c r="AH11" s="35"/>
      <c r="AI11" s="35"/>
    </row>
    <row r="12" spans="1:35" ht="24.95" hidden="1" customHeight="1" x14ac:dyDescent="0.35">
      <c r="A12" s="5" t="s">
        <v>159</v>
      </c>
      <c r="B12" s="168"/>
      <c r="C12" s="169"/>
      <c r="D12" s="158" t="s">
        <v>196</v>
      </c>
      <c r="E12" s="11" t="s">
        <v>196</v>
      </c>
      <c r="F12" s="11"/>
      <c r="G12" s="11"/>
      <c r="H12" s="159"/>
      <c r="I12" s="11"/>
      <c r="J12" s="11"/>
      <c r="K12" s="11"/>
      <c r="L12" s="11"/>
      <c r="M12" s="159"/>
      <c r="N12" s="11"/>
      <c r="O12" s="159"/>
      <c r="P12" s="11"/>
      <c r="Q12" s="11"/>
      <c r="R12" s="11"/>
      <c r="S12" s="10"/>
      <c r="T12" s="11"/>
      <c r="U12" s="10"/>
      <c r="V12" s="11"/>
      <c r="W12" s="11"/>
      <c r="X12" s="10"/>
      <c r="Y12" s="11"/>
      <c r="Z12" s="11"/>
      <c r="AA12" s="10"/>
      <c r="AB12" s="11"/>
      <c r="AC12" s="10"/>
      <c r="AD12" s="124"/>
      <c r="AE12" s="44"/>
      <c r="AF12" s="15"/>
      <c r="AG12" s="34"/>
      <c r="AH12" s="34"/>
      <c r="AI12" s="34"/>
    </row>
    <row r="13" spans="1:35" ht="24.95" hidden="1" customHeight="1" x14ac:dyDescent="0.3">
      <c r="A13" s="5" t="s">
        <v>63</v>
      </c>
      <c r="B13" s="168"/>
      <c r="C13" s="169"/>
      <c r="D13" s="158" t="s">
        <v>196</v>
      </c>
      <c r="E13" s="11"/>
      <c r="F13" s="11"/>
      <c r="G13" s="11"/>
      <c r="H13" s="159"/>
      <c r="I13" s="11"/>
      <c r="J13" s="11"/>
      <c r="K13" s="11"/>
      <c r="L13" s="11"/>
      <c r="M13" s="159"/>
      <c r="N13" s="11"/>
      <c r="O13" s="159"/>
      <c r="P13" s="11"/>
      <c r="Q13" s="11"/>
      <c r="R13" s="11"/>
      <c r="S13" s="10"/>
      <c r="T13" s="11"/>
      <c r="U13" s="10"/>
      <c r="V13" s="11"/>
      <c r="W13" s="11"/>
      <c r="X13" s="10"/>
      <c r="Y13" s="11"/>
      <c r="Z13" s="11"/>
      <c r="AA13" s="10"/>
      <c r="AB13" s="11"/>
      <c r="AC13" s="10"/>
      <c r="AD13" s="99" t="s">
        <v>109</v>
      </c>
      <c r="AE13" s="45"/>
      <c r="AI13" s="16"/>
    </row>
    <row r="14" spans="1:35" ht="24.95" hidden="1" customHeight="1" x14ac:dyDescent="0.3">
      <c r="A14" s="5" t="s">
        <v>269</v>
      </c>
      <c r="B14" s="168"/>
      <c r="C14" s="169" t="s">
        <v>196</v>
      </c>
      <c r="D14" s="158"/>
      <c r="E14" s="11"/>
      <c r="F14" s="11"/>
      <c r="G14" s="11"/>
      <c r="H14" s="159"/>
      <c r="I14" s="11"/>
      <c r="J14" s="11"/>
      <c r="K14" s="11"/>
      <c r="L14" s="11"/>
      <c r="M14" s="159"/>
      <c r="N14" s="11"/>
      <c r="O14" s="159"/>
      <c r="P14" s="11"/>
      <c r="Q14" s="11"/>
      <c r="R14" s="11"/>
      <c r="S14" s="10"/>
      <c r="T14" s="11"/>
      <c r="U14" s="10"/>
      <c r="V14" s="11"/>
      <c r="W14" s="11"/>
      <c r="X14" s="10"/>
      <c r="Y14" s="11"/>
      <c r="Z14" s="11"/>
      <c r="AA14" s="10"/>
      <c r="AB14" s="11"/>
      <c r="AC14" s="10"/>
      <c r="AD14" s="99"/>
      <c r="AE14" s="45"/>
      <c r="AI14" s="16"/>
    </row>
    <row r="15" spans="1:35" ht="24.95" customHeight="1" x14ac:dyDescent="0.3">
      <c r="A15" s="5" t="s">
        <v>160</v>
      </c>
      <c r="B15" s="168" t="s">
        <v>364</v>
      </c>
      <c r="C15" s="169"/>
      <c r="D15" s="158"/>
      <c r="E15" s="11"/>
      <c r="F15" s="11"/>
      <c r="G15" s="11"/>
      <c r="H15" s="159"/>
      <c r="I15" s="11" t="s">
        <v>196</v>
      </c>
      <c r="J15" s="11"/>
      <c r="K15" s="11"/>
      <c r="L15" s="11"/>
      <c r="M15" s="159"/>
      <c r="N15" s="11"/>
      <c r="O15" s="159"/>
      <c r="P15" s="11"/>
      <c r="Q15" s="11"/>
      <c r="R15" s="11"/>
      <c r="S15" s="10"/>
      <c r="T15" s="11"/>
      <c r="U15" s="10"/>
      <c r="V15" s="11"/>
      <c r="W15" s="11"/>
      <c r="X15" s="10"/>
      <c r="Y15" s="11"/>
      <c r="Z15" s="11"/>
      <c r="AA15" s="10"/>
      <c r="AB15" s="11"/>
      <c r="AC15" s="10"/>
      <c r="AD15" s="124"/>
      <c r="AE15" s="45"/>
    </row>
    <row r="16" spans="1:35" ht="24.95" hidden="1" customHeight="1" x14ac:dyDescent="0.35">
      <c r="A16" s="5" t="s">
        <v>161</v>
      </c>
      <c r="B16" s="168"/>
      <c r="C16" s="169"/>
      <c r="D16" s="158"/>
      <c r="E16" s="11"/>
      <c r="F16" s="11"/>
      <c r="G16" s="11"/>
      <c r="H16" s="159"/>
      <c r="I16" s="11"/>
      <c r="J16" s="11"/>
      <c r="K16" s="11"/>
      <c r="L16" s="11"/>
      <c r="M16" s="159"/>
      <c r="N16" s="11"/>
      <c r="O16" s="159"/>
      <c r="P16" s="11"/>
      <c r="Q16" s="11"/>
      <c r="R16" s="11"/>
      <c r="S16" s="10"/>
      <c r="T16" s="11"/>
      <c r="U16" s="10"/>
      <c r="V16" s="11"/>
      <c r="W16" s="11"/>
      <c r="X16" s="10"/>
      <c r="Y16" s="11"/>
      <c r="Z16" s="11"/>
      <c r="AA16" s="10"/>
      <c r="AB16" s="11"/>
      <c r="AC16" s="10"/>
      <c r="AD16" s="99"/>
      <c r="AE16" s="43"/>
      <c r="AF16" s="12"/>
      <c r="AG16" s="35"/>
      <c r="AH16" s="35"/>
      <c r="AI16" s="35"/>
    </row>
    <row r="17" spans="1:35" ht="24.95" hidden="1" customHeight="1" x14ac:dyDescent="0.35">
      <c r="A17" s="8" t="s">
        <v>162</v>
      </c>
      <c r="B17" s="176"/>
      <c r="C17" s="169"/>
      <c r="D17" s="158"/>
      <c r="E17" s="11"/>
      <c r="F17" s="11"/>
      <c r="G17" s="11"/>
      <c r="H17" s="159"/>
      <c r="I17" s="11"/>
      <c r="J17" s="11"/>
      <c r="K17" s="11"/>
      <c r="L17" s="11"/>
      <c r="M17" s="159"/>
      <c r="N17" s="11"/>
      <c r="O17" s="159"/>
      <c r="P17" s="11"/>
      <c r="Q17" s="11"/>
      <c r="R17" s="11"/>
      <c r="S17" s="10"/>
      <c r="T17" s="11"/>
      <c r="U17" s="10"/>
      <c r="V17" s="11"/>
      <c r="W17" s="11"/>
      <c r="X17" s="10"/>
      <c r="Y17" s="11"/>
      <c r="Z17" s="11"/>
      <c r="AA17" s="10"/>
      <c r="AB17" s="11"/>
      <c r="AC17" s="10"/>
      <c r="AD17" s="99"/>
      <c r="AE17" s="42"/>
      <c r="AF17" s="14"/>
      <c r="AG17" s="34"/>
      <c r="AH17" s="34"/>
      <c r="AI17" s="34"/>
    </row>
    <row r="18" spans="1:35" ht="40.5" x14ac:dyDescent="0.3">
      <c r="A18" s="115" t="s">
        <v>333</v>
      </c>
      <c r="B18" s="168"/>
      <c r="C18" s="169"/>
      <c r="D18" s="158"/>
      <c r="E18" s="11"/>
      <c r="F18" s="11"/>
      <c r="G18" s="11"/>
      <c r="H18" s="159"/>
      <c r="I18" s="11"/>
      <c r="J18" s="11"/>
      <c r="K18" s="11"/>
      <c r="L18" s="11"/>
      <c r="M18" s="159"/>
      <c r="N18" s="11"/>
      <c r="O18" s="159"/>
      <c r="P18" s="11" t="s">
        <v>196</v>
      </c>
      <c r="Q18" s="11"/>
      <c r="R18" s="11"/>
      <c r="S18" s="10"/>
      <c r="T18" s="11"/>
      <c r="U18" s="10"/>
      <c r="V18" s="11"/>
      <c r="W18" s="11"/>
      <c r="X18" s="10"/>
      <c r="Y18" s="11"/>
      <c r="Z18" s="11"/>
      <c r="AA18" s="10"/>
      <c r="AB18" s="11"/>
      <c r="AC18" s="10"/>
      <c r="AD18" s="99" t="s">
        <v>113</v>
      </c>
      <c r="AE18" s="45"/>
    </row>
    <row r="19" spans="1:35" ht="40.5" hidden="1" x14ac:dyDescent="0.3">
      <c r="A19" s="115" t="s">
        <v>243</v>
      </c>
      <c r="B19" s="168"/>
      <c r="C19" s="169"/>
      <c r="D19" s="158" t="s">
        <v>196</v>
      </c>
      <c r="E19" s="11"/>
      <c r="F19" s="11"/>
      <c r="G19" s="11"/>
      <c r="H19" s="159"/>
      <c r="I19" s="11"/>
      <c r="J19" s="11"/>
      <c r="K19" s="11"/>
      <c r="L19" s="11"/>
      <c r="M19" s="159"/>
      <c r="N19" s="11"/>
      <c r="O19" s="159"/>
      <c r="P19" s="11"/>
      <c r="Q19" s="11"/>
      <c r="R19" s="11"/>
      <c r="S19" s="10"/>
      <c r="T19" s="11"/>
      <c r="U19" s="10"/>
      <c r="V19" s="11"/>
      <c r="W19" s="11"/>
      <c r="X19" s="10"/>
      <c r="Y19" s="11"/>
      <c r="Z19" s="11"/>
      <c r="AA19" s="10"/>
      <c r="AB19" s="11"/>
      <c r="AC19" s="10"/>
      <c r="AD19" s="99" t="s">
        <v>106</v>
      </c>
      <c r="AE19" s="48"/>
      <c r="AF19" s="38"/>
      <c r="AG19" s="38"/>
      <c r="AH19" s="38"/>
      <c r="AI19" s="38"/>
    </row>
    <row r="20" spans="1:35" ht="29.25" hidden="1" customHeight="1" x14ac:dyDescent="0.3">
      <c r="A20" s="115" t="s">
        <v>132</v>
      </c>
      <c r="B20" s="168"/>
      <c r="C20" s="169"/>
      <c r="D20" s="158"/>
      <c r="E20" s="11"/>
      <c r="F20" s="11"/>
      <c r="G20" s="11"/>
      <c r="H20" s="159"/>
      <c r="I20" s="11"/>
      <c r="J20" s="11"/>
      <c r="K20" s="11"/>
      <c r="L20" s="11"/>
      <c r="M20" s="159"/>
      <c r="N20" s="11"/>
      <c r="O20" s="159"/>
      <c r="P20" s="11"/>
      <c r="Q20" s="11"/>
      <c r="R20" s="11"/>
      <c r="S20" s="10"/>
      <c r="T20" s="11"/>
      <c r="U20" s="10"/>
      <c r="V20" s="11"/>
      <c r="W20" s="11"/>
      <c r="X20" s="10"/>
      <c r="Y20" s="11"/>
      <c r="Z20" s="11"/>
      <c r="AA20" s="10"/>
      <c r="AB20" s="11"/>
      <c r="AC20" s="10"/>
      <c r="AD20" s="99" t="s">
        <v>131</v>
      </c>
      <c r="AE20" s="48"/>
      <c r="AF20" s="38"/>
      <c r="AG20" s="38"/>
      <c r="AH20" s="38"/>
      <c r="AI20" s="38"/>
    </row>
    <row r="21" spans="1:35" ht="38.25" hidden="1" customHeight="1" x14ac:dyDescent="0.3">
      <c r="A21" s="117" t="s">
        <v>163</v>
      </c>
      <c r="B21" s="168"/>
      <c r="C21" s="169"/>
      <c r="D21" s="158"/>
      <c r="E21" s="11"/>
      <c r="F21" s="11"/>
      <c r="G21" s="11"/>
      <c r="H21" s="159"/>
      <c r="I21" s="11"/>
      <c r="J21" s="11"/>
      <c r="K21" s="11"/>
      <c r="L21" s="11"/>
      <c r="M21" s="159"/>
      <c r="N21" s="11"/>
      <c r="O21" s="159"/>
      <c r="P21" s="11"/>
      <c r="Q21" s="11"/>
      <c r="R21" s="11"/>
      <c r="S21" s="10"/>
      <c r="T21" s="11"/>
      <c r="U21" s="10"/>
      <c r="V21" s="11"/>
      <c r="W21" s="11"/>
      <c r="X21" s="10"/>
      <c r="Y21" s="11"/>
      <c r="Z21" s="11"/>
      <c r="AA21" s="10"/>
      <c r="AB21" s="11"/>
      <c r="AC21" s="10"/>
      <c r="AD21" s="99"/>
      <c r="AE21" s="48"/>
      <c r="AF21" s="38"/>
      <c r="AG21" s="38"/>
      <c r="AH21" s="38"/>
      <c r="AI21" s="38"/>
    </row>
    <row r="22" spans="1:35" ht="38.25" customHeight="1" x14ac:dyDescent="0.3">
      <c r="A22" s="117" t="s">
        <v>335</v>
      </c>
      <c r="B22" s="168"/>
      <c r="C22" s="169"/>
      <c r="D22" s="158"/>
      <c r="E22" s="11"/>
      <c r="F22" s="11"/>
      <c r="G22" s="11"/>
      <c r="H22" s="159"/>
      <c r="I22" s="11"/>
      <c r="J22" s="11"/>
      <c r="K22" s="11" t="s">
        <v>196</v>
      </c>
      <c r="L22" s="11"/>
      <c r="M22" s="159"/>
      <c r="N22" s="11"/>
      <c r="O22" s="159"/>
      <c r="P22" s="11"/>
      <c r="Q22" s="11"/>
      <c r="R22" s="11"/>
      <c r="S22" s="10"/>
      <c r="T22" s="11"/>
      <c r="U22" s="10"/>
      <c r="V22" s="11"/>
      <c r="W22" s="11"/>
      <c r="X22" s="10"/>
      <c r="Y22" s="11"/>
      <c r="Z22" s="11"/>
      <c r="AA22" s="10"/>
      <c r="AB22" s="11"/>
      <c r="AC22" s="10"/>
      <c r="AD22" s="99"/>
      <c r="AE22" s="48"/>
      <c r="AF22" s="38"/>
      <c r="AG22" s="38"/>
      <c r="AH22" s="38"/>
      <c r="AI22" s="38"/>
    </row>
    <row r="23" spans="1:35" ht="40.5" x14ac:dyDescent="0.3">
      <c r="A23" s="115" t="s">
        <v>268</v>
      </c>
      <c r="B23" s="168"/>
      <c r="C23" s="169" t="s">
        <v>196</v>
      </c>
      <c r="D23" s="158"/>
      <c r="E23" s="11"/>
      <c r="F23" s="11"/>
      <c r="G23" s="11"/>
      <c r="H23" s="159"/>
      <c r="I23" s="11"/>
      <c r="J23" s="11"/>
      <c r="K23" s="11"/>
      <c r="L23" s="11"/>
      <c r="M23" s="159"/>
      <c r="N23" s="11"/>
      <c r="O23" s="159"/>
      <c r="P23" s="11"/>
      <c r="Q23" s="11"/>
      <c r="R23" s="11"/>
      <c r="S23" s="10"/>
      <c r="T23" s="11"/>
      <c r="U23" s="10"/>
      <c r="V23" s="11"/>
      <c r="W23" s="11"/>
      <c r="X23" s="10"/>
      <c r="Y23" s="11"/>
      <c r="Z23" s="11"/>
      <c r="AA23" s="10"/>
      <c r="AB23" s="11" t="s">
        <v>196</v>
      </c>
      <c r="AC23" s="10"/>
      <c r="AD23" s="124" t="s">
        <v>222</v>
      </c>
      <c r="AE23" s="45"/>
    </row>
    <row r="24" spans="1:35" ht="40.5" hidden="1" x14ac:dyDescent="0.3">
      <c r="A24" s="115" t="s">
        <v>191</v>
      </c>
      <c r="B24" s="168"/>
      <c r="C24" s="169"/>
      <c r="D24" s="158"/>
      <c r="E24" s="11"/>
      <c r="F24" s="11"/>
      <c r="G24" s="11"/>
      <c r="H24" s="159"/>
      <c r="I24" s="11"/>
      <c r="J24" s="11"/>
      <c r="K24" s="11"/>
      <c r="L24" s="11"/>
      <c r="M24" s="159"/>
      <c r="N24" s="11"/>
      <c r="O24" s="159"/>
      <c r="P24" s="11"/>
      <c r="Q24" s="11"/>
      <c r="R24" s="11"/>
      <c r="S24" s="10"/>
      <c r="T24" s="11"/>
      <c r="U24" s="10"/>
      <c r="V24" s="11"/>
      <c r="W24" s="11"/>
      <c r="X24" s="10"/>
      <c r="Y24" s="11"/>
      <c r="Z24" s="11"/>
      <c r="AA24" s="10"/>
      <c r="AB24" s="11"/>
      <c r="AC24" s="10"/>
      <c r="AD24" s="99"/>
      <c r="AE24" s="45"/>
    </row>
    <row r="25" spans="1:35" ht="24.95" hidden="1" customHeight="1" x14ac:dyDescent="0.3">
      <c r="A25" s="17" t="s">
        <v>108</v>
      </c>
      <c r="B25" s="168"/>
      <c r="C25" s="169"/>
      <c r="D25" s="158"/>
      <c r="E25" s="11"/>
      <c r="F25" s="11"/>
      <c r="G25" s="11"/>
      <c r="H25" s="159"/>
      <c r="I25" s="11"/>
      <c r="J25" s="11"/>
      <c r="K25" s="11"/>
      <c r="L25" s="11"/>
      <c r="M25" s="159"/>
      <c r="N25" s="11"/>
      <c r="O25" s="159"/>
      <c r="P25" s="11"/>
      <c r="Q25" s="11"/>
      <c r="R25" s="11"/>
      <c r="S25" s="10"/>
      <c r="T25" s="11"/>
      <c r="U25" s="10"/>
      <c r="V25" s="11"/>
      <c r="W25" s="11"/>
      <c r="X25" s="10"/>
      <c r="Y25" s="11"/>
      <c r="Z25" s="11"/>
      <c r="AA25" s="10"/>
      <c r="AB25" s="11"/>
      <c r="AC25" s="10"/>
      <c r="AD25" s="99" t="s">
        <v>107</v>
      </c>
      <c r="AE25" s="45"/>
    </row>
    <row r="26" spans="1:35" ht="24.95" hidden="1" customHeight="1" x14ac:dyDescent="0.3">
      <c r="A26" s="5" t="s">
        <v>110</v>
      </c>
      <c r="B26" s="168"/>
      <c r="C26" s="169"/>
      <c r="D26" s="158"/>
      <c r="E26" s="11"/>
      <c r="F26" s="11"/>
      <c r="G26" s="11"/>
      <c r="H26" s="159"/>
      <c r="I26" s="11"/>
      <c r="J26" s="11"/>
      <c r="K26" s="11"/>
      <c r="L26" s="11"/>
      <c r="M26" s="159"/>
      <c r="N26" s="11"/>
      <c r="O26" s="159"/>
      <c r="P26" s="11"/>
      <c r="Q26" s="11"/>
      <c r="R26" s="11"/>
      <c r="S26" s="10"/>
      <c r="T26" s="11"/>
      <c r="U26" s="10"/>
      <c r="V26" s="11"/>
      <c r="W26" s="11"/>
      <c r="X26" s="10"/>
      <c r="Y26" s="11"/>
      <c r="Z26" s="11"/>
      <c r="AA26" s="10"/>
      <c r="AB26" s="11"/>
      <c r="AC26" s="10"/>
      <c r="AD26" s="99" t="s">
        <v>112</v>
      </c>
      <c r="AE26" s="45"/>
    </row>
    <row r="27" spans="1:35" ht="40.5" x14ac:dyDescent="0.3">
      <c r="A27" s="115" t="s">
        <v>334</v>
      </c>
      <c r="B27" s="168" t="s">
        <v>323</v>
      </c>
      <c r="C27" s="169"/>
      <c r="D27" s="158"/>
      <c r="E27" s="11"/>
      <c r="F27" s="11"/>
      <c r="G27" s="11"/>
      <c r="H27" s="159"/>
      <c r="I27" s="11"/>
      <c r="J27" s="11"/>
      <c r="K27" s="11"/>
      <c r="L27" s="11"/>
      <c r="M27" s="159"/>
      <c r="N27" s="11"/>
      <c r="O27" s="159"/>
      <c r="P27" s="11"/>
      <c r="Q27" s="11"/>
      <c r="R27" s="11"/>
      <c r="S27" s="10"/>
      <c r="T27" s="11"/>
      <c r="U27" s="10"/>
      <c r="V27" s="11"/>
      <c r="W27" s="11"/>
      <c r="X27" s="10"/>
      <c r="Y27" s="11"/>
      <c r="Z27" s="11"/>
      <c r="AA27" s="10"/>
      <c r="AB27" s="11"/>
      <c r="AC27" s="10"/>
      <c r="AD27" s="99" t="s">
        <v>111</v>
      </c>
      <c r="AE27" s="45"/>
    </row>
    <row r="28" spans="1:35" ht="24.95" hidden="1" customHeight="1" x14ac:dyDescent="0.3">
      <c r="A28" s="5" t="s">
        <v>89</v>
      </c>
      <c r="B28" s="168"/>
      <c r="C28" s="169"/>
      <c r="D28" s="158"/>
      <c r="E28" s="11"/>
      <c r="F28" s="11"/>
      <c r="G28" s="11"/>
      <c r="H28" s="159"/>
      <c r="I28" s="11"/>
      <c r="J28" s="11"/>
      <c r="K28" s="11"/>
      <c r="L28" s="11"/>
      <c r="M28" s="159"/>
      <c r="N28" s="11"/>
      <c r="O28" s="159"/>
      <c r="P28" s="11"/>
      <c r="Q28" s="11"/>
      <c r="R28" s="11"/>
      <c r="S28" s="10"/>
      <c r="T28" s="11"/>
      <c r="U28" s="10"/>
      <c r="V28" s="11"/>
      <c r="W28" s="11"/>
      <c r="X28" s="10"/>
      <c r="Y28" s="11"/>
      <c r="Z28" s="11"/>
      <c r="AA28" s="10"/>
      <c r="AB28" s="11"/>
      <c r="AC28" s="10"/>
      <c r="AD28" s="99"/>
      <c r="AE28" s="45"/>
    </row>
    <row r="29" spans="1:35" ht="24.95" hidden="1" customHeight="1" x14ac:dyDescent="0.3">
      <c r="A29" s="5" t="s">
        <v>274</v>
      </c>
      <c r="B29" s="168"/>
      <c r="C29" s="169"/>
      <c r="D29" s="158"/>
      <c r="E29" s="11"/>
      <c r="F29" s="11"/>
      <c r="G29" s="11"/>
      <c r="H29" s="159"/>
      <c r="I29" s="11"/>
      <c r="J29" s="11"/>
      <c r="K29" s="11"/>
      <c r="L29" s="11"/>
      <c r="M29" s="159"/>
      <c r="N29" s="11"/>
      <c r="O29" s="159"/>
      <c r="P29" s="11"/>
      <c r="Q29" s="11"/>
      <c r="R29" s="11"/>
      <c r="S29" s="10"/>
      <c r="T29" s="11"/>
      <c r="U29" s="10"/>
      <c r="V29" s="11"/>
      <c r="W29" s="11"/>
      <c r="X29" s="10"/>
      <c r="Y29" s="11"/>
      <c r="Z29" s="11"/>
      <c r="AA29" s="10"/>
      <c r="AB29" s="11"/>
      <c r="AC29" s="10"/>
      <c r="AD29" s="99"/>
      <c r="AE29" s="45"/>
    </row>
    <row r="30" spans="1:35" ht="30" customHeight="1" x14ac:dyDescent="0.3">
      <c r="A30" s="175" t="s">
        <v>336</v>
      </c>
      <c r="B30" s="177"/>
      <c r="C30" s="169"/>
      <c r="D30" s="158" t="s">
        <v>196</v>
      </c>
      <c r="E30" s="11"/>
      <c r="F30" s="11"/>
      <c r="G30" s="11"/>
      <c r="H30" s="159"/>
      <c r="I30" s="11"/>
      <c r="J30" s="11"/>
      <c r="K30" s="11"/>
      <c r="L30" s="11"/>
      <c r="M30" s="159"/>
      <c r="N30" s="11"/>
      <c r="O30" s="159"/>
      <c r="P30" s="11"/>
      <c r="Q30" s="11"/>
      <c r="R30" s="11"/>
      <c r="S30" s="10"/>
      <c r="T30" s="11"/>
      <c r="U30" s="10"/>
      <c r="V30" s="11"/>
      <c r="W30" s="11"/>
      <c r="X30" s="10"/>
      <c r="Y30" s="11"/>
      <c r="Z30" s="11"/>
      <c r="AA30" s="10"/>
      <c r="AB30" s="11"/>
      <c r="AC30" s="10"/>
      <c r="AD30" s="99"/>
      <c r="AE30" s="45"/>
    </row>
    <row r="31" spans="1:35" ht="27" hidden="1" customHeight="1" x14ac:dyDescent="0.3">
      <c r="A31" s="5" t="s">
        <v>249</v>
      </c>
      <c r="B31" s="168"/>
      <c r="C31" s="169"/>
      <c r="D31" s="158"/>
      <c r="E31" s="11"/>
      <c r="F31" s="11"/>
      <c r="G31" s="11"/>
      <c r="H31" s="159"/>
      <c r="I31" s="11"/>
      <c r="J31" s="11"/>
      <c r="K31" s="11"/>
      <c r="L31" s="11"/>
      <c r="M31" s="159"/>
      <c r="N31" s="11"/>
      <c r="O31" s="159"/>
      <c r="P31" s="11"/>
      <c r="Q31" s="11"/>
      <c r="R31" s="11"/>
      <c r="S31" s="10"/>
      <c r="T31" s="11"/>
      <c r="U31" s="10"/>
      <c r="V31" s="11"/>
      <c r="W31" s="11"/>
      <c r="X31" s="10"/>
      <c r="Y31" s="11"/>
      <c r="Z31" s="11"/>
      <c r="AA31" s="10"/>
      <c r="AB31" s="11"/>
      <c r="AC31" s="10"/>
      <c r="AD31" s="99"/>
      <c r="AE31" s="45"/>
    </row>
    <row r="32" spans="1:35" ht="42" hidden="1" customHeight="1" x14ac:dyDescent="0.3">
      <c r="A32" s="115" t="s">
        <v>270</v>
      </c>
      <c r="B32" s="168"/>
      <c r="C32" s="169"/>
      <c r="D32" s="158"/>
      <c r="E32" s="11"/>
      <c r="F32" s="11"/>
      <c r="G32" s="11"/>
      <c r="H32" s="159"/>
      <c r="I32" s="11"/>
      <c r="J32" s="11"/>
      <c r="K32" s="11"/>
      <c r="L32" s="11"/>
      <c r="M32" s="159"/>
      <c r="N32" s="11"/>
      <c r="O32" s="159"/>
      <c r="P32" s="11"/>
      <c r="Q32" s="11"/>
      <c r="R32" s="11"/>
      <c r="S32" s="10"/>
      <c r="T32" s="11"/>
      <c r="U32" s="10"/>
      <c r="V32" s="11"/>
      <c r="W32" s="11"/>
      <c r="X32" s="10"/>
      <c r="Y32" s="11"/>
      <c r="Z32" s="11"/>
      <c r="AA32" s="10"/>
      <c r="AB32" s="11"/>
      <c r="AC32" s="10"/>
      <c r="AD32" s="99"/>
      <c r="AE32" s="45"/>
    </row>
    <row r="33" spans="1:31" ht="24.95" hidden="1" customHeight="1" x14ac:dyDescent="0.3">
      <c r="A33" s="5" t="s">
        <v>164</v>
      </c>
      <c r="B33" s="168"/>
      <c r="C33" s="169"/>
      <c r="D33" s="158"/>
      <c r="E33" s="11"/>
      <c r="F33" s="11"/>
      <c r="G33" s="11"/>
      <c r="H33" s="159"/>
      <c r="I33" s="11"/>
      <c r="J33" s="11"/>
      <c r="K33" s="11"/>
      <c r="L33" s="11"/>
      <c r="M33" s="159"/>
      <c r="N33" s="11"/>
      <c r="O33" s="159"/>
      <c r="P33" s="11"/>
      <c r="Q33" s="11"/>
      <c r="R33" s="11"/>
      <c r="S33" s="10"/>
      <c r="T33" s="11"/>
      <c r="U33" s="10"/>
      <c r="V33" s="11"/>
      <c r="W33" s="11"/>
      <c r="X33" s="10"/>
      <c r="Y33" s="11"/>
      <c r="Z33" s="11"/>
      <c r="AA33" s="10"/>
      <c r="AB33" s="11"/>
      <c r="AC33" s="10"/>
      <c r="AD33" s="99"/>
      <c r="AE33" s="45"/>
    </row>
    <row r="34" spans="1:31" ht="40.5" hidden="1" x14ac:dyDescent="0.3">
      <c r="A34" s="115" t="s">
        <v>244</v>
      </c>
      <c r="B34" s="168"/>
      <c r="C34" s="169"/>
      <c r="D34" s="158"/>
      <c r="E34" s="11" t="s">
        <v>196</v>
      </c>
      <c r="F34" s="11"/>
      <c r="G34" s="11"/>
      <c r="H34" s="159"/>
      <c r="I34" s="11"/>
      <c r="J34" s="11"/>
      <c r="K34" s="11"/>
      <c r="L34" s="11"/>
      <c r="M34" s="159"/>
      <c r="N34" s="11"/>
      <c r="O34" s="159"/>
      <c r="P34" s="11"/>
      <c r="Q34" s="11"/>
      <c r="R34" s="11"/>
      <c r="S34" s="10"/>
      <c r="T34" s="11"/>
      <c r="U34" s="10"/>
      <c r="V34" s="11"/>
      <c r="W34" s="11"/>
      <c r="X34" s="10"/>
      <c r="Y34" s="11"/>
      <c r="Z34" s="11"/>
      <c r="AA34" s="10"/>
      <c r="AB34" s="11"/>
      <c r="AC34" s="10"/>
      <c r="AD34" s="99" t="s">
        <v>223</v>
      </c>
      <c r="AE34" s="45"/>
    </row>
    <row r="35" spans="1:31" ht="36" customHeight="1" x14ac:dyDescent="0.3">
      <c r="A35" s="115" t="s">
        <v>390</v>
      </c>
      <c r="B35" s="168"/>
      <c r="C35" s="169"/>
      <c r="D35" s="158"/>
      <c r="E35" s="11"/>
      <c r="F35" s="11"/>
      <c r="G35" s="11"/>
      <c r="H35" s="159"/>
      <c r="I35" s="11"/>
      <c r="J35" s="11"/>
      <c r="K35" s="11"/>
      <c r="L35" s="11"/>
      <c r="M35" s="159"/>
      <c r="N35" s="11"/>
      <c r="O35" s="159"/>
      <c r="P35" s="11"/>
      <c r="Q35" s="11"/>
      <c r="R35" s="11"/>
      <c r="S35" s="10"/>
      <c r="T35" s="11"/>
      <c r="U35" s="10"/>
      <c r="V35" s="11"/>
      <c r="W35" s="11"/>
      <c r="X35" s="10"/>
      <c r="Y35" s="11"/>
      <c r="Z35" s="11"/>
      <c r="AA35" s="10"/>
      <c r="AB35" s="11"/>
      <c r="AC35" s="10"/>
      <c r="AD35" s="99"/>
      <c r="AE35" s="45"/>
    </row>
    <row r="36" spans="1:31" ht="20.25" x14ac:dyDescent="0.3">
      <c r="A36" s="115"/>
      <c r="B36" s="168"/>
      <c r="C36" s="169"/>
      <c r="D36" s="158"/>
      <c r="E36" s="11"/>
      <c r="F36" s="11"/>
      <c r="G36" s="11"/>
      <c r="H36" s="159"/>
      <c r="I36" s="11"/>
      <c r="J36" s="11"/>
      <c r="K36" s="11"/>
      <c r="L36" s="11"/>
      <c r="M36" s="159"/>
      <c r="N36" s="11"/>
      <c r="O36" s="159"/>
      <c r="P36" s="11"/>
      <c r="Q36" s="11"/>
      <c r="R36" s="11"/>
      <c r="S36" s="10"/>
      <c r="T36" s="11"/>
      <c r="U36" s="10"/>
      <c r="V36" s="11"/>
      <c r="W36" s="11"/>
      <c r="X36" s="10"/>
      <c r="Y36" s="11"/>
      <c r="Z36" s="11"/>
      <c r="AA36" s="10"/>
      <c r="AB36" s="11"/>
      <c r="AC36" s="10"/>
      <c r="AD36" s="99"/>
      <c r="AE36" s="45"/>
    </row>
    <row r="37" spans="1:31" ht="25.5" customHeight="1" x14ac:dyDescent="0.3">
      <c r="A37" s="121" t="s">
        <v>329</v>
      </c>
      <c r="B37" s="168"/>
      <c r="C37" s="169"/>
      <c r="D37" s="158"/>
      <c r="E37" s="11"/>
      <c r="F37" s="11"/>
      <c r="G37" s="11"/>
      <c r="H37" s="159"/>
      <c r="I37" s="11"/>
      <c r="J37" s="11"/>
      <c r="K37" s="11"/>
      <c r="L37" s="11"/>
      <c r="M37" s="159"/>
      <c r="N37" s="11"/>
      <c r="O37" s="159"/>
      <c r="P37" s="11"/>
      <c r="Q37" s="11"/>
      <c r="R37" s="11"/>
      <c r="S37" s="10"/>
      <c r="T37" s="11"/>
      <c r="U37" s="10"/>
      <c r="V37" s="11"/>
      <c r="W37" s="11"/>
      <c r="X37" s="10"/>
      <c r="Y37" s="11"/>
      <c r="Z37" s="11"/>
      <c r="AA37" s="10"/>
      <c r="AB37" s="11"/>
      <c r="AC37" s="10"/>
      <c r="AD37" s="99"/>
      <c r="AE37" s="45"/>
    </row>
    <row r="38" spans="1:31" ht="40.5" x14ac:dyDescent="0.3">
      <c r="A38" s="115" t="s">
        <v>242</v>
      </c>
      <c r="B38" s="168"/>
      <c r="C38" s="169"/>
      <c r="D38" s="158"/>
      <c r="E38" s="11"/>
      <c r="F38" s="11"/>
      <c r="G38" s="11"/>
      <c r="H38" s="159"/>
      <c r="I38" s="11"/>
      <c r="J38" s="11" t="s">
        <v>196</v>
      </c>
      <c r="K38" s="11"/>
      <c r="L38" s="11"/>
      <c r="M38" s="159"/>
      <c r="N38" s="11"/>
      <c r="O38" s="159"/>
      <c r="P38" s="11"/>
      <c r="Q38" s="11"/>
      <c r="R38" s="11"/>
      <c r="S38" s="10"/>
      <c r="T38" s="11"/>
      <c r="U38" s="10"/>
      <c r="V38" s="11"/>
      <c r="W38" s="11"/>
      <c r="X38" s="10"/>
      <c r="Y38" s="11"/>
      <c r="Z38" s="11"/>
      <c r="AA38" s="10"/>
      <c r="AB38" s="11"/>
      <c r="AC38" s="10"/>
      <c r="AD38" s="99"/>
      <c r="AE38" s="45"/>
    </row>
    <row r="39" spans="1:31" ht="40.5" x14ac:dyDescent="0.3">
      <c r="A39" s="115" t="s">
        <v>240</v>
      </c>
      <c r="B39" s="161" t="s">
        <v>323</v>
      </c>
      <c r="C39" s="169"/>
      <c r="D39" s="158" t="s">
        <v>196</v>
      </c>
      <c r="E39" s="11"/>
      <c r="F39" s="11"/>
      <c r="G39" s="11"/>
      <c r="H39" s="159"/>
      <c r="I39" s="11"/>
      <c r="J39" s="11"/>
      <c r="K39" s="11"/>
      <c r="L39" s="11"/>
      <c r="M39" s="159"/>
      <c r="N39" s="11"/>
      <c r="O39" s="159"/>
      <c r="P39" s="11"/>
      <c r="Q39" s="11"/>
      <c r="R39" s="11"/>
      <c r="S39" s="10"/>
      <c r="T39" s="11"/>
      <c r="U39" s="10"/>
      <c r="V39" s="11"/>
      <c r="W39" s="11"/>
      <c r="X39" s="10"/>
      <c r="Y39" s="11"/>
      <c r="Z39" s="11"/>
      <c r="AA39" s="10"/>
      <c r="AB39" s="11"/>
      <c r="AC39" s="10"/>
      <c r="AD39" s="99"/>
      <c r="AE39" s="45"/>
    </row>
    <row r="40" spans="1:31" ht="40.5" hidden="1" x14ac:dyDescent="0.3">
      <c r="A40" s="115" t="s">
        <v>287</v>
      </c>
      <c r="B40" s="168"/>
      <c r="C40" s="169"/>
      <c r="D40" s="158"/>
      <c r="E40" s="11"/>
      <c r="F40" s="11"/>
      <c r="G40" s="11"/>
      <c r="H40" s="159"/>
      <c r="I40" s="11"/>
      <c r="J40" s="11"/>
      <c r="K40" s="11"/>
      <c r="L40" s="11"/>
      <c r="M40" s="159"/>
      <c r="N40" s="11"/>
      <c r="O40" s="159"/>
      <c r="P40" s="11"/>
      <c r="Q40" s="11"/>
      <c r="R40" s="11"/>
      <c r="S40" s="10"/>
      <c r="T40" s="11"/>
      <c r="U40" s="10"/>
      <c r="V40" s="11"/>
      <c r="W40" s="11"/>
      <c r="X40" s="10"/>
      <c r="Y40" s="11"/>
      <c r="Z40" s="11"/>
      <c r="AA40" s="10"/>
      <c r="AB40" s="11"/>
      <c r="AC40" s="10"/>
      <c r="AD40" s="99"/>
      <c r="AE40" s="45"/>
    </row>
    <row r="41" spans="1:31" ht="40.5" hidden="1" x14ac:dyDescent="0.3">
      <c r="A41" s="115" t="s">
        <v>241</v>
      </c>
      <c r="B41" s="168"/>
      <c r="C41" s="169"/>
      <c r="D41" s="158"/>
      <c r="E41" s="11"/>
      <c r="F41" s="11"/>
      <c r="G41" s="11"/>
      <c r="H41" s="159"/>
      <c r="I41" s="11"/>
      <c r="J41" s="11"/>
      <c r="K41" s="11"/>
      <c r="L41" s="11"/>
      <c r="M41" s="159"/>
      <c r="N41" s="11"/>
      <c r="O41" s="159"/>
      <c r="P41" s="11"/>
      <c r="Q41" s="11"/>
      <c r="R41" s="11"/>
      <c r="S41" s="10"/>
      <c r="T41" s="11"/>
      <c r="U41" s="10"/>
      <c r="V41" s="11"/>
      <c r="W41" s="11"/>
      <c r="X41" s="10"/>
      <c r="Y41" s="11"/>
      <c r="Z41" s="11"/>
      <c r="AA41" s="10"/>
      <c r="AB41" s="11"/>
      <c r="AC41" s="10"/>
      <c r="AD41" s="99"/>
      <c r="AE41" s="45"/>
    </row>
    <row r="42" spans="1:31" ht="27.75" hidden="1" customHeight="1" x14ac:dyDescent="0.3">
      <c r="A42" s="5" t="s">
        <v>73</v>
      </c>
      <c r="B42" s="168"/>
      <c r="C42" s="169"/>
      <c r="D42" s="158"/>
      <c r="E42" s="11"/>
      <c r="F42" s="11"/>
      <c r="G42" s="11"/>
      <c r="H42" s="159"/>
      <c r="I42" s="11"/>
      <c r="J42" s="11"/>
      <c r="K42" s="11"/>
      <c r="L42" s="11"/>
      <c r="M42" s="159"/>
      <c r="N42" s="11"/>
      <c r="O42" s="159"/>
      <c r="P42" s="11"/>
      <c r="Q42" s="11"/>
      <c r="R42" s="11"/>
      <c r="S42" s="10"/>
      <c r="T42" s="11"/>
      <c r="U42" s="10"/>
      <c r="V42" s="11"/>
      <c r="W42" s="11"/>
      <c r="X42" s="10"/>
      <c r="Y42" s="11"/>
      <c r="Z42" s="11"/>
      <c r="AA42" s="10"/>
      <c r="AB42" s="11"/>
      <c r="AC42" s="10"/>
      <c r="AD42" s="99"/>
      <c r="AE42" s="45"/>
    </row>
    <row r="43" spans="1:31" ht="26.25" customHeight="1" x14ac:dyDescent="0.3">
      <c r="A43" s="5" t="s">
        <v>337</v>
      </c>
      <c r="B43" s="168"/>
      <c r="C43" s="169"/>
      <c r="D43" s="158" t="s">
        <v>196</v>
      </c>
      <c r="E43" s="11"/>
      <c r="F43" s="11"/>
      <c r="G43" s="11"/>
      <c r="H43" s="159"/>
      <c r="I43" s="11"/>
      <c r="J43" s="11"/>
      <c r="K43" s="11"/>
      <c r="L43" s="11"/>
      <c r="M43" s="159"/>
      <c r="N43" s="11"/>
      <c r="O43" s="159"/>
      <c r="P43" s="11"/>
      <c r="Q43" s="11"/>
      <c r="R43" s="11"/>
      <c r="S43" s="10"/>
      <c r="T43" s="11"/>
      <c r="U43" s="10"/>
      <c r="V43" s="11"/>
      <c r="W43" s="11"/>
      <c r="X43" s="10"/>
      <c r="Y43" s="11"/>
      <c r="Z43" s="11"/>
      <c r="AA43" s="10"/>
      <c r="AB43" s="11"/>
      <c r="AC43" s="10"/>
      <c r="AD43" s="99"/>
      <c r="AE43" s="45"/>
    </row>
    <row r="44" spans="1:31" ht="33.75" hidden="1" customHeight="1" x14ac:dyDescent="0.3">
      <c r="A44" s="5" t="s">
        <v>293</v>
      </c>
      <c r="B44" s="168"/>
      <c r="C44" s="169"/>
      <c r="D44" s="158"/>
      <c r="E44" s="11"/>
      <c r="F44" s="11"/>
      <c r="G44" s="11"/>
      <c r="H44" s="159"/>
      <c r="I44" s="11"/>
      <c r="J44" s="11"/>
      <c r="K44" s="11"/>
      <c r="L44" s="11"/>
      <c r="M44" s="159"/>
      <c r="N44" s="11"/>
      <c r="O44" s="159"/>
      <c r="P44" s="11"/>
      <c r="Q44" s="11"/>
      <c r="R44" s="11"/>
      <c r="S44" s="10"/>
      <c r="T44" s="11"/>
      <c r="U44" s="10"/>
      <c r="V44" s="11"/>
      <c r="W44" s="11"/>
      <c r="X44" s="10"/>
      <c r="Y44" s="11"/>
      <c r="Z44" s="11"/>
      <c r="AA44" s="10"/>
      <c r="AB44" s="11"/>
      <c r="AC44" s="10"/>
      <c r="AD44" s="99"/>
      <c r="AE44" s="45"/>
    </row>
    <row r="45" spans="1:31" ht="41.25" customHeight="1" x14ac:dyDescent="0.3">
      <c r="A45" s="115" t="s">
        <v>379</v>
      </c>
      <c r="B45" s="168"/>
      <c r="C45" s="169"/>
      <c r="D45" s="158"/>
      <c r="E45" s="11"/>
      <c r="F45" s="11"/>
      <c r="G45" s="11"/>
      <c r="H45" s="159"/>
      <c r="I45" s="11"/>
      <c r="J45" s="11"/>
      <c r="K45" s="11"/>
      <c r="L45" s="11"/>
      <c r="M45" s="159"/>
      <c r="N45" s="11"/>
      <c r="O45" s="159"/>
      <c r="P45" s="11"/>
      <c r="Q45" s="11" t="s">
        <v>196</v>
      </c>
      <c r="R45" s="11"/>
      <c r="S45" s="10"/>
      <c r="T45" s="11"/>
      <c r="U45" s="10"/>
      <c r="V45" s="11"/>
      <c r="W45" s="11"/>
      <c r="X45" s="10"/>
      <c r="Y45" s="11"/>
      <c r="Z45" s="11"/>
      <c r="AA45" s="10"/>
      <c r="AB45" s="11"/>
      <c r="AC45" s="10"/>
      <c r="AD45" s="99"/>
      <c r="AE45" s="45"/>
    </row>
    <row r="46" spans="1:31" ht="20.25" x14ac:dyDescent="0.3">
      <c r="A46" s="115"/>
      <c r="B46" s="49"/>
      <c r="C46" s="9"/>
      <c r="D46" s="91"/>
      <c r="E46" s="11"/>
      <c r="F46" s="11"/>
      <c r="G46" s="11"/>
      <c r="H46" s="10"/>
      <c r="I46" s="11"/>
      <c r="J46" s="11"/>
      <c r="K46" s="11"/>
      <c r="L46" s="11"/>
      <c r="M46" s="10"/>
      <c r="N46" s="11"/>
      <c r="O46" s="10"/>
      <c r="P46" s="11"/>
      <c r="Q46" s="11"/>
      <c r="R46" s="11"/>
      <c r="S46" s="10"/>
      <c r="T46" s="11"/>
      <c r="U46" s="10"/>
      <c r="V46" s="11"/>
      <c r="W46" s="11"/>
      <c r="X46" s="10"/>
      <c r="Y46" s="11"/>
      <c r="Z46" s="11"/>
      <c r="AA46" s="10"/>
      <c r="AB46" s="11"/>
      <c r="AC46" s="10"/>
      <c r="AD46" s="99"/>
      <c r="AE46" s="45"/>
    </row>
    <row r="47" spans="1:31" ht="24.95" customHeight="1" x14ac:dyDescent="0.3">
      <c r="A47" s="5"/>
      <c r="B47" s="49"/>
      <c r="C47" s="9"/>
      <c r="D47" s="91"/>
      <c r="E47" s="11"/>
      <c r="F47" s="11"/>
      <c r="G47" s="11"/>
      <c r="H47" s="10"/>
      <c r="I47" s="11"/>
      <c r="J47" s="11"/>
      <c r="K47" s="11"/>
      <c r="L47" s="11"/>
      <c r="M47" s="10"/>
      <c r="N47" s="11"/>
      <c r="O47" s="10"/>
      <c r="P47" s="11"/>
      <c r="Q47" s="11"/>
      <c r="R47" s="11"/>
      <c r="S47" s="10"/>
      <c r="T47" s="11"/>
      <c r="U47" s="10"/>
      <c r="V47" s="11"/>
      <c r="W47" s="11"/>
      <c r="X47" s="10"/>
      <c r="Y47" s="11"/>
      <c r="Z47" s="11"/>
      <c r="AA47" s="10"/>
      <c r="AB47" s="11"/>
      <c r="AC47" s="10"/>
      <c r="AD47" s="99"/>
      <c r="AE47" s="45"/>
    </row>
    <row r="48" spans="1:31" ht="24.95" customHeight="1" x14ac:dyDescent="0.3">
      <c r="A48" s="5" t="s">
        <v>101</v>
      </c>
      <c r="B48" s="49"/>
      <c r="C48" s="9"/>
      <c r="D48" s="91"/>
      <c r="E48" s="11"/>
      <c r="F48" s="11"/>
      <c r="G48" s="11"/>
      <c r="H48" s="10"/>
      <c r="I48" s="11"/>
      <c r="J48" s="11"/>
      <c r="K48" s="11"/>
      <c r="L48" s="11"/>
      <c r="M48" s="10"/>
      <c r="N48" s="11"/>
      <c r="O48" s="10"/>
      <c r="P48" s="11"/>
      <c r="Q48" s="11"/>
      <c r="R48" s="11"/>
      <c r="S48" s="10"/>
      <c r="T48" s="11"/>
      <c r="U48" s="10"/>
      <c r="V48" s="11"/>
      <c r="W48" s="11"/>
      <c r="X48" s="10"/>
      <c r="Y48" s="11"/>
      <c r="Z48" s="11"/>
      <c r="AA48" s="10"/>
      <c r="AB48" s="11"/>
      <c r="AC48" s="10"/>
      <c r="AD48" s="99"/>
      <c r="AE48" s="45"/>
    </row>
    <row r="49" spans="1:35" ht="24.95" customHeight="1" x14ac:dyDescent="0.3">
      <c r="A49" s="5" t="s">
        <v>102</v>
      </c>
      <c r="B49" s="49"/>
      <c r="C49" s="9"/>
      <c r="D49" s="91"/>
      <c r="E49" s="11"/>
      <c r="F49" s="11"/>
      <c r="G49" s="11"/>
      <c r="H49" s="10"/>
      <c r="I49" s="11"/>
      <c r="J49" s="11"/>
      <c r="K49" s="11"/>
      <c r="L49" s="11"/>
      <c r="M49" s="10"/>
      <c r="N49" s="11"/>
      <c r="O49" s="10"/>
      <c r="P49" s="11"/>
      <c r="Q49" s="11"/>
      <c r="R49" s="11"/>
      <c r="S49" s="10"/>
      <c r="T49" s="11"/>
      <c r="U49" s="10"/>
      <c r="V49" s="11"/>
      <c r="W49" s="11"/>
      <c r="X49" s="10"/>
      <c r="Y49" s="11"/>
      <c r="Z49" s="11"/>
      <c r="AA49" s="10"/>
      <c r="AB49" s="11"/>
      <c r="AC49" s="10"/>
      <c r="AD49" s="99"/>
      <c r="AE49" s="45"/>
    </row>
    <row r="50" spans="1:35" ht="24.95" customHeight="1" x14ac:dyDescent="0.3">
      <c r="A50" s="5" t="s">
        <v>103</v>
      </c>
      <c r="B50" s="49"/>
      <c r="C50" s="9"/>
      <c r="D50" s="91"/>
      <c r="E50" s="11"/>
      <c r="F50" s="11"/>
      <c r="G50" s="11"/>
      <c r="H50" s="10"/>
      <c r="I50" s="11"/>
      <c r="J50" s="11"/>
      <c r="K50" s="11"/>
      <c r="L50" s="11"/>
      <c r="M50" s="10"/>
      <c r="N50" s="11"/>
      <c r="O50" s="10"/>
      <c r="P50" s="11"/>
      <c r="Q50" s="11"/>
      <c r="R50" s="11"/>
      <c r="S50" s="10"/>
      <c r="T50" s="11"/>
      <c r="U50" s="10"/>
      <c r="V50" s="11"/>
      <c r="W50" s="11"/>
      <c r="X50" s="10"/>
      <c r="Y50" s="11"/>
      <c r="Z50" s="11"/>
      <c r="AA50" s="10"/>
      <c r="AB50" s="11"/>
      <c r="AC50" s="10"/>
      <c r="AD50" s="99"/>
      <c r="AE50" s="45"/>
    </row>
    <row r="51" spans="1:35" ht="24.95" customHeight="1" thickBot="1" x14ac:dyDescent="0.35">
      <c r="A51" s="5"/>
      <c r="B51" s="49"/>
      <c r="C51" s="9"/>
      <c r="D51" s="91"/>
      <c r="E51" s="11"/>
      <c r="F51" s="11"/>
      <c r="G51" s="11"/>
      <c r="H51" s="10"/>
      <c r="I51" s="11"/>
      <c r="J51" s="11"/>
      <c r="K51" s="11"/>
      <c r="L51" s="11"/>
      <c r="M51" s="10"/>
      <c r="N51" s="11"/>
      <c r="O51" s="10"/>
      <c r="P51" s="11"/>
      <c r="Q51" s="11"/>
      <c r="R51" s="11"/>
      <c r="S51" s="10"/>
      <c r="T51" s="11"/>
      <c r="U51" s="10"/>
      <c r="V51" s="11"/>
      <c r="W51" s="11"/>
      <c r="X51" s="10"/>
      <c r="Y51" s="11"/>
      <c r="Z51" s="11"/>
      <c r="AA51" s="10"/>
      <c r="AB51" s="11"/>
      <c r="AC51" s="10"/>
      <c r="AD51" s="99"/>
      <c r="AE51" s="45"/>
    </row>
    <row r="52" spans="1:35" ht="24.95" customHeight="1" thickBot="1" x14ac:dyDescent="0.35">
      <c r="A52" s="182" t="s">
        <v>13</v>
      </c>
      <c r="B52" s="183"/>
      <c r="C52" s="18">
        <f t="shared" ref="C52:AC52" si="5">SUM(C8:C51)</f>
        <v>0</v>
      </c>
      <c r="D52" s="18">
        <f t="shared" si="5"/>
        <v>0</v>
      </c>
      <c r="E52" s="18">
        <f t="shared" si="5"/>
        <v>0</v>
      </c>
      <c r="F52" s="19">
        <f t="shared" si="5"/>
        <v>0</v>
      </c>
      <c r="G52" s="19">
        <f t="shared" si="5"/>
        <v>0</v>
      </c>
      <c r="H52" s="19">
        <f t="shared" si="5"/>
        <v>0</v>
      </c>
      <c r="I52" s="19">
        <f t="shared" si="5"/>
        <v>0</v>
      </c>
      <c r="J52" s="19">
        <f t="shared" si="5"/>
        <v>0</v>
      </c>
      <c r="K52" s="19"/>
      <c r="L52" s="19">
        <f t="shared" si="5"/>
        <v>0</v>
      </c>
      <c r="M52" s="19">
        <f t="shared" si="5"/>
        <v>0</v>
      </c>
      <c r="N52" s="19">
        <f t="shared" si="5"/>
        <v>0</v>
      </c>
      <c r="O52" s="19">
        <f t="shared" si="5"/>
        <v>0</v>
      </c>
      <c r="P52" s="19">
        <f t="shared" si="5"/>
        <v>0</v>
      </c>
      <c r="Q52" s="19">
        <f t="shared" si="5"/>
        <v>0</v>
      </c>
      <c r="R52" s="19">
        <f t="shared" si="5"/>
        <v>0</v>
      </c>
      <c r="S52" s="19">
        <f t="shared" si="5"/>
        <v>0</v>
      </c>
      <c r="T52" s="19">
        <f t="shared" si="5"/>
        <v>0</v>
      </c>
      <c r="U52" s="19">
        <f t="shared" si="5"/>
        <v>0</v>
      </c>
      <c r="V52" s="19">
        <f t="shared" si="5"/>
        <v>0</v>
      </c>
      <c r="W52" s="19">
        <f t="shared" si="5"/>
        <v>0</v>
      </c>
      <c r="X52" s="19">
        <f t="shared" si="5"/>
        <v>0</v>
      </c>
      <c r="Y52" s="19">
        <f t="shared" si="5"/>
        <v>0</v>
      </c>
      <c r="Z52" s="19">
        <f t="shared" si="5"/>
        <v>0</v>
      </c>
      <c r="AA52" s="19">
        <f t="shared" si="5"/>
        <v>0</v>
      </c>
      <c r="AB52" s="20">
        <f t="shared" si="5"/>
        <v>0</v>
      </c>
      <c r="AC52" s="20">
        <f t="shared" si="5"/>
        <v>0</v>
      </c>
    </row>
    <row r="53" spans="1:35" s="23" customFormat="1" ht="24.95" customHeight="1" x14ac:dyDescent="0.25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</row>
    <row r="54" spans="1:35" s="23" customFormat="1" ht="24.95" customHeight="1" x14ac:dyDescent="0.25">
      <c r="J54" s="24"/>
      <c r="K54" s="24"/>
      <c r="L54" s="24"/>
      <c r="M54" s="24"/>
      <c r="N54" s="25"/>
      <c r="O54" s="26"/>
      <c r="P54" s="27"/>
      <c r="S54" s="24"/>
      <c r="T54" s="24"/>
      <c r="U54" s="24"/>
      <c r="V54" s="24"/>
      <c r="W54" s="24"/>
      <c r="X54" s="24"/>
      <c r="Y54" s="28"/>
      <c r="Z54" s="24"/>
      <c r="AA54" s="24"/>
      <c r="AB54" s="28"/>
      <c r="AC54" s="24"/>
    </row>
    <row r="55" spans="1:35" s="23" customFormat="1" ht="24.95" customHeight="1" x14ac:dyDescent="0.25">
      <c r="J55" s="24"/>
      <c r="K55" s="24"/>
      <c r="N55" s="25"/>
      <c r="O55" s="26"/>
      <c r="P55" s="27"/>
      <c r="S55" s="24"/>
      <c r="V55" s="24"/>
      <c r="Y55" s="28"/>
      <c r="AB55" s="28"/>
    </row>
    <row r="56" spans="1:35" s="23" customFormat="1" ht="24.95" customHeight="1" x14ac:dyDescent="0.25">
      <c r="J56" s="24"/>
      <c r="K56" s="24"/>
      <c r="L56" s="24"/>
      <c r="M56" s="24"/>
      <c r="N56" s="29"/>
      <c r="O56" s="30"/>
      <c r="P56" s="29"/>
      <c r="S56" s="24"/>
      <c r="T56" s="24"/>
      <c r="U56" s="24"/>
      <c r="V56" s="24"/>
      <c r="W56" s="24"/>
      <c r="X56" s="24"/>
      <c r="Y56" s="16"/>
      <c r="Z56" s="24"/>
      <c r="AA56" s="24"/>
      <c r="AB56" s="16"/>
      <c r="AC56" s="24"/>
    </row>
    <row r="57" spans="1:35" s="23" customFormat="1" ht="23.1" customHeight="1" x14ac:dyDescent="0.25">
      <c r="F57" s="16"/>
      <c r="G57" s="16"/>
      <c r="H57" s="16"/>
      <c r="I57" s="16"/>
      <c r="J57" s="24"/>
      <c r="K57" s="24"/>
      <c r="L57" s="16"/>
      <c r="M57" s="16"/>
      <c r="N57" s="31"/>
      <c r="O57" s="31"/>
      <c r="P57" s="31"/>
      <c r="Q57" s="16"/>
      <c r="R57" s="16"/>
      <c r="S57" s="24"/>
      <c r="T57" s="16"/>
      <c r="U57" s="16"/>
      <c r="V57" s="24"/>
      <c r="W57" s="16"/>
      <c r="X57" s="16"/>
      <c r="Y57" s="32"/>
      <c r="Z57" s="16"/>
      <c r="AA57" s="16"/>
      <c r="AB57" s="32"/>
      <c r="AC57" s="16"/>
    </row>
    <row r="58" spans="1:35" ht="23.1" customHeight="1" x14ac:dyDescent="0.2">
      <c r="A58" s="23"/>
      <c r="B58" s="23"/>
      <c r="C58" s="23"/>
      <c r="D58" s="23"/>
      <c r="E58" s="23"/>
      <c r="F58" s="23"/>
      <c r="G58" s="23"/>
      <c r="H58" s="23"/>
      <c r="I58" s="23"/>
      <c r="J58" s="16"/>
      <c r="K58" s="16"/>
      <c r="L58" s="23"/>
      <c r="M58" s="23"/>
      <c r="N58" s="16"/>
      <c r="O58" s="16"/>
      <c r="P58" s="16"/>
      <c r="Q58" s="23"/>
      <c r="R58" s="23"/>
      <c r="S58" s="16"/>
      <c r="T58" s="23"/>
      <c r="U58" s="23"/>
      <c r="V58" s="16"/>
      <c r="W58" s="23"/>
      <c r="X58" s="23"/>
      <c r="Y58" s="16"/>
      <c r="Z58" s="23"/>
      <c r="AA58" s="23"/>
      <c r="AB58" s="16"/>
      <c r="AC58" s="23"/>
      <c r="AD58" s="23"/>
      <c r="AE58" s="23"/>
      <c r="AF58" s="23"/>
      <c r="AG58" s="23"/>
      <c r="AH58" s="23"/>
      <c r="AI58" s="23"/>
    </row>
    <row r="59" spans="1:35" ht="23.1" customHeight="1" x14ac:dyDescent="0.2">
      <c r="L59" s="33"/>
      <c r="M59" s="33"/>
      <c r="N59" s="33"/>
      <c r="O59" s="33"/>
      <c r="P59" s="33"/>
      <c r="Q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</row>
    <row r="60" spans="1:35" ht="23.1" customHeight="1" x14ac:dyDescent="0.2">
      <c r="A60" s="33"/>
      <c r="B60" s="33"/>
      <c r="C60" s="33"/>
      <c r="D60" s="33"/>
      <c r="E60" s="33"/>
      <c r="F60" s="33"/>
      <c r="G60" s="33"/>
      <c r="M60" s="33"/>
      <c r="N60" s="33"/>
      <c r="O60" s="33"/>
      <c r="P60" s="33"/>
      <c r="Q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</row>
    <row r="61" spans="1:35" ht="23.1" customHeight="1" x14ac:dyDescent="0.2">
      <c r="U61" s="33"/>
      <c r="V61" s="33"/>
      <c r="W61" s="33"/>
      <c r="X61" s="33"/>
      <c r="Y61" s="33"/>
      <c r="Z61" s="33"/>
      <c r="AA61" s="33"/>
      <c r="AB61" s="33"/>
      <c r="AC61" s="33"/>
    </row>
    <row r="62" spans="1:35" ht="23.1" customHeight="1" x14ac:dyDescent="0.2"/>
  </sheetData>
  <mergeCells count="1">
    <mergeCell ref="A52:B52"/>
  </mergeCells>
  <conditionalFormatting sqref="J56:K56">
    <cfRule type="expression" dxfId="23" priority="9" stopIfTrue="1">
      <formula>#REF!="sobra"</formula>
    </cfRule>
    <cfRule type="expression" dxfId="22" priority="10" stopIfTrue="1">
      <formula>#REF!="Falta"</formula>
    </cfRule>
  </conditionalFormatting>
  <conditionalFormatting sqref="M56 S56">
    <cfRule type="expression" dxfId="21" priority="11" stopIfTrue="1">
      <formula>#REF!="sobra"</formula>
    </cfRule>
    <cfRule type="expression" dxfId="20" priority="12" stopIfTrue="1">
      <formula>#REF!="Falta"</formula>
    </cfRule>
  </conditionalFormatting>
  <conditionalFormatting sqref="U56:V56">
    <cfRule type="expression" dxfId="19" priority="7" stopIfTrue="1">
      <formula>#REF!="sobra"</formula>
    </cfRule>
    <cfRule type="expression" dxfId="18" priority="8" stopIfTrue="1">
      <formula>#REF!="Falta"</formula>
    </cfRule>
  </conditionalFormatting>
  <conditionalFormatting sqref="X56">
    <cfRule type="expression" dxfId="17" priority="5" stopIfTrue="1">
      <formula>#REF!="sobra"</formula>
    </cfRule>
    <cfRule type="expression" dxfId="16" priority="6" stopIfTrue="1">
      <formula>#REF!="Falta"</formula>
    </cfRule>
  </conditionalFormatting>
  <conditionalFormatting sqref="AA56">
    <cfRule type="expression" dxfId="15" priority="3" stopIfTrue="1">
      <formula>#REF!="sobra"</formula>
    </cfRule>
    <cfRule type="expression" dxfId="14" priority="4" stopIfTrue="1">
      <formula>#REF!="Falta"</formula>
    </cfRule>
  </conditionalFormatting>
  <conditionalFormatting sqref="AC56">
    <cfRule type="expression" dxfId="13" priority="1" stopIfTrue="1">
      <formula>#REF!="sobra"</formula>
    </cfRule>
    <cfRule type="expression" dxfId="12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A1:AF48"/>
  <sheetViews>
    <sheetView showGridLines="0" zoomScale="60" zoomScaleNormal="60" workbookViewId="0">
      <pane xSplit="1" topLeftCell="B1" activePane="topRight" state="frozen"/>
      <selection pane="topRight"/>
    </sheetView>
  </sheetViews>
  <sheetFormatPr defaultColWidth="9.140625" defaultRowHeight="12.75" x14ac:dyDescent="0.2"/>
  <cols>
    <col min="1" max="1" width="68.5703125" style="1" customWidth="1"/>
    <col min="2" max="2" width="16.85546875" style="1" customWidth="1"/>
    <col min="3" max="26" width="10.7109375" style="1" customWidth="1"/>
    <col min="27" max="27" width="33.85546875" style="1" customWidth="1"/>
    <col min="28" max="28" width="19.42578125" style="1" bestFit="1" customWidth="1"/>
    <col min="29" max="29" width="15.7109375" style="1" customWidth="1"/>
    <col min="30" max="30" width="15.85546875" style="1" bestFit="1" customWidth="1"/>
    <col min="31" max="16384" width="9.140625" style="1"/>
  </cols>
  <sheetData>
    <row r="1" spans="1:32" s="52" customFormat="1" ht="55.5" x14ac:dyDescent="0.35">
      <c r="A1" s="51" t="s">
        <v>42</v>
      </c>
      <c r="C1" s="53" t="s">
        <v>0</v>
      </c>
      <c r="D1" s="53" t="s">
        <v>1</v>
      </c>
      <c r="E1" s="53" t="s">
        <v>2</v>
      </c>
      <c r="F1" s="53" t="s">
        <v>23</v>
      </c>
      <c r="G1" s="53" t="s">
        <v>24</v>
      </c>
      <c r="H1" s="53" t="s">
        <v>25</v>
      </c>
      <c r="I1" s="53" t="s">
        <v>26</v>
      </c>
      <c r="J1" s="53" t="s">
        <v>27</v>
      </c>
      <c r="K1" s="53" t="s">
        <v>28</v>
      </c>
      <c r="L1" s="53" t="s">
        <v>29</v>
      </c>
      <c r="M1" s="53" t="s">
        <v>30</v>
      </c>
      <c r="N1" s="53" t="s">
        <v>31</v>
      </c>
      <c r="O1" s="53" t="s">
        <v>32</v>
      </c>
      <c r="P1" s="53" t="s">
        <v>33</v>
      </c>
      <c r="Q1" s="53" t="s">
        <v>34</v>
      </c>
      <c r="R1" s="53" t="s">
        <v>35</v>
      </c>
      <c r="S1" s="53" t="s">
        <v>36</v>
      </c>
      <c r="T1" s="53" t="s">
        <v>37</v>
      </c>
      <c r="U1" s="54" t="s">
        <v>38</v>
      </c>
      <c r="V1" s="53" t="s">
        <v>3</v>
      </c>
      <c r="W1" s="53" t="s">
        <v>4</v>
      </c>
      <c r="X1" s="54" t="s">
        <v>5</v>
      </c>
      <c r="Y1" s="53" t="s">
        <v>6</v>
      </c>
      <c r="Z1" s="54" t="s">
        <v>7</v>
      </c>
      <c r="AC1" s="55"/>
      <c r="AD1" s="55"/>
      <c r="AE1" s="56"/>
      <c r="AF1" s="56"/>
    </row>
    <row r="2" spans="1:32" ht="24.95" customHeight="1" x14ac:dyDescent="0.35">
      <c r="A2" s="57" t="s">
        <v>8</v>
      </c>
      <c r="B2" s="59" t="s">
        <v>9</v>
      </c>
      <c r="C2" s="78">
        <v>0</v>
      </c>
      <c r="D2" s="78">
        <v>0</v>
      </c>
      <c r="E2" s="78">
        <v>0</v>
      </c>
      <c r="F2" s="78">
        <v>0</v>
      </c>
      <c r="G2" s="78">
        <v>0</v>
      </c>
      <c r="H2" s="78">
        <v>0</v>
      </c>
      <c r="I2" s="78">
        <v>0</v>
      </c>
      <c r="J2" s="78">
        <v>0</v>
      </c>
      <c r="K2" s="78">
        <v>0</v>
      </c>
      <c r="L2" s="78">
        <v>0</v>
      </c>
      <c r="M2" s="78">
        <v>0</v>
      </c>
      <c r="N2" s="78">
        <v>0</v>
      </c>
      <c r="O2" s="78">
        <v>0</v>
      </c>
      <c r="P2" s="78">
        <v>0</v>
      </c>
      <c r="Q2" s="78">
        <v>0</v>
      </c>
      <c r="R2" s="78">
        <v>0</v>
      </c>
      <c r="S2" s="78">
        <v>0</v>
      </c>
      <c r="T2" s="78">
        <v>0</v>
      </c>
      <c r="U2" s="78">
        <v>0</v>
      </c>
      <c r="V2" s="78">
        <v>0</v>
      </c>
      <c r="W2" s="78">
        <v>0</v>
      </c>
      <c r="X2" s="78">
        <v>0</v>
      </c>
      <c r="Y2" s="78">
        <v>0</v>
      </c>
      <c r="Z2" s="78">
        <v>0</v>
      </c>
      <c r="AA2" s="79"/>
    </row>
    <row r="3" spans="1:32" ht="24.95" customHeight="1" x14ac:dyDescent="0.3">
      <c r="A3" s="2"/>
      <c r="B3" s="59" t="s">
        <v>10</v>
      </c>
      <c r="C3" s="60">
        <f t="shared" ref="C3:Z3" si="0">C2-C4</f>
        <v>0</v>
      </c>
      <c r="D3" s="60">
        <f t="shared" si="0"/>
        <v>0</v>
      </c>
      <c r="E3" s="60">
        <f t="shared" si="0"/>
        <v>0</v>
      </c>
      <c r="F3" s="60">
        <f t="shared" si="0"/>
        <v>0</v>
      </c>
      <c r="G3" s="60">
        <f t="shared" si="0"/>
        <v>0</v>
      </c>
      <c r="H3" s="60">
        <f t="shared" si="0"/>
        <v>0</v>
      </c>
      <c r="I3" s="60">
        <f t="shared" si="0"/>
        <v>0</v>
      </c>
      <c r="J3" s="60">
        <f t="shared" si="0"/>
        <v>0</v>
      </c>
      <c r="K3" s="60">
        <f t="shared" si="0"/>
        <v>0</v>
      </c>
      <c r="L3" s="60">
        <f t="shared" si="0"/>
        <v>0</v>
      </c>
      <c r="M3" s="60">
        <f t="shared" si="0"/>
        <v>0</v>
      </c>
      <c r="N3" s="60">
        <f t="shared" si="0"/>
        <v>0</v>
      </c>
      <c r="O3" s="60">
        <f t="shared" si="0"/>
        <v>0</v>
      </c>
      <c r="P3" s="60">
        <f t="shared" si="0"/>
        <v>0</v>
      </c>
      <c r="Q3" s="60">
        <f t="shared" si="0"/>
        <v>0</v>
      </c>
      <c r="R3" s="60">
        <f t="shared" si="0"/>
        <v>0</v>
      </c>
      <c r="S3" s="60">
        <f t="shared" si="0"/>
        <v>0</v>
      </c>
      <c r="T3" s="60">
        <f t="shared" si="0"/>
        <v>0</v>
      </c>
      <c r="U3" s="60">
        <f t="shared" si="0"/>
        <v>0</v>
      </c>
      <c r="V3" s="60">
        <f t="shared" si="0"/>
        <v>0</v>
      </c>
      <c r="W3" s="60">
        <f t="shared" si="0"/>
        <v>0</v>
      </c>
      <c r="X3" s="60">
        <f t="shared" si="0"/>
        <v>0</v>
      </c>
      <c r="Y3" s="60">
        <f t="shared" si="0"/>
        <v>0</v>
      </c>
      <c r="Z3" s="60">
        <f t="shared" si="0"/>
        <v>0</v>
      </c>
    </row>
    <row r="4" spans="1:32" ht="24.95" customHeight="1" x14ac:dyDescent="0.3">
      <c r="A4" s="61"/>
      <c r="B4" s="76" t="s">
        <v>22</v>
      </c>
      <c r="C4" s="77">
        <f t="shared" ref="C4:Z4" si="1">C38</f>
        <v>0</v>
      </c>
      <c r="D4" s="77">
        <f t="shared" si="1"/>
        <v>0</v>
      </c>
      <c r="E4" s="77">
        <f t="shared" si="1"/>
        <v>0</v>
      </c>
      <c r="F4" s="77">
        <f t="shared" si="1"/>
        <v>0</v>
      </c>
      <c r="G4" s="77">
        <f t="shared" si="1"/>
        <v>0</v>
      </c>
      <c r="H4" s="77">
        <f t="shared" si="1"/>
        <v>0</v>
      </c>
      <c r="I4" s="77">
        <f t="shared" si="1"/>
        <v>0</v>
      </c>
      <c r="J4" s="77">
        <f t="shared" si="1"/>
        <v>0</v>
      </c>
      <c r="K4" s="77">
        <f t="shared" si="1"/>
        <v>0</v>
      </c>
      <c r="L4" s="77">
        <f t="shared" si="1"/>
        <v>0</v>
      </c>
      <c r="M4" s="77">
        <f t="shared" si="1"/>
        <v>0</v>
      </c>
      <c r="N4" s="77">
        <f t="shared" si="1"/>
        <v>0</v>
      </c>
      <c r="O4" s="77">
        <f t="shared" si="1"/>
        <v>0</v>
      </c>
      <c r="P4" s="77">
        <f t="shared" si="1"/>
        <v>0</v>
      </c>
      <c r="Q4" s="77">
        <f t="shared" si="1"/>
        <v>0</v>
      </c>
      <c r="R4" s="77">
        <f t="shared" si="1"/>
        <v>0</v>
      </c>
      <c r="S4" s="77">
        <f t="shared" si="1"/>
        <v>0</v>
      </c>
      <c r="T4" s="77">
        <f t="shared" si="1"/>
        <v>0</v>
      </c>
      <c r="U4" s="77">
        <f t="shared" si="1"/>
        <v>0</v>
      </c>
      <c r="V4" s="77">
        <f t="shared" si="1"/>
        <v>0</v>
      </c>
      <c r="W4" s="77">
        <f t="shared" si="1"/>
        <v>0</v>
      </c>
      <c r="X4" s="77">
        <f t="shared" si="1"/>
        <v>0</v>
      </c>
      <c r="Y4" s="77">
        <f t="shared" si="1"/>
        <v>0</v>
      </c>
      <c r="Z4" s="77">
        <f t="shared" si="1"/>
        <v>0</v>
      </c>
    </row>
    <row r="5" spans="1:32" ht="24.95" customHeight="1" x14ac:dyDescent="0.3">
      <c r="A5" s="61"/>
      <c r="B5" s="59" t="s">
        <v>11</v>
      </c>
      <c r="C5" s="60">
        <f t="shared" ref="C5:Z5" si="2">C38</f>
        <v>0</v>
      </c>
      <c r="D5" s="60">
        <f t="shared" si="2"/>
        <v>0</v>
      </c>
      <c r="E5" s="60">
        <f t="shared" si="2"/>
        <v>0</v>
      </c>
      <c r="F5" s="60">
        <f t="shared" si="2"/>
        <v>0</v>
      </c>
      <c r="G5" s="60">
        <f t="shared" si="2"/>
        <v>0</v>
      </c>
      <c r="H5" s="60">
        <f t="shared" si="2"/>
        <v>0</v>
      </c>
      <c r="I5" s="60">
        <f t="shared" si="2"/>
        <v>0</v>
      </c>
      <c r="J5" s="60">
        <f t="shared" si="2"/>
        <v>0</v>
      </c>
      <c r="K5" s="60">
        <f t="shared" si="2"/>
        <v>0</v>
      </c>
      <c r="L5" s="60">
        <f t="shared" si="2"/>
        <v>0</v>
      </c>
      <c r="M5" s="60">
        <f t="shared" si="2"/>
        <v>0</v>
      </c>
      <c r="N5" s="60">
        <f t="shared" si="2"/>
        <v>0</v>
      </c>
      <c r="O5" s="60">
        <f t="shared" si="2"/>
        <v>0</v>
      </c>
      <c r="P5" s="60">
        <f t="shared" si="2"/>
        <v>0</v>
      </c>
      <c r="Q5" s="60">
        <f t="shared" si="2"/>
        <v>0</v>
      </c>
      <c r="R5" s="60">
        <f t="shared" si="2"/>
        <v>0</v>
      </c>
      <c r="S5" s="60">
        <f t="shared" si="2"/>
        <v>0</v>
      </c>
      <c r="T5" s="60">
        <f t="shared" si="2"/>
        <v>0</v>
      </c>
      <c r="U5" s="60">
        <f t="shared" si="2"/>
        <v>0</v>
      </c>
      <c r="V5" s="60">
        <f t="shared" si="2"/>
        <v>0</v>
      </c>
      <c r="W5" s="60">
        <f t="shared" si="2"/>
        <v>0</v>
      </c>
      <c r="X5" s="60">
        <f t="shared" si="2"/>
        <v>0</v>
      </c>
      <c r="Y5" s="60">
        <f t="shared" si="2"/>
        <v>0</v>
      </c>
      <c r="Z5" s="60">
        <f t="shared" si="2"/>
        <v>0</v>
      </c>
    </row>
    <row r="6" spans="1:32" ht="24.95" customHeight="1" thickBot="1" x14ac:dyDescent="0.3">
      <c r="A6" s="3"/>
      <c r="B6" s="3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50"/>
      <c r="X6" s="50"/>
      <c r="Y6" s="50"/>
      <c r="Z6" s="50"/>
    </row>
    <row r="7" spans="1:32" s="52" customFormat="1" ht="56.25" thickBot="1" x14ac:dyDescent="0.4">
      <c r="A7" s="88" t="s">
        <v>21</v>
      </c>
      <c r="B7" s="87" t="s">
        <v>12</v>
      </c>
      <c r="C7" s="89" t="str">
        <f t="shared" ref="C7:Z7" si="3">C1</f>
        <v>Litros</v>
      </c>
      <c r="D7" s="66" t="str">
        <f t="shared" si="3"/>
        <v>Mini</v>
      </c>
      <c r="E7" s="66" t="str">
        <f t="shared" si="3"/>
        <v>Tetra</v>
      </c>
      <c r="F7" s="66" t="str">
        <f t="shared" si="3"/>
        <v>Fresco 250g</v>
      </c>
      <c r="G7" s="67" t="str">
        <f t="shared" si="3"/>
        <v>Fresco 500g</v>
      </c>
      <c r="H7" s="67" t="str">
        <f t="shared" si="3"/>
        <v>Fresco 1kg</v>
      </c>
      <c r="I7" s="67" t="str">
        <f t="shared" si="3"/>
        <v>Seco Fino</v>
      </c>
      <c r="J7" s="67" t="str">
        <f t="shared" si="3"/>
        <v>Seco Flocos</v>
      </c>
      <c r="K7" s="67" t="str">
        <f t="shared" si="3"/>
        <v>Marsh 500g</v>
      </c>
      <c r="L7" s="67" t="str">
        <f t="shared" si="3"/>
        <v>Marsh 1kg</v>
      </c>
      <c r="M7" s="67" t="str">
        <f t="shared" si="3"/>
        <v>Massa 1kg</v>
      </c>
      <c r="N7" s="67" t="str">
        <f t="shared" si="3"/>
        <v>Massa 2.2kg</v>
      </c>
      <c r="O7" s="67" t="str">
        <f t="shared" si="3"/>
        <v>Semi-Folhada 2kg</v>
      </c>
      <c r="P7" s="67" t="str">
        <f t="shared" si="3"/>
        <v>Brig PT 1kg</v>
      </c>
      <c r="Q7" s="67" t="str">
        <f t="shared" si="3"/>
        <v>Beij PT 1kg</v>
      </c>
      <c r="R7" s="67" t="str">
        <f t="shared" si="3"/>
        <v>Brig PT 2kg</v>
      </c>
      <c r="S7" s="67" t="str">
        <f t="shared" si="3"/>
        <v>Beij PT 2kg</v>
      </c>
      <c r="T7" s="67" t="str">
        <f t="shared" si="3"/>
        <v>Brig Cl 1kg</v>
      </c>
      <c r="U7" s="67" t="str">
        <f t="shared" si="3"/>
        <v>Beij Cl 1kg</v>
      </c>
      <c r="V7" s="67" t="str">
        <f t="shared" si="3"/>
        <v>Jundmel</v>
      </c>
      <c r="W7" s="67" t="str">
        <f t="shared" si="3"/>
        <v>Pão de Queijo</v>
      </c>
      <c r="X7" s="67" t="str">
        <f t="shared" si="3"/>
        <v>Ovo</v>
      </c>
      <c r="Y7" s="67" t="str">
        <f t="shared" si="3"/>
        <v>Gema</v>
      </c>
      <c r="Z7" s="67" t="str">
        <f t="shared" si="3"/>
        <v>Clara</v>
      </c>
      <c r="AA7" s="68" t="s">
        <v>14</v>
      </c>
      <c r="AB7" s="69" t="s">
        <v>15</v>
      </c>
      <c r="AC7" s="70"/>
      <c r="AD7" s="71"/>
      <c r="AE7" s="71"/>
      <c r="AF7" s="71"/>
    </row>
    <row r="8" spans="1:32" ht="24.95" customHeight="1" x14ac:dyDescent="0.35">
      <c r="A8" s="8" t="s">
        <v>114</v>
      </c>
      <c r="B8" s="94"/>
      <c r="C8" s="73"/>
      <c r="D8" s="7"/>
      <c r="E8" s="7"/>
      <c r="F8" s="6"/>
      <c r="G8" s="7"/>
      <c r="H8" s="7"/>
      <c r="I8" s="7"/>
      <c r="J8" s="6"/>
      <c r="K8" s="7"/>
      <c r="L8" s="6"/>
      <c r="M8" s="7"/>
      <c r="N8" s="7"/>
      <c r="O8" s="7"/>
      <c r="P8" s="6"/>
      <c r="Q8" s="7"/>
      <c r="R8" s="6"/>
      <c r="S8" s="7"/>
      <c r="T8" s="7"/>
      <c r="U8" s="6"/>
      <c r="V8" s="7"/>
      <c r="W8" s="7"/>
      <c r="X8" s="6"/>
      <c r="Y8" s="7"/>
      <c r="Z8" s="6"/>
      <c r="AA8" s="39"/>
      <c r="AB8" s="41"/>
      <c r="AC8" s="14"/>
      <c r="AD8" s="34"/>
      <c r="AE8" s="34"/>
      <c r="AF8" s="34"/>
    </row>
    <row r="9" spans="1:32" ht="24.95" customHeight="1" x14ac:dyDescent="0.35">
      <c r="A9" s="8" t="s">
        <v>119</v>
      </c>
      <c r="B9" s="94"/>
      <c r="C9" s="73"/>
      <c r="D9" s="7"/>
      <c r="E9" s="7"/>
      <c r="F9" s="6"/>
      <c r="G9" s="7"/>
      <c r="H9" s="7"/>
      <c r="I9" s="7"/>
      <c r="J9" s="6"/>
      <c r="K9" s="7"/>
      <c r="L9" s="6"/>
      <c r="M9" s="7"/>
      <c r="N9" s="7"/>
      <c r="O9" s="7"/>
      <c r="P9" s="6"/>
      <c r="Q9" s="7"/>
      <c r="R9" s="6"/>
      <c r="S9" s="7"/>
      <c r="T9" s="7"/>
      <c r="U9" s="6"/>
      <c r="V9" s="7"/>
      <c r="W9" s="7"/>
      <c r="X9" s="6"/>
      <c r="Y9" s="7"/>
      <c r="Z9" s="6"/>
      <c r="AA9" s="74"/>
      <c r="AB9" s="75"/>
      <c r="AC9" s="14"/>
      <c r="AD9" s="34"/>
      <c r="AE9" s="34"/>
      <c r="AF9" s="34"/>
    </row>
    <row r="10" spans="1:32" ht="24.95" customHeight="1" x14ac:dyDescent="0.35">
      <c r="A10" s="8" t="s">
        <v>120</v>
      </c>
      <c r="B10" s="94"/>
      <c r="C10" s="91"/>
      <c r="D10" s="11"/>
      <c r="E10" s="11"/>
      <c r="F10" s="10"/>
      <c r="G10" s="11"/>
      <c r="H10" s="11"/>
      <c r="I10" s="11"/>
      <c r="J10" s="10"/>
      <c r="K10" s="11"/>
      <c r="L10" s="10"/>
      <c r="M10" s="11"/>
      <c r="N10" s="11"/>
      <c r="O10" s="11"/>
      <c r="P10" s="10"/>
      <c r="Q10" s="11"/>
      <c r="R10" s="10"/>
      <c r="S10" s="11"/>
      <c r="T10" s="11"/>
      <c r="U10" s="10"/>
      <c r="V10" s="11"/>
      <c r="W10" s="11"/>
      <c r="X10" s="10"/>
      <c r="Y10" s="11"/>
      <c r="Z10" s="10"/>
      <c r="AA10" s="40"/>
      <c r="AB10" s="42"/>
      <c r="AC10" s="14"/>
      <c r="AD10" s="34"/>
      <c r="AE10" s="34"/>
      <c r="AF10" s="34"/>
    </row>
    <row r="11" spans="1:32" ht="24.95" customHeight="1" x14ac:dyDescent="0.35">
      <c r="A11" s="152" t="s">
        <v>308</v>
      </c>
      <c r="B11" s="94"/>
      <c r="C11" s="91"/>
      <c r="D11" s="11"/>
      <c r="E11" s="11"/>
      <c r="F11" s="10"/>
      <c r="G11" s="11"/>
      <c r="H11" s="11"/>
      <c r="I11" s="11"/>
      <c r="J11" s="10"/>
      <c r="K11" s="11"/>
      <c r="L11" s="10"/>
      <c r="M11" s="11"/>
      <c r="N11" s="11"/>
      <c r="O11" s="11"/>
      <c r="P11" s="10"/>
      <c r="Q11" s="11"/>
      <c r="R11" s="10"/>
      <c r="S11" s="11"/>
      <c r="T11" s="11"/>
      <c r="U11" s="10"/>
      <c r="V11" s="11"/>
      <c r="W11" s="11"/>
      <c r="X11" s="10"/>
      <c r="Y11" s="11"/>
      <c r="Z11" s="10"/>
      <c r="AA11" s="40"/>
      <c r="AB11" s="42"/>
      <c r="AC11" s="14"/>
      <c r="AD11" s="34"/>
      <c r="AE11" s="34"/>
      <c r="AF11" s="34"/>
    </row>
    <row r="12" spans="1:32" ht="24.95" customHeight="1" x14ac:dyDescent="0.35">
      <c r="A12" s="8" t="s">
        <v>121</v>
      </c>
      <c r="B12" s="93"/>
      <c r="C12" s="91"/>
      <c r="D12" s="11"/>
      <c r="E12" s="11"/>
      <c r="F12" s="10"/>
      <c r="G12" s="11"/>
      <c r="H12" s="11"/>
      <c r="I12" s="11"/>
      <c r="J12" s="10"/>
      <c r="K12" s="11"/>
      <c r="L12" s="10"/>
      <c r="M12" s="11"/>
      <c r="N12" s="11"/>
      <c r="O12" s="11"/>
      <c r="P12" s="10"/>
      <c r="Q12" s="11"/>
      <c r="R12" s="10"/>
      <c r="S12" s="11"/>
      <c r="T12" s="11"/>
      <c r="U12" s="10"/>
      <c r="V12" s="11"/>
      <c r="W12" s="11"/>
      <c r="X12" s="10"/>
      <c r="Y12" s="11"/>
      <c r="Z12" s="10"/>
      <c r="AA12" s="40"/>
      <c r="AB12" s="43"/>
      <c r="AC12" s="12"/>
      <c r="AD12" s="35"/>
      <c r="AE12" s="35"/>
      <c r="AF12" s="35"/>
    </row>
    <row r="13" spans="1:32" ht="24.95" customHeight="1" x14ac:dyDescent="0.35">
      <c r="A13" s="8" t="s">
        <v>117</v>
      </c>
      <c r="B13" s="93"/>
      <c r="C13" s="91"/>
      <c r="D13" s="11"/>
      <c r="E13" s="11"/>
      <c r="F13" s="10"/>
      <c r="G13" s="11"/>
      <c r="H13" s="11"/>
      <c r="I13" s="11"/>
      <c r="J13" s="10"/>
      <c r="K13" s="11"/>
      <c r="L13" s="10"/>
      <c r="M13" s="11"/>
      <c r="N13" s="11"/>
      <c r="O13" s="11"/>
      <c r="P13" s="10"/>
      <c r="Q13" s="11"/>
      <c r="R13" s="10"/>
      <c r="S13" s="11"/>
      <c r="T13" s="11"/>
      <c r="U13" s="10"/>
      <c r="V13" s="11"/>
      <c r="W13" s="11"/>
      <c r="X13" s="10"/>
      <c r="Y13" s="11"/>
      <c r="Z13" s="10"/>
      <c r="AA13" s="40"/>
      <c r="AB13" s="43"/>
      <c r="AC13" s="12"/>
      <c r="AD13" s="35"/>
      <c r="AE13" s="35"/>
      <c r="AF13" s="35"/>
    </row>
    <row r="14" spans="1:32" ht="24.95" customHeight="1" x14ac:dyDescent="0.35">
      <c r="A14" s="8"/>
      <c r="B14" s="93"/>
      <c r="C14" s="91"/>
      <c r="D14" s="11"/>
      <c r="E14" s="11"/>
      <c r="F14" s="10"/>
      <c r="G14" s="11"/>
      <c r="H14" s="11"/>
      <c r="I14" s="11"/>
      <c r="J14" s="10"/>
      <c r="K14" s="11"/>
      <c r="L14" s="10"/>
      <c r="M14" s="11"/>
      <c r="N14" s="11"/>
      <c r="O14" s="11"/>
      <c r="P14" s="10"/>
      <c r="Q14" s="11"/>
      <c r="R14" s="10"/>
      <c r="S14" s="11"/>
      <c r="T14" s="11"/>
      <c r="U14" s="10"/>
      <c r="V14" s="11"/>
      <c r="W14" s="11"/>
      <c r="X14" s="10"/>
      <c r="Y14" s="11"/>
      <c r="Z14" s="10"/>
      <c r="AA14" s="40"/>
      <c r="AB14" s="43"/>
      <c r="AC14" s="12"/>
      <c r="AD14" s="35"/>
      <c r="AE14" s="35"/>
      <c r="AF14" s="35"/>
    </row>
    <row r="15" spans="1:32" ht="24.95" customHeight="1" x14ac:dyDescent="0.35">
      <c r="A15" s="8" t="s">
        <v>248</v>
      </c>
      <c r="B15" s="93"/>
      <c r="C15" s="91"/>
      <c r="D15" s="11"/>
      <c r="E15" s="11"/>
      <c r="F15" s="10"/>
      <c r="G15" s="11"/>
      <c r="H15" s="11"/>
      <c r="I15" s="11"/>
      <c r="J15" s="10"/>
      <c r="K15" s="11"/>
      <c r="L15" s="10"/>
      <c r="M15" s="11"/>
      <c r="N15" s="11"/>
      <c r="O15" s="11"/>
      <c r="P15" s="10"/>
      <c r="Q15" s="11"/>
      <c r="R15" s="10"/>
      <c r="S15" s="11"/>
      <c r="T15" s="11"/>
      <c r="U15" s="10"/>
      <c r="V15" s="11"/>
      <c r="W15" s="11"/>
      <c r="X15" s="10"/>
      <c r="Y15" s="11"/>
      <c r="Z15" s="10"/>
      <c r="AA15" s="40"/>
      <c r="AB15" s="43"/>
      <c r="AC15" s="12"/>
      <c r="AD15" s="35"/>
      <c r="AE15" s="35"/>
      <c r="AF15" s="35"/>
    </row>
    <row r="16" spans="1:32" ht="24.95" customHeight="1" x14ac:dyDescent="0.3">
      <c r="A16" s="152" t="s">
        <v>247</v>
      </c>
      <c r="B16" s="93"/>
      <c r="C16" s="91"/>
      <c r="D16" s="11"/>
      <c r="E16" s="11"/>
      <c r="F16" s="10"/>
      <c r="G16" s="11"/>
      <c r="H16" s="11"/>
      <c r="I16" s="11"/>
      <c r="J16" s="10"/>
      <c r="K16" s="11"/>
      <c r="L16" s="10"/>
      <c r="M16" s="11"/>
      <c r="N16" s="11"/>
      <c r="O16" s="11"/>
      <c r="P16" s="10"/>
      <c r="Q16" s="11"/>
      <c r="R16" s="10"/>
      <c r="S16" s="11"/>
      <c r="T16" s="11"/>
      <c r="U16" s="10"/>
      <c r="V16" s="11"/>
      <c r="W16" s="11"/>
      <c r="X16" s="10"/>
      <c r="Y16" s="11"/>
      <c r="Z16" s="10"/>
      <c r="AA16" s="40"/>
      <c r="AB16" s="45"/>
    </row>
    <row r="17" spans="1:32" ht="24.95" customHeight="1" x14ac:dyDescent="0.3">
      <c r="A17" s="152" t="s">
        <v>280</v>
      </c>
      <c r="B17" s="93"/>
      <c r="C17" s="91"/>
      <c r="D17" s="11"/>
      <c r="E17" s="11"/>
      <c r="F17" s="10"/>
      <c r="G17" s="11"/>
      <c r="H17" s="11"/>
      <c r="I17" s="11"/>
      <c r="J17" s="10"/>
      <c r="K17" s="11"/>
      <c r="L17" s="10"/>
      <c r="M17" s="11"/>
      <c r="N17" s="11"/>
      <c r="O17" s="11"/>
      <c r="P17" s="10"/>
      <c r="Q17" s="11"/>
      <c r="R17" s="10"/>
      <c r="S17" s="11"/>
      <c r="T17" s="11"/>
      <c r="U17" s="10"/>
      <c r="V17" s="11"/>
      <c r="W17" s="11"/>
      <c r="X17" s="10"/>
      <c r="Y17" s="11"/>
      <c r="Z17" s="10"/>
      <c r="AA17" s="40"/>
      <c r="AB17" s="45"/>
    </row>
    <row r="18" spans="1:32" ht="24.95" customHeight="1" x14ac:dyDescent="0.3">
      <c r="A18" s="8" t="s">
        <v>118</v>
      </c>
      <c r="B18" s="93"/>
      <c r="C18" s="91"/>
      <c r="D18" s="11"/>
      <c r="E18" s="11"/>
      <c r="F18" s="10"/>
      <c r="G18" s="11"/>
      <c r="H18" s="11"/>
      <c r="I18" s="11"/>
      <c r="J18" s="10"/>
      <c r="K18" s="11"/>
      <c r="L18" s="10"/>
      <c r="M18" s="11"/>
      <c r="N18" s="11"/>
      <c r="O18" s="11"/>
      <c r="P18" s="10"/>
      <c r="Q18" s="11"/>
      <c r="R18" s="10"/>
      <c r="S18" s="11"/>
      <c r="T18" s="11"/>
      <c r="U18" s="10"/>
      <c r="V18" s="11"/>
      <c r="W18" s="11"/>
      <c r="X18" s="10"/>
      <c r="Y18" s="11"/>
      <c r="Z18" s="10"/>
      <c r="AA18" s="40"/>
      <c r="AB18" s="45"/>
    </row>
    <row r="19" spans="1:32" ht="24.95" customHeight="1" x14ac:dyDescent="0.35">
      <c r="A19" s="8" t="s">
        <v>115</v>
      </c>
      <c r="B19" s="93"/>
      <c r="C19" s="91"/>
      <c r="D19" s="11"/>
      <c r="E19" s="11"/>
      <c r="F19" s="10"/>
      <c r="G19" s="11"/>
      <c r="H19" s="11"/>
      <c r="I19" s="11"/>
      <c r="J19" s="10"/>
      <c r="K19" s="11"/>
      <c r="L19" s="10"/>
      <c r="M19" s="11"/>
      <c r="N19" s="11"/>
      <c r="O19" s="11"/>
      <c r="P19" s="10"/>
      <c r="Q19" s="11"/>
      <c r="R19" s="10"/>
      <c r="S19" s="11"/>
      <c r="T19" s="11"/>
      <c r="U19" s="10"/>
      <c r="V19" s="11"/>
      <c r="W19" s="11"/>
      <c r="X19" s="10"/>
      <c r="Y19" s="11"/>
      <c r="Z19" s="10"/>
      <c r="AA19" s="40"/>
      <c r="AB19" s="42"/>
      <c r="AC19" s="15"/>
      <c r="AD19" s="34"/>
      <c r="AE19" s="34"/>
      <c r="AF19" s="34"/>
    </row>
    <row r="20" spans="1:32" ht="24.95" customHeight="1" x14ac:dyDescent="0.35">
      <c r="A20" s="8" t="s">
        <v>203</v>
      </c>
      <c r="B20" s="93"/>
      <c r="C20" s="91"/>
      <c r="D20" s="11"/>
      <c r="E20" s="11"/>
      <c r="F20" s="10"/>
      <c r="G20" s="11"/>
      <c r="H20" s="11"/>
      <c r="I20" s="11"/>
      <c r="J20" s="10"/>
      <c r="K20" s="11"/>
      <c r="L20" s="10"/>
      <c r="M20" s="11"/>
      <c r="N20" s="11"/>
      <c r="O20" s="11"/>
      <c r="P20" s="10"/>
      <c r="Q20" s="11"/>
      <c r="R20" s="10"/>
      <c r="S20" s="11"/>
      <c r="T20" s="11"/>
      <c r="U20" s="10"/>
      <c r="V20" s="11"/>
      <c r="W20" s="11"/>
      <c r="X20" s="10"/>
      <c r="Y20" s="11"/>
      <c r="Z20" s="10"/>
      <c r="AA20" s="40"/>
      <c r="AB20" s="42"/>
      <c r="AC20" s="15"/>
      <c r="AD20" s="34"/>
      <c r="AE20" s="34"/>
      <c r="AF20" s="34"/>
    </row>
    <row r="21" spans="1:32" ht="24.95" customHeight="1" x14ac:dyDescent="0.35">
      <c r="A21" s="8" t="s">
        <v>123</v>
      </c>
      <c r="B21" s="93"/>
      <c r="C21" s="91"/>
      <c r="D21" s="11"/>
      <c r="E21" s="11"/>
      <c r="F21" s="10"/>
      <c r="G21" s="11"/>
      <c r="H21" s="11"/>
      <c r="I21" s="11"/>
      <c r="J21" s="10"/>
      <c r="K21" s="11"/>
      <c r="L21" s="10"/>
      <c r="M21" s="11"/>
      <c r="N21" s="11"/>
      <c r="O21" s="11"/>
      <c r="P21" s="10"/>
      <c r="Q21" s="11"/>
      <c r="R21" s="10"/>
      <c r="S21" s="11"/>
      <c r="T21" s="11"/>
      <c r="U21" s="10"/>
      <c r="V21" s="11"/>
      <c r="W21" s="11"/>
      <c r="X21" s="10"/>
      <c r="Y21" s="11"/>
      <c r="Z21" s="10"/>
      <c r="AA21" s="40"/>
      <c r="AB21" s="42"/>
      <c r="AC21" s="15"/>
      <c r="AD21" s="34"/>
      <c r="AE21" s="34"/>
      <c r="AF21" s="34"/>
    </row>
    <row r="22" spans="1:32" ht="24.95" customHeight="1" x14ac:dyDescent="0.35">
      <c r="A22" s="8" t="s">
        <v>302</v>
      </c>
      <c r="B22" s="93"/>
      <c r="C22" s="91"/>
      <c r="D22" s="11"/>
      <c r="E22" s="11"/>
      <c r="F22" s="10"/>
      <c r="G22" s="11"/>
      <c r="H22" s="11"/>
      <c r="I22" s="11"/>
      <c r="J22" s="10"/>
      <c r="K22" s="11"/>
      <c r="L22" s="10"/>
      <c r="M22" s="11"/>
      <c r="N22" s="11"/>
      <c r="O22" s="11"/>
      <c r="P22" s="10"/>
      <c r="Q22" s="11"/>
      <c r="R22" s="10"/>
      <c r="S22" s="11"/>
      <c r="T22" s="11"/>
      <c r="U22" s="10"/>
      <c r="V22" s="11"/>
      <c r="W22" s="11"/>
      <c r="X22" s="10"/>
      <c r="Y22" s="11"/>
      <c r="Z22" s="10"/>
      <c r="AA22" s="40"/>
      <c r="AB22" s="42"/>
      <c r="AC22" s="15"/>
      <c r="AD22" s="34"/>
      <c r="AE22" s="34"/>
      <c r="AF22" s="34"/>
    </row>
    <row r="23" spans="1:32" ht="24.95" customHeight="1" x14ac:dyDescent="0.35">
      <c r="A23" s="8" t="s">
        <v>168</v>
      </c>
      <c r="B23" s="93"/>
      <c r="C23" s="91"/>
      <c r="D23" s="11"/>
      <c r="E23" s="11"/>
      <c r="F23" s="10"/>
      <c r="G23" s="11"/>
      <c r="H23" s="11"/>
      <c r="I23" s="11"/>
      <c r="J23" s="10"/>
      <c r="K23" s="11"/>
      <c r="L23" s="10"/>
      <c r="M23" s="11"/>
      <c r="N23" s="11"/>
      <c r="O23" s="11"/>
      <c r="P23" s="10"/>
      <c r="Q23" s="11"/>
      <c r="R23" s="10"/>
      <c r="S23" s="11"/>
      <c r="T23" s="11"/>
      <c r="U23" s="10"/>
      <c r="V23" s="11"/>
      <c r="W23" s="11"/>
      <c r="X23" s="10"/>
      <c r="Y23" s="11"/>
      <c r="Z23" s="10"/>
      <c r="AA23" s="40"/>
      <c r="AB23" s="42"/>
      <c r="AC23" s="15"/>
      <c r="AD23" s="34"/>
      <c r="AE23" s="34"/>
      <c r="AF23" s="34"/>
    </row>
    <row r="24" spans="1:32" ht="24.95" customHeight="1" x14ac:dyDescent="0.35">
      <c r="A24" s="8" t="s">
        <v>169</v>
      </c>
      <c r="B24" s="93"/>
      <c r="C24" s="91"/>
      <c r="D24" s="11"/>
      <c r="E24" s="11"/>
      <c r="F24" s="10"/>
      <c r="G24" s="11"/>
      <c r="H24" s="11"/>
      <c r="I24" s="11"/>
      <c r="J24" s="10"/>
      <c r="K24" s="11"/>
      <c r="L24" s="10"/>
      <c r="M24" s="11"/>
      <c r="N24" s="11"/>
      <c r="O24" s="11"/>
      <c r="P24" s="10"/>
      <c r="Q24" s="11"/>
      <c r="R24" s="10"/>
      <c r="S24" s="11"/>
      <c r="T24" s="11"/>
      <c r="U24" s="10"/>
      <c r="V24" s="11"/>
      <c r="W24" s="11"/>
      <c r="X24" s="10"/>
      <c r="Y24" s="11"/>
      <c r="Z24" s="10"/>
      <c r="AA24" s="40"/>
      <c r="AB24" s="42"/>
      <c r="AC24" s="15"/>
      <c r="AD24" s="34"/>
      <c r="AE24" s="34"/>
      <c r="AF24" s="34"/>
    </row>
    <row r="25" spans="1:32" ht="24.95" customHeight="1" x14ac:dyDescent="0.35">
      <c r="A25" s="8" t="s">
        <v>300</v>
      </c>
      <c r="B25" s="93"/>
      <c r="C25" s="91"/>
      <c r="D25" s="11"/>
      <c r="E25" s="11"/>
      <c r="F25" s="10"/>
      <c r="G25" s="11"/>
      <c r="H25" s="11"/>
      <c r="I25" s="11"/>
      <c r="J25" s="10"/>
      <c r="K25" s="11"/>
      <c r="L25" s="10"/>
      <c r="M25" s="11"/>
      <c r="N25" s="11"/>
      <c r="O25" s="11"/>
      <c r="P25" s="10"/>
      <c r="Q25" s="11"/>
      <c r="R25" s="10"/>
      <c r="S25" s="11"/>
      <c r="T25" s="11"/>
      <c r="U25" s="10"/>
      <c r="V25" s="11"/>
      <c r="W25" s="11"/>
      <c r="X25" s="10"/>
      <c r="Y25" s="11"/>
      <c r="Z25" s="10"/>
      <c r="AA25" s="40"/>
      <c r="AB25" s="42"/>
      <c r="AC25" s="15"/>
      <c r="AD25" s="34"/>
      <c r="AE25" s="34"/>
      <c r="AF25" s="34"/>
    </row>
    <row r="26" spans="1:32" ht="24.95" customHeight="1" x14ac:dyDescent="0.35">
      <c r="A26" s="152" t="s">
        <v>307</v>
      </c>
      <c r="B26" s="93"/>
      <c r="C26" s="91"/>
      <c r="D26" s="11"/>
      <c r="E26" s="11"/>
      <c r="F26" s="10"/>
      <c r="G26" s="11"/>
      <c r="H26" s="11"/>
      <c r="I26" s="11"/>
      <c r="J26" s="10"/>
      <c r="K26" s="11"/>
      <c r="L26" s="10"/>
      <c r="M26" s="11"/>
      <c r="N26" s="11"/>
      <c r="O26" s="11"/>
      <c r="P26" s="10"/>
      <c r="Q26" s="11"/>
      <c r="R26" s="10"/>
      <c r="S26" s="11"/>
      <c r="T26" s="11"/>
      <c r="U26" s="10"/>
      <c r="V26" s="11"/>
      <c r="W26" s="11"/>
      <c r="X26" s="10"/>
      <c r="Y26" s="11"/>
      <c r="Z26" s="10"/>
      <c r="AA26" s="40"/>
      <c r="AB26" s="42"/>
      <c r="AC26" s="15"/>
      <c r="AD26" s="34"/>
      <c r="AE26" s="34"/>
      <c r="AF26" s="34"/>
    </row>
    <row r="27" spans="1:32" ht="24.95" customHeight="1" x14ac:dyDescent="0.35">
      <c r="A27" s="152" t="s">
        <v>306</v>
      </c>
      <c r="B27" s="93"/>
      <c r="C27" s="91"/>
      <c r="D27" s="11"/>
      <c r="E27" s="11"/>
      <c r="F27" s="10"/>
      <c r="G27" s="11"/>
      <c r="H27" s="11"/>
      <c r="I27" s="11"/>
      <c r="J27" s="10"/>
      <c r="K27" s="11"/>
      <c r="L27" s="10"/>
      <c r="M27" s="11"/>
      <c r="N27" s="11"/>
      <c r="O27" s="11"/>
      <c r="P27" s="10"/>
      <c r="Q27" s="11"/>
      <c r="R27" s="10"/>
      <c r="S27" s="11"/>
      <c r="T27" s="11"/>
      <c r="U27" s="10"/>
      <c r="V27" s="11"/>
      <c r="W27" s="11"/>
      <c r="X27" s="10"/>
      <c r="Y27" s="11"/>
      <c r="Z27" s="10"/>
      <c r="AA27" s="40"/>
      <c r="AB27" s="42"/>
      <c r="AC27" s="15"/>
      <c r="AD27" s="34"/>
      <c r="AE27" s="34"/>
      <c r="AF27" s="34"/>
    </row>
    <row r="28" spans="1:32" ht="24.95" customHeight="1" x14ac:dyDescent="0.35">
      <c r="A28" s="5"/>
      <c r="B28" s="93"/>
      <c r="C28" s="91"/>
      <c r="D28" s="11"/>
      <c r="E28" s="11"/>
      <c r="F28" s="10"/>
      <c r="G28" s="11"/>
      <c r="H28" s="11"/>
      <c r="I28" s="11"/>
      <c r="J28" s="10"/>
      <c r="K28" s="11"/>
      <c r="L28" s="10"/>
      <c r="M28" s="11"/>
      <c r="N28" s="11"/>
      <c r="O28" s="11"/>
      <c r="P28" s="10"/>
      <c r="Q28" s="11"/>
      <c r="R28" s="10"/>
      <c r="S28" s="11"/>
      <c r="T28" s="11"/>
      <c r="U28" s="10"/>
      <c r="V28" s="11"/>
      <c r="W28" s="11"/>
      <c r="X28" s="10"/>
      <c r="Y28" s="11"/>
      <c r="Z28" s="10"/>
      <c r="AA28" s="40"/>
      <c r="AB28" s="42"/>
      <c r="AC28" s="15"/>
      <c r="AD28" s="34"/>
      <c r="AE28" s="34"/>
      <c r="AF28" s="34"/>
    </row>
    <row r="29" spans="1:32" ht="24.95" customHeight="1" x14ac:dyDescent="0.35">
      <c r="A29" s="8" t="s">
        <v>301</v>
      </c>
      <c r="B29" s="93"/>
      <c r="C29" s="91"/>
      <c r="D29" s="11"/>
      <c r="E29" s="11"/>
      <c r="F29" s="10"/>
      <c r="G29" s="11"/>
      <c r="H29" s="11"/>
      <c r="I29" s="11"/>
      <c r="J29" s="10"/>
      <c r="K29" s="11"/>
      <c r="L29" s="10"/>
      <c r="M29" s="11"/>
      <c r="N29" s="11"/>
      <c r="O29" s="11"/>
      <c r="P29" s="10"/>
      <c r="Q29" s="11"/>
      <c r="R29" s="10"/>
      <c r="S29" s="11"/>
      <c r="T29" s="11"/>
      <c r="U29" s="10"/>
      <c r="V29" s="11"/>
      <c r="W29" s="11"/>
      <c r="X29" s="10"/>
      <c r="Y29" s="11"/>
      <c r="Z29" s="10"/>
      <c r="AA29" s="40"/>
      <c r="AB29" s="42"/>
      <c r="AC29" s="15"/>
      <c r="AD29" s="34"/>
      <c r="AE29" s="34"/>
      <c r="AF29" s="34"/>
    </row>
    <row r="30" spans="1:32" ht="24.95" customHeight="1" x14ac:dyDescent="0.35">
      <c r="A30" s="5"/>
      <c r="B30" s="93"/>
      <c r="C30" s="91"/>
      <c r="D30" s="11"/>
      <c r="E30" s="11"/>
      <c r="F30" s="10"/>
      <c r="G30" s="11"/>
      <c r="H30" s="11"/>
      <c r="I30" s="11"/>
      <c r="J30" s="10"/>
      <c r="K30" s="11"/>
      <c r="L30" s="10"/>
      <c r="M30" s="11"/>
      <c r="N30" s="11"/>
      <c r="O30" s="11"/>
      <c r="P30" s="10"/>
      <c r="Q30" s="11"/>
      <c r="R30" s="10"/>
      <c r="S30" s="11"/>
      <c r="T30" s="11"/>
      <c r="U30" s="10"/>
      <c r="V30" s="11"/>
      <c r="W30" s="11"/>
      <c r="X30" s="10"/>
      <c r="Y30" s="11"/>
      <c r="Z30" s="10"/>
      <c r="AA30" s="40"/>
      <c r="AB30" s="42"/>
      <c r="AC30" s="15"/>
      <c r="AD30" s="34"/>
      <c r="AE30" s="34"/>
      <c r="AF30" s="34"/>
    </row>
    <row r="31" spans="1:32" ht="24.95" customHeight="1" x14ac:dyDescent="0.35">
      <c r="A31" s="5" t="s">
        <v>122</v>
      </c>
      <c r="B31" s="93"/>
      <c r="C31" s="91"/>
      <c r="D31" s="11"/>
      <c r="E31" s="11"/>
      <c r="F31" s="10"/>
      <c r="G31" s="11"/>
      <c r="H31" s="11"/>
      <c r="I31" s="11"/>
      <c r="J31" s="10"/>
      <c r="K31" s="11"/>
      <c r="L31" s="10"/>
      <c r="M31" s="11"/>
      <c r="N31" s="11"/>
      <c r="O31" s="11"/>
      <c r="P31" s="10"/>
      <c r="Q31" s="11"/>
      <c r="R31" s="10"/>
      <c r="S31" s="11"/>
      <c r="T31" s="11"/>
      <c r="U31" s="10"/>
      <c r="V31" s="11"/>
      <c r="W31" s="11"/>
      <c r="X31" s="10"/>
      <c r="Y31" s="11"/>
      <c r="Z31" s="10"/>
      <c r="AA31" s="40"/>
      <c r="AB31" s="42"/>
      <c r="AC31" s="15"/>
      <c r="AD31" s="34"/>
      <c r="AE31" s="34"/>
      <c r="AF31" s="34"/>
    </row>
    <row r="32" spans="1:32" ht="24.95" customHeight="1" x14ac:dyDescent="0.35">
      <c r="A32" s="5" t="s">
        <v>116</v>
      </c>
      <c r="B32" s="93"/>
      <c r="C32" s="91"/>
      <c r="D32" s="11"/>
      <c r="E32" s="11"/>
      <c r="F32" s="10"/>
      <c r="G32" s="11"/>
      <c r="H32" s="11"/>
      <c r="I32" s="11"/>
      <c r="J32" s="10"/>
      <c r="K32" s="11"/>
      <c r="L32" s="10"/>
      <c r="M32" s="11"/>
      <c r="N32" s="11"/>
      <c r="O32" s="11"/>
      <c r="P32" s="10"/>
      <c r="Q32" s="11"/>
      <c r="R32" s="10"/>
      <c r="S32" s="11"/>
      <c r="T32" s="11"/>
      <c r="U32" s="10"/>
      <c r="V32" s="11"/>
      <c r="W32" s="11"/>
      <c r="X32" s="10"/>
      <c r="Y32" s="11"/>
      <c r="Z32" s="10"/>
      <c r="AA32" s="40"/>
      <c r="AB32" s="42"/>
      <c r="AC32" s="15"/>
      <c r="AD32" s="34"/>
      <c r="AE32" s="34"/>
      <c r="AF32" s="34"/>
    </row>
    <row r="33" spans="1:32" ht="24.95" customHeight="1" x14ac:dyDescent="0.35">
      <c r="A33" s="5"/>
      <c r="B33" s="93"/>
      <c r="C33" s="91"/>
      <c r="D33" s="11"/>
      <c r="E33" s="11"/>
      <c r="F33" s="10"/>
      <c r="G33" s="11"/>
      <c r="H33" s="11"/>
      <c r="I33" s="11"/>
      <c r="J33" s="10"/>
      <c r="K33" s="11"/>
      <c r="L33" s="10"/>
      <c r="M33" s="11"/>
      <c r="N33" s="11"/>
      <c r="O33" s="11"/>
      <c r="P33" s="10"/>
      <c r="Q33" s="11"/>
      <c r="R33" s="10"/>
      <c r="S33" s="11"/>
      <c r="T33" s="11"/>
      <c r="U33" s="10"/>
      <c r="V33" s="11"/>
      <c r="W33" s="11"/>
      <c r="X33" s="10"/>
      <c r="Y33" s="11"/>
      <c r="Z33" s="10"/>
      <c r="AA33" s="40"/>
      <c r="AB33" s="42"/>
      <c r="AC33" s="15"/>
      <c r="AD33" s="34"/>
      <c r="AE33" s="34"/>
      <c r="AF33" s="34"/>
    </row>
    <row r="34" spans="1:32" ht="24.95" customHeight="1" x14ac:dyDescent="0.35">
      <c r="A34" s="5" t="s">
        <v>202</v>
      </c>
      <c r="B34" s="93"/>
      <c r="C34" s="91"/>
      <c r="D34" s="11"/>
      <c r="E34" s="11"/>
      <c r="F34" s="10"/>
      <c r="G34" s="11"/>
      <c r="H34" s="11"/>
      <c r="I34" s="11"/>
      <c r="J34" s="10"/>
      <c r="K34" s="11"/>
      <c r="L34" s="10"/>
      <c r="M34" s="11"/>
      <c r="N34" s="11"/>
      <c r="O34" s="11"/>
      <c r="P34" s="10"/>
      <c r="Q34" s="11"/>
      <c r="R34" s="10"/>
      <c r="S34" s="11"/>
      <c r="T34" s="11"/>
      <c r="U34" s="10"/>
      <c r="V34" s="11"/>
      <c r="W34" s="11"/>
      <c r="X34" s="10"/>
      <c r="Y34" s="11"/>
      <c r="Z34" s="10"/>
      <c r="AA34" s="40"/>
      <c r="AB34" s="42"/>
      <c r="AC34" s="15"/>
      <c r="AD34" s="34"/>
      <c r="AE34" s="34"/>
      <c r="AF34" s="34"/>
    </row>
    <row r="35" spans="1:32" ht="24.95" customHeight="1" x14ac:dyDescent="0.35">
      <c r="A35" s="5" t="s">
        <v>199</v>
      </c>
      <c r="B35" s="93"/>
      <c r="C35" s="91"/>
      <c r="D35" s="11"/>
      <c r="E35" s="11"/>
      <c r="F35" s="10"/>
      <c r="G35" s="11"/>
      <c r="H35" s="11"/>
      <c r="I35" s="11"/>
      <c r="J35" s="10"/>
      <c r="K35" s="11"/>
      <c r="L35" s="10"/>
      <c r="M35" s="11"/>
      <c r="N35" s="11"/>
      <c r="O35" s="11"/>
      <c r="P35" s="10"/>
      <c r="Q35" s="11"/>
      <c r="R35" s="10"/>
      <c r="S35" s="11"/>
      <c r="T35" s="11"/>
      <c r="U35" s="10"/>
      <c r="V35" s="11"/>
      <c r="W35" s="11"/>
      <c r="X35" s="10"/>
      <c r="Y35" s="11"/>
      <c r="Z35" s="10"/>
      <c r="AA35" s="40"/>
      <c r="AB35" s="42"/>
      <c r="AC35" s="15"/>
      <c r="AD35" s="34"/>
      <c r="AE35" s="34"/>
      <c r="AF35" s="34"/>
    </row>
    <row r="36" spans="1:32" ht="24.95" customHeight="1" x14ac:dyDescent="0.35">
      <c r="A36" s="5" t="s">
        <v>200</v>
      </c>
      <c r="B36" s="93"/>
      <c r="C36" s="91"/>
      <c r="D36" s="11"/>
      <c r="E36" s="11"/>
      <c r="F36" s="10"/>
      <c r="G36" s="11"/>
      <c r="H36" s="11"/>
      <c r="I36" s="11"/>
      <c r="J36" s="10"/>
      <c r="K36" s="11"/>
      <c r="L36" s="10"/>
      <c r="M36" s="11"/>
      <c r="N36" s="11"/>
      <c r="O36" s="11"/>
      <c r="P36" s="10"/>
      <c r="Q36" s="11"/>
      <c r="R36" s="10"/>
      <c r="S36" s="11"/>
      <c r="T36" s="11"/>
      <c r="U36" s="10"/>
      <c r="V36" s="11"/>
      <c r="W36" s="11"/>
      <c r="X36" s="10"/>
      <c r="Y36" s="11"/>
      <c r="Z36" s="10"/>
      <c r="AA36" s="40"/>
      <c r="AB36" s="42"/>
      <c r="AC36" s="15"/>
      <c r="AD36" s="34"/>
      <c r="AE36" s="34"/>
      <c r="AF36" s="34"/>
    </row>
    <row r="37" spans="1:32" ht="24.95" customHeight="1" thickBot="1" x14ac:dyDescent="0.35">
      <c r="A37" s="5" t="s">
        <v>201</v>
      </c>
      <c r="B37" s="93"/>
      <c r="C37" s="91"/>
      <c r="D37" s="11"/>
      <c r="E37" s="11"/>
      <c r="F37" s="10"/>
      <c r="G37" s="11"/>
      <c r="H37" s="11"/>
      <c r="I37" s="11"/>
      <c r="J37" s="10"/>
      <c r="K37" s="11"/>
      <c r="L37" s="10"/>
      <c r="M37" s="11"/>
      <c r="N37" s="11"/>
      <c r="O37" s="11"/>
      <c r="P37" s="10"/>
      <c r="Q37" s="11"/>
      <c r="R37" s="10"/>
      <c r="S37" s="11"/>
      <c r="T37" s="11"/>
      <c r="U37" s="10"/>
      <c r="V37" s="11"/>
      <c r="W37" s="11"/>
      <c r="X37" s="10"/>
      <c r="Y37" s="11"/>
      <c r="Z37" s="10"/>
      <c r="AA37" s="40"/>
      <c r="AB37" s="48"/>
      <c r="AC37" s="38"/>
      <c r="AD37" s="38"/>
      <c r="AE37" s="38"/>
      <c r="AF37" s="38"/>
    </row>
    <row r="38" spans="1:32" ht="24.95" customHeight="1" thickBot="1" x14ac:dyDescent="0.35">
      <c r="A38" s="182" t="s">
        <v>13</v>
      </c>
      <c r="B38" s="183"/>
      <c r="C38" s="18">
        <f t="shared" ref="C38:Z38" si="4">SUM(C8:C37)</f>
        <v>0</v>
      </c>
      <c r="D38" s="19">
        <f t="shared" si="4"/>
        <v>0</v>
      </c>
      <c r="E38" s="19">
        <f t="shared" si="4"/>
        <v>0</v>
      </c>
      <c r="F38" s="19">
        <f t="shared" si="4"/>
        <v>0</v>
      </c>
      <c r="G38" s="19">
        <f t="shared" si="4"/>
        <v>0</v>
      </c>
      <c r="H38" s="19">
        <f t="shared" si="4"/>
        <v>0</v>
      </c>
      <c r="I38" s="19">
        <f t="shared" si="4"/>
        <v>0</v>
      </c>
      <c r="J38" s="19">
        <f t="shared" si="4"/>
        <v>0</v>
      </c>
      <c r="K38" s="19">
        <f t="shared" si="4"/>
        <v>0</v>
      </c>
      <c r="L38" s="19">
        <f t="shared" si="4"/>
        <v>0</v>
      </c>
      <c r="M38" s="19">
        <f t="shared" si="4"/>
        <v>0</v>
      </c>
      <c r="N38" s="19">
        <f t="shared" si="4"/>
        <v>0</v>
      </c>
      <c r="O38" s="19">
        <f t="shared" si="4"/>
        <v>0</v>
      </c>
      <c r="P38" s="19">
        <f t="shared" si="4"/>
        <v>0</v>
      </c>
      <c r="Q38" s="19">
        <f t="shared" si="4"/>
        <v>0</v>
      </c>
      <c r="R38" s="19">
        <f t="shared" si="4"/>
        <v>0</v>
      </c>
      <c r="S38" s="19">
        <f t="shared" si="4"/>
        <v>0</v>
      </c>
      <c r="T38" s="19">
        <f t="shared" si="4"/>
        <v>0</v>
      </c>
      <c r="U38" s="19">
        <f t="shared" si="4"/>
        <v>0</v>
      </c>
      <c r="V38" s="19">
        <f t="shared" si="4"/>
        <v>0</v>
      </c>
      <c r="W38" s="19">
        <f t="shared" si="4"/>
        <v>0</v>
      </c>
      <c r="X38" s="19">
        <f t="shared" si="4"/>
        <v>0</v>
      </c>
      <c r="Y38" s="20">
        <f t="shared" si="4"/>
        <v>0</v>
      </c>
      <c r="Z38" s="20">
        <f t="shared" si="4"/>
        <v>0</v>
      </c>
    </row>
    <row r="39" spans="1:32" s="23" customFormat="1" ht="24.95" customHeight="1" x14ac:dyDescent="0.25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</row>
    <row r="40" spans="1:32" s="23" customFormat="1" ht="24.95" customHeight="1" x14ac:dyDescent="0.25">
      <c r="H40" s="24"/>
      <c r="I40" s="24"/>
      <c r="J40" s="24"/>
      <c r="K40" s="25"/>
      <c r="L40" s="26"/>
      <c r="M40" s="27"/>
      <c r="P40" s="24"/>
      <c r="Q40" s="24"/>
      <c r="R40" s="24"/>
      <c r="S40" s="24"/>
      <c r="T40" s="24"/>
      <c r="U40" s="24"/>
      <c r="V40" s="28"/>
      <c r="W40" s="24"/>
      <c r="X40" s="24"/>
      <c r="Y40" s="28"/>
      <c r="Z40" s="24"/>
    </row>
    <row r="41" spans="1:32" s="23" customFormat="1" ht="24.95" customHeight="1" x14ac:dyDescent="0.25">
      <c r="H41" s="24"/>
      <c r="K41" s="25"/>
      <c r="L41" s="26"/>
      <c r="M41" s="27"/>
      <c r="P41" s="24"/>
      <c r="S41" s="24"/>
      <c r="V41" s="28"/>
      <c r="Y41" s="28"/>
    </row>
    <row r="42" spans="1:32" s="23" customFormat="1" ht="24.95" customHeight="1" x14ac:dyDescent="0.25">
      <c r="H42" s="24"/>
      <c r="I42" s="24"/>
      <c r="J42" s="24"/>
      <c r="K42" s="29"/>
      <c r="L42" s="30"/>
      <c r="M42" s="29"/>
      <c r="P42" s="24"/>
      <c r="Q42" s="24"/>
      <c r="R42" s="24"/>
      <c r="S42" s="24"/>
      <c r="T42" s="24"/>
      <c r="U42" s="24"/>
      <c r="V42" s="16"/>
      <c r="W42" s="24"/>
      <c r="X42" s="24"/>
      <c r="Y42" s="16"/>
      <c r="Z42" s="24"/>
    </row>
    <row r="43" spans="1:32" s="23" customFormat="1" ht="23.1" customHeight="1" x14ac:dyDescent="0.25">
      <c r="E43" s="16"/>
      <c r="F43" s="16"/>
      <c r="G43" s="16"/>
      <c r="H43" s="24"/>
      <c r="I43" s="16"/>
      <c r="J43" s="16"/>
      <c r="K43" s="31"/>
      <c r="L43" s="31"/>
      <c r="M43" s="31"/>
      <c r="N43" s="16"/>
      <c r="O43" s="16"/>
      <c r="P43" s="24"/>
      <c r="Q43" s="16"/>
      <c r="R43" s="16"/>
      <c r="S43" s="24"/>
      <c r="T43" s="16"/>
      <c r="U43" s="16"/>
      <c r="V43" s="32"/>
      <c r="W43" s="16"/>
      <c r="X43" s="16"/>
      <c r="Y43" s="32"/>
      <c r="Z43" s="16"/>
    </row>
    <row r="44" spans="1:32" ht="23.1" customHeight="1" x14ac:dyDescent="0.2">
      <c r="A44" s="23"/>
      <c r="B44" s="23"/>
      <c r="C44" s="23"/>
      <c r="D44" s="23"/>
      <c r="E44" s="23"/>
      <c r="F44" s="23"/>
      <c r="G44" s="23"/>
      <c r="H44" s="16"/>
      <c r="I44" s="23"/>
      <c r="J44" s="23"/>
      <c r="K44" s="16"/>
      <c r="L44" s="16"/>
      <c r="M44" s="16"/>
      <c r="N44" s="23"/>
      <c r="O44" s="23"/>
      <c r="P44" s="16"/>
      <c r="Q44" s="23"/>
      <c r="R44" s="23"/>
      <c r="S44" s="16"/>
      <c r="T44" s="23"/>
      <c r="U44" s="23"/>
      <c r="V44" s="16"/>
      <c r="W44" s="23"/>
      <c r="X44" s="23"/>
      <c r="Y44" s="16"/>
      <c r="Z44" s="23"/>
      <c r="AA44" s="23"/>
      <c r="AB44" s="23"/>
      <c r="AC44" s="23"/>
      <c r="AD44" s="23"/>
      <c r="AE44" s="23"/>
      <c r="AF44" s="23"/>
    </row>
    <row r="45" spans="1:32" ht="23.1" customHeight="1" x14ac:dyDescent="0.2">
      <c r="I45" s="33"/>
      <c r="J45" s="33"/>
      <c r="K45" s="33"/>
      <c r="L45" s="33"/>
      <c r="M45" s="33"/>
      <c r="N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32" ht="23.1" customHeight="1" x14ac:dyDescent="0.2">
      <c r="A46" s="33"/>
      <c r="B46" s="33"/>
      <c r="C46" s="33"/>
      <c r="D46" s="33"/>
      <c r="E46" s="33"/>
      <c r="J46" s="33"/>
      <c r="K46" s="33"/>
      <c r="L46" s="33"/>
      <c r="M46" s="33"/>
      <c r="N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32" ht="23.1" customHeight="1" x14ac:dyDescent="0.2">
      <c r="R47" s="33"/>
      <c r="S47" s="33"/>
      <c r="T47" s="33"/>
      <c r="U47" s="33"/>
      <c r="V47" s="33"/>
      <c r="W47" s="33"/>
      <c r="X47" s="33"/>
      <c r="Y47" s="33"/>
      <c r="Z47" s="33"/>
    </row>
    <row r="48" spans="1:32" ht="23.1" customHeight="1" x14ac:dyDescent="0.2"/>
  </sheetData>
  <mergeCells count="1">
    <mergeCell ref="A38:B38"/>
  </mergeCells>
  <conditionalFormatting sqref="H42">
    <cfRule type="expression" dxfId="11" priority="9" stopIfTrue="1">
      <formula>#REF!="sobra"</formula>
    </cfRule>
    <cfRule type="expression" dxfId="10" priority="10" stopIfTrue="1">
      <formula>#REF!="Falta"</formula>
    </cfRule>
  </conditionalFormatting>
  <conditionalFormatting sqref="J42 P42">
    <cfRule type="expression" dxfId="9" priority="11" stopIfTrue="1">
      <formula>#REF!="sobra"</formula>
    </cfRule>
    <cfRule type="expression" dxfId="8" priority="12" stopIfTrue="1">
      <formula>#REF!="Falta"</formula>
    </cfRule>
  </conditionalFormatting>
  <conditionalFormatting sqref="R42:S42">
    <cfRule type="expression" dxfId="7" priority="7" stopIfTrue="1">
      <formula>#REF!="sobra"</formula>
    </cfRule>
    <cfRule type="expression" dxfId="6" priority="8" stopIfTrue="1">
      <formula>#REF!="Falta"</formula>
    </cfRule>
  </conditionalFormatting>
  <conditionalFormatting sqref="U42">
    <cfRule type="expression" dxfId="5" priority="5" stopIfTrue="1">
      <formula>#REF!="sobra"</formula>
    </cfRule>
    <cfRule type="expression" dxfId="4" priority="6" stopIfTrue="1">
      <formula>#REF!="Falta"</formula>
    </cfRule>
  </conditionalFormatting>
  <conditionalFormatting sqref="X42">
    <cfRule type="expression" dxfId="3" priority="3" stopIfTrue="1">
      <formula>#REF!="sobra"</formula>
    </cfRule>
    <cfRule type="expression" dxfId="2" priority="4" stopIfTrue="1">
      <formula>#REF!="Falta"</formula>
    </cfRule>
  </conditionalFormatting>
  <conditionalFormatting sqref="Z42">
    <cfRule type="expression" dxfId="1" priority="1" stopIfTrue="1">
      <formula>#REF!="sobra"</formula>
    </cfRule>
    <cfRule type="expression" dxfId="0" priority="2" stopIfTrue="1">
      <formula>#REF!="Falta"</formula>
    </cfRule>
  </conditionalFormatting>
  <printOptions verticalCentered="1"/>
  <pageMargins left="0.19685039370078741" right="0.19685039370078741" top="0.19685039370078741" bottom="7.874015748031496E-2" header="0.19685039370078741" footer="7.874015748031496E-2"/>
  <pageSetup paperSize="9" scale="37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GinoSeg</vt:lpstr>
      <vt:lpstr>Motorista</vt:lpstr>
      <vt:lpstr>Restaurantes</vt:lpstr>
      <vt:lpstr>MRSeg </vt:lpstr>
      <vt:lpstr>GinoTer</vt:lpstr>
      <vt:lpstr>MCTe</vt:lpstr>
      <vt:lpstr>MRTer</vt:lpstr>
      <vt:lpstr>GinoQua</vt:lpstr>
      <vt:lpstr>MCQua</vt:lpstr>
      <vt:lpstr>GinoQui</vt:lpstr>
      <vt:lpstr>GinoSex</vt:lpstr>
      <vt:lpstr>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Romica Brasil</dc:creator>
  <cp:lastModifiedBy>USER</cp:lastModifiedBy>
  <dcterms:created xsi:type="dcterms:W3CDTF">2018-04-20T14:57:14Z</dcterms:created>
  <dcterms:modified xsi:type="dcterms:W3CDTF">2026-02-11T18:04:04Z</dcterms:modified>
</cp:coreProperties>
</file>